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Data Analyst Project New\Ai jobs Analysis\"/>
    </mc:Choice>
  </mc:AlternateContent>
  <xr:revisionPtr revIDLastSave="0" documentId="13_ncr:1_{72B618FA-AC58-4AAA-A3C3-1C6E6E45C30A}" xr6:coauthVersionLast="47" xr6:coauthVersionMax="47" xr10:uidLastSave="{00000000-0000-0000-0000-000000000000}"/>
  <bookViews>
    <workbookView xWindow="-110" yWindow="-110" windowWidth="19420" windowHeight="10300" activeTab="1" xr2:uid="{3E6A1EDF-C809-421E-8909-11A3DFD7BCFD}"/>
  </bookViews>
  <sheets>
    <sheet name="Data" sheetId="1" r:id="rId1"/>
    <sheet name="Dashboard" sheetId="4" r:id="rId2"/>
    <sheet name="Kpis" sheetId="2" r:id="rId3"/>
    <sheet name="Charts" sheetId="3" r:id="rId4"/>
  </sheets>
  <definedNames>
    <definedName name="Slicer_Country">#N/A</definedName>
    <definedName name="Slicer_Experience_Level">#N/A</definedName>
    <definedName name="Slicer_Posting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3" l="1"/>
  <c r="J42" i="3"/>
  <c r="J43" i="3"/>
  <c r="J44" i="3"/>
  <c r="J45" i="3"/>
  <c r="J46" i="3"/>
  <c r="J47" i="3"/>
  <c r="J48" i="3"/>
  <c r="J49" i="3"/>
  <c r="J50" i="3"/>
  <c r="J51" i="3"/>
  <c r="J52" i="3"/>
  <c r="J40" i="3"/>
  <c r="I41" i="3"/>
  <c r="I42" i="3"/>
  <c r="I43" i="3"/>
  <c r="I44" i="3"/>
  <c r="I45" i="3"/>
  <c r="I46" i="3"/>
  <c r="I47" i="3"/>
  <c r="I48" i="3"/>
  <c r="I49" i="3"/>
  <c r="I50" i="3"/>
  <c r="I51" i="3"/>
  <c r="I52" i="3"/>
  <c r="I40" i="3"/>
  <c r="H41" i="3"/>
  <c r="H42" i="3"/>
  <c r="H43" i="3"/>
  <c r="H44" i="3"/>
  <c r="H45" i="3"/>
  <c r="H46" i="3"/>
  <c r="H47" i="3"/>
  <c r="H48" i="3"/>
  <c r="H49" i="3"/>
  <c r="H50" i="3"/>
  <c r="H51" i="3"/>
  <c r="H52" i="3"/>
  <c r="H40" i="3"/>
  <c r="G41" i="3"/>
  <c r="G42" i="3"/>
  <c r="G43" i="3"/>
  <c r="G44" i="3"/>
  <c r="G45" i="3"/>
  <c r="G46" i="3"/>
  <c r="G47" i="3"/>
  <c r="G48" i="3"/>
  <c r="G49" i="3"/>
  <c r="G50" i="3"/>
  <c r="G51" i="3"/>
  <c r="G52" i="3"/>
  <c r="G40" i="3"/>
  <c r="L23" i="3"/>
  <c r="L24" i="3"/>
  <c r="L22" i="3"/>
  <c r="K23" i="3"/>
  <c r="K24" i="3"/>
  <c r="K22" i="3"/>
  <c r="E23" i="3"/>
  <c r="E24" i="3"/>
  <c r="E22" i="3"/>
  <c r="D23" i="3"/>
  <c r="D24" i="3"/>
  <c r="D22" i="3"/>
  <c r="J11" i="2"/>
  <c r="E13" i="2"/>
  <c r="E12" i="2"/>
  <c r="E11" i="2"/>
  <c r="D12" i="2"/>
  <c r="D13" i="2"/>
  <c r="D11" i="2"/>
  <c r="J6" i="2"/>
  <c r="K5" i="2"/>
  <c r="K4" i="2"/>
  <c r="J5" i="2"/>
  <c r="J4" i="2"/>
</calcChain>
</file>

<file path=xl/sharedStrings.xml><?xml version="1.0" encoding="utf-8"?>
<sst xmlns="http://schemas.openxmlformats.org/spreadsheetml/2006/main" count="21139" uniqueCount="3154">
  <si>
    <t>Job_Id</t>
  </si>
  <si>
    <t>Job_Title</t>
  </si>
  <si>
    <t>Job_Category</t>
  </si>
  <si>
    <t>Experience_Level</t>
  </si>
  <si>
    <t>Experience</t>
  </si>
  <si>
    <t>Education_Required</t>
  </si>
  <si>
    <t>Annual_Salary_Usd</t>
  </si>
  <si>
    <t>Salary_Min_Usd</t>
  </si>
  <si>
    <t>Salary_Max_Usd</t>
  </si>
  <si>
    <t>City</t>
  </si>
  <si>
    <t>Country</t>
  </si>
  <si>
    <t>Remote_Work</t>
  </si>
  <si>
    <t>Company_Size</t>
  </si>
  <si>
    <t>Industry</t>
  </si>
  <si>
    <t>Required_Skills</t>
  </si>
  <si>
    <t>Ai_Salary_Premium_Pct</t>
  </si>
  <si>
    <t>Demand_Score</t>
  </si>
  <si>
    <t>Demand_Growth_Yoy_Pct</t>
  </si>
  <si>
    <t>Benefits_Score_10</t>
  </si>
  <si>
    <t>Posting_Year</t>
  </si>
  <si>
    <t>Posting_Month</t>
  </si>
  <si>
    <t>Is_Senior</t>
  </si>
  <si>
    <t>Is_Remote_Friendly</t>
  </si>
  <si>
    <t>Is_Llm_Role</t>
  </si>
  <si>
    <t>Salary_Tier</t>
  </si>
  <si>
    <t>AIJOB0001</t>
  </si>
  <si>
    <t>AI Agent Developer</t>
  </si>
  <si>
    <t>AI Engineering</t>
  </si>
  <si>
    <t>Senior (6-9 yrs)</t>
  </si>
  <si>
    <t>Master's</t>
  </si>
  <si>
    <t>Boston</t>
  </si>
  <si>
    <t>USA</t>
  </si>
  <si>
    <t>On-site</t>
  </si>
  <si>
    <t>Startup (1-50)</t>
  </si>
  <si>
    <t>Finance</t>
  </si>
  <si>
    <t>APIs|Planning Systems|Python|Cloud|SQL|Leadership</t>
  </si>
  <si>
    <t>Non-Remote</t>
  </si>
  <si>
    <t>AI /LLM Role</t>
  </si>
  <si>
    <t>Senior ($200-300k)</t>
  </si>
  <si>
    <t>AIJOB0002</t>
  </si>
  <si>
    <t>Prompt Engineer</t>
  </si>
  <si>
    <t>Bachelor's</t>
  </si>
  <si>
    <t>London</t>
  </si>
  <si>
    <t>UK</t>
  </si>
  <si>
    <t>Hybrid</t>
  </si>
  <si>
    <t>Enterprise (5000+)</t>
  </si>
  <si>
    <t>Python|Documentation|LLM APIs|Prompt Design|NLP|Testing|Cloud</t>
  </si>
  <si>
    <t>Remote</t>
  </si>
  <si>
    <t>Upper-Mid ($150-200k)</t>
  </si>
  <si>
    <t>AIJOB0003</t>
  </si>
  <si>
    <t>LLM Engineer</t>
  </si>
  <si>
    <t>Associate's</t>
  </si>
  <si>
    <t>Seattle</t>
  </si>
  <si>
    <t>Fully Remote</t>
  </si>
  <si>
    <t>Big Tech (FAANG+)</t>
  </si>
  <si>
    <t>Vector DBs|Python|Prompt Engineering|Fine-tuning|Agile</t>
  </si>
  <si>
    <t>Elite (&gt;$300k)</t>
  </si>
  <si>
    <t>AIJOB0004</t>
  </si>
  <si>
    <t>Data Engineer (AI)</t>
  </si>
  <si>
    <t>Data Engineering</t>
  </si>
  <si>
    <t>Singapore</t>
  </si>
  <si>
    <t>SME (51-500)</t>
  </si>
  <si>
    <t>Technology</t>
  </si>
  <si>
    <t>Feature Stores|Spark|ETL|Airflow|dbt|SQL|Python|Statistics|SQL|Communication</t>
  </si>
  <si>
    <t>Non-Ai Role</t>
  </si>
  <si>
    <t>AIJOB0005</t>
  </si>
  <si>
    <t>AI Product Manager</t>
  </si>
  <si>
    <t>Product</t>
  </si>
  <si>
    <t>Lead (10+ yrs)</t>
  </si>
  <si>
    <t>Bootcamp/Self-taught</t>
  </si>
  <si>
    <t>Los Angeles</t>
  </si>
  <si>
    <t>Automotive</t>
  </si>
  <si>
    <t>Data Analysis|Stakeholder Mgmt|Agile|Cloud|Problem Solving|Statistics</t>
  </si>
  <si>
    <t>AIJOB0006</t>
  </si>
  <si>
    <t>Entry (0-2 yrs)</t>
  </si>
  <si>
    <t>Chicago</t>
  </si>
  <si>
    <t>Government</t>
  </si>
  <si>
    <t>Planning Systems|Python|APIs|AutoGen|LangChain|Statistics|Git|Agile</t>
  </si>
  <si>
    <t>AIJOB0007</t>
  </si>
  <si>
    <t>AI Security Engineer</t>
  </si>
  <si>
    <t>Security</t>
  </si>
  <si>
    <t>Mid (3-5 yrs)</t>
  </si>
  <si>
    <t>Mid-size (501-5000)</t>
  </si>
  <si>
    <t>Manufacturing</t>
  </si>
  <si>
    <t>Risk Analysis|Cybersecurity|Python|ML Security|Red Teaming|Git</t>
  </si>
  <si>
    <t>AIJOB0008</t>
  </si>
  <si>
    <t>Senior ML Engineer</t>
  </si>
  <si>
    <t>Global</t>
  </si>
  <si>
    <t>Education</t>
  </si>
  <si>
    <t>LLM Fine-tuning|Distributed Systems|MLOps|Python|System Design|Agile|Cloud|Statistics</t>
  </si>
  <si>
    <t>AIJOB0009</t>
  </si>
  <si>
    <t>NLP Engineer</t>
  </si>
  <si>
    <t>Bangalore</t>
  </si>
  <si>
    <t>India</t>
  </si>
  <si>
    <t>Python|Text Processing|BERT|Hugging Face|Communication|Agile|Research</t>
  </si>
  <si>
    <t>Mid ($100-150k)</t>
  </si>
  <si>
    <t>AIJOB0010</t>
  </si>
  <si>
    <t>Documentation|Prompt Design|Testing|NLP|LLM APIs|Python|Communication</t>
  </si>
  <si>
    <t>Entry (&lt;$100k)</t>
  </si>
  <si>
    <t>AIJOB0011</t>
  </si>
  <si>
    <t>AI Solutions Architect</t>
  </si>
  <si>
    <t>Architecture</t>
  </si>
  <si>
    <t>Tokyo</t>
  </si>
  <si>
    <t>Japan</t>
  </si>
  <si>
    <t>Cloud|Python|Leadership|Enterprise Architecture|Cloud</t>
  </si>
  <si>
    <t>AIJOB0012</t>
  </si>
  <si>
    <t>Documentation|Python|Prompt Design|Problem Solving</t>
  </si>
  <si>
    <t>AIJOB0013</t>
  </si>
  <si>
    <t>Beijing</t>
  </si>
  <si>
    <t>China</t>
  </si>
  <si>
    <t>Retail</t>
  </si>
  <si>
    <t>LLM Fine-tuning|Python|MLOps|Problem Solving|Leadership|Statistics</t>
  </si>
  <si>
    <t>AIJOB0014</t>
  </si>
  <si>
    <t>Toronto</t>
  </si>
  <si>
    <t>Canada</t>
  </si>
  <si>
    <t>System Design|Leadership|Cloud|Agile|Linux|Statistics</t>
  </si>
  <si>
    <t>AIJOB0015</t>
  </si>
  <si>
    <t>Dubai</t>
  </si>
  <si>
    <t>UAE</t>
  </si>
  <si>
    <t>Consulting</t>
  </si>
  <si>
    <t>Python|APIs|LangChain|Tool Use|AutoGen|Communication|Statistics|Problem Solving</t>
  </si>
  <si>
    <t>AIJOB0016</t>
  </si>
  <si>
    <t>Amsterdam</t>
  </si>
  <si>
    <t>Netherlands</t>
  </si>
  <si>
    <t>Research</t>
  </si>
  <si>
    <t>LangChain|Tool Use|Planning Systems|AutoGen|Python|Git</t>
  </si>
  <si>
    <t>AIJOB0017</t>
  </si>
  <si>
    <t>ML Engineer</t>
  </si>
  <si>
    <t>PhD</t>
  </si>
  <si>
    <t>Paris</t>
  </si>
  <si>
    <t>France</t>
  </si>
  <si>
    <t>Healthcare</t>
  </si>
  <si>
    <t>TensorFlow|Kubernetes|MLOps|Linux|Communication|Problem Solving</t>
  </si>
  <si>
    <t>AIJOB0018</t>
  </si>
  <si>
    <t>Generative AI Engineer</t>
  </si>
  <si>
    <t>GenAI APIs|Deployment|Diffusion Models|LLMs|Fine-tuning|Python|SQL</t>
  </si>
  <si>
    <t>AIJOB0019</t>
  </si>
  <si>
    <t>Sydney</t>
  </si>
  <si>
    <t>Australia</t>
  </si>
  <si>
    <t>Risk Analysis|Python|Cybersecurity|Problem Solving</t>
  </si>
  <si>
    <t>AIJOB0020</t>
  </si>
  <si>
    <t>Deep Learning Engineer</t>
  </si>
  <si>
    <t>Berlin</t>
  </si>
  <si>
    <t>Germany</t>
  </si>
  <si>
    <t>Neural Networks|Python|TensorFlow|CUDA|PyTorch|Git|Agile|Leadership</t>
  </si>
  <si>
    <t>AIJOB0021</t>
  </si>
  <si>
    <t>Multimodal AI Engineer</t>
  </si>
  <si>
    <t>PyTorch|Vision-Language Models|APIs|Fine-tuning|Research|Problem Solving</t>
  </si>
  <si>
    <t>AIJOB0022</t>
  </si>
  <si>
    <t>MLOps Engineer</t>
  </si>
  <si>
    <t>ML Operations</t>
  </si>
  <si>
    <t>Monitoring|Docker|Kubernetes|MLflow|SQL</t>
  </si>
  <si>
    <t>AIJOB0023</t>
  </si>
  <si>
    <t>AI Business Analyst</t>
  </si>
  <si>
    <t>Business</t>
  </si>
  <si>
    <t>Media</t>
  </si>
  <si>
    <t>SQL|Communication|Python|Data Visualization|Business Analysis|Leadership|Research|SQL</t>
  </si>
  <si>
    <t>AIJOB0024</t>
  </si>
  <si>
    <t>RAG Engineer</t>
  </si>
  <si>
    <t>Embeddings|LLMs|Vector DBs|Search Systems|LangChain|Python|Communication|Agile|Research</t>
  </si>
  <si>
    <t>AIJOB0025</t>
  </si>
  <si>
    <t>LLMs|Python|Transformers|Text Processing|BERT|Hugging Face|Cloud|Research|SQL</t>
  </si>
  <si>
    <t>AIJOB0026</t>
  </si>
  <si>
    <t>Robotics Engineer (AI)</t>
  </si>
  <si>
    <t>Robotics</t>
  </si>
  <si>
    <t>Energy</t>
  </si>
  <si>
    <t>Computer Vision|C++|Simulation|Linux|Research|Problem Solving</t>
  </si>
  <si>
    <t>AIJOB0027</t>
  </si>
  <si>
    <t>Senior Data Scientist</t>
  </si>
  <si>
    <t>Data Science</t>
  </si>
  <si>
    <t>Zurich</t>
  </si>
  <si>
    <t>Switzerland</t>
  </si>
  <si>
    <t>Causal Inference|Leadership|ML|Advanced Statistics|Deep Learning|Python|Research</t>
  </si>
  <si>
    <t>AIJOB0028</t>
  </si>
  <si>
    <t>San Francisco</t>
  </si>
  <si>
    <t>MLOps|Python|PyTorch|SQL|Agile|Statistics|Linux</t>
  </si>
  <si>
    <t>AIJOB0029</t>
  </si>
  <si>
    <t>Communication|Python|SQL|Agile|Git|SQL</t>
  </si>
  <si>
    <t>AIJOB0030</t>
  </si>
  <si>
    <t>AI Ethics Officer</t>
  </si>
  <si>
    <t>Governance</t>
  </si>
  <si>
    <t>Research|Ethics Frameworks|Communication|Research|Problem Solving|Cloud</t>
  </si>
  <si>
    <t>AIJOB0031</t>
  </si>
  <si>
    <t>LLMs|Transformers|BERT|Hugging Face|Agile|Problem Solving</t>
  </si>
  <si>
    <t>AIJOB0032</t>
  </si>
  <si>
    <t>AI Infrastructure Eng</t>
  </si>
  <si>
    <t>Infrastructure</t>
  </si>
  <si>
    <t>Networking|Kubernetes|CUDA|Distributed Systems|Storage|Cloud|Leadership|Statistics|Cloud</t>
  </si>
  <si>
    <t>AIJOB0033</t>
  </si>
  <si>
    <t>CUDA|GPU Computing|TensorFlow|Python|Neural Networks|Communication|Statistics</t>
  </si>
  <si>
    <t>AIJOB0034</t>
  </si>
  <si>
    <t>Austin</t>
  </si>
  <si>
    <t>Distributed Systems|CUDA|Kubernetes|Cloud|Networking|Storage|Git</t>
  </si>
  <si>
    <t>AIJOB0035</t>
  </si>
  <si>
    <t>MLOps|Distributed Systems|System Design|LLM Fine-tuning|PyTorch|Python|Problem Solving|SQL|Git</t>
  </si>
  <si>
    <t>AIJOB0036</t>
  </si>
  <si>
    <t>AI Engineer</t>
  </si>
  <si>
    <t>Cloud (AWS/GCP/Azure)|PyTorch|Python|Docker|LLM Integration|Problem Solving|Communication|Cloud</t>
  </si>
  <si>
    <t>AIJOB0037</t>
  </si>
  <si>
    <t>Monitoring|CI/CD|Docker|Cloud|Kubernetes|Problem Solving</t>
  </si>
  <si>
    <t>AIJOB0038</t>
  </si>
  <si>
    <t>Data Visualization|Communication|Python|Problem Solving</t>
  </si>
  <si>
    <t>AIJOB0039</t>
  </si>
  <si>
    <t>Data Scientist</t>
  </si>
  <si>
    <t>Scikit-learn|Python|SQL|Statistics|Git</t>
  </si>
  <si>
    <t>AIJOB0040</t>
  </si>
  <si>
    <t>GPU Computing|PyTorch|TensorFlow|CUDA|Neural Networks|SQL</t>
  </si>
  <si>
    <t>AIJOB0041</t>
  </si>
  <si>
    <t>LLMs|Text Processing|Hugging Face|Python|Transformers|Linux|Cloud|Communication</t>
  </si>
  <si>
    <t>AIJOB0042</t>
  </si>
  <si>
    <t>Data Analysis|Agile|Product Strategy|AI Literacy|Stakeholder Mgmt|Statistics|Leadership</t>
  </si>
  <si>
    <t>AIJOB0043</t>
  </si>
  <si>
    <t>Text Processing|Transformers|LLMs|Python|BERT|Hugging Face|Research</t>
  </si>
  <si>
    <t>AIJOB0044</t>
  </si>
  <si>
    <t>Distributed Systems|LLM Fine-tuning|MLOps|PyTorch|System Design|SQL|Git|Communication</t>
  </si>
  <si>
    <t>AIJOB0045</t>
  </si>
  <si>
    <t>Cloud|CUDA|Storage|Kubernetes|Distributed Systems|Communication</t>
  </si>
  <si>
    <t>AIJOB0046</t>
  </si>
  <si>
    <t>LLMs|Python|Embeddings|Vector DBs|Search Systems|LangChain|Statistics|Agile</t>
  </si>
  <si>
    <t>AIJOB0047</t>
  </si>
  <si>
    <t>Python|Scikit-learn|SQL|ML Algorithms|Data Visualization|Research|Agile|Communication</t>
  </si>
  <si>
    <t>AIJOB0048</t>
  </si>
  <si>
    <t>PyTorch|Vision-Language Models|Python|APIs|Fine-tuning|Cloud|Linux|Communication</t>
  </si>
  <si>
    <t>AIJOB0049</t>
  </si>
  <si>
    <t>Computer Vision Engineer</t>
  </si>
  <si>
    <t>OpenCV|CNNs|PyTorch|Python|SQL|Agile</t>
  </si>
  <si>
    <t>AIJOB0050</t>
  </si>
  <si>
    <t>dbt|Spark|Python|Airflow|SQL|Cloud|Git</t>
  </si>
  <si>
    <t>AIJOB0051</t>
  </si>
  <si>
    <t>Leadership|Python|ML|Causal Inference|Advanced Statistics|Deep Learning|Statistics</t>
  </si>
  <si>
    <t>AIJOB0052</t>
  </si>
  <si>
    <t>Python|LangChain|APIs|Tool Use|Planning Systems|AutoGen|Problem Solving</t>
  </si>
  <si>
    <t>AIJOB0053</t>
  </si>
  <si>
    <t>AI Compliance Manager</t>
  </si>
  <si>
    <t>Auditing|Documentation|EU AI Act|SQL</t>
  </si>
  <si>
    <t>AIJOB0054</t>
  </si>
  <si>
    <t>ML|Deep Learning|Advanced Statistics|SQL|Leadership|Agile</t>
  </si>
  <si>
    <t>AIJOB0055</t>
  </si>
  <si>
    <t>Ethics Frameworks|Research|Risk Assessment|Leadership|Agile|Research</t>
  </si>
  <si>
    <t>AIJOB0056</t>
  </si>
  <si>
    <t>Diffusion Models|Deployment|Python|GenAI APIs|Fine-tuning|LLMs|Agile|Statistics|Linux</t>
  </si>
  <si>
    <t>AIJOB0057</t>
  </si>
  <si>
    <t>Feature Stores|Python|Airflow|SQL|dbt|SQL|Agile</t>
  </si>
  <si>
    <t>AIJOB0058</t>
  </si>
  <si>
    <t>ETL|dbt|Feature Stores|Python|SQL|Spark|Linux</t>
  </si>
  <si>
    <t>AIJOB0059</t>
  </si>
  <si>
    <t>APIs|Fine-tuning|Vision-Language Models|Linux|Statistics</t>
  </si>
  <si>
    <t>AIJOB0060</t>
  </si>
  <si>
    <t>Auditing|Legal Knowledge|Risk Management|Documentation|Leadership</t>
  </si>
  <si>
    <t>AIJOB0061</t>
  </si>
  <si>
    <t>TensorFlow|SQL|Kubernetes|Python|Research</t>
  </si>
  <si>
    <t>AIJOB0062</t>
  </si>
  <si>
    <t>dbt|Airflow|ETL|Feature Stores|SQL|Cloud|Agile|Git</t>
  </si>
  <si>
    <t>AIJOB0063</t>
  </si>
  <si>
    <t>System Design|Distributed Systems|PyTorch|MLOps|Python|LLM Fine-tuning|Git|Leadership|Communication</t>
  </si>
  <si>
    <t>AIJOB0064</t>
  </si>
  <si>
    <t>GPU Computing|CUDA|Neural Networks|TensorFlow|PyTorch|Python|Research</t>
  </si>
  <si>
    <t>AIJOB0065</t>
  </si>
  <si>
    <t>Monitoring|Python|MLflow|Leadership|Cloud|Research</t>
  </si>
  <si>
    <t>AIJOB0066</t>
  </si>
  <si>
    <t>Python|TensorFlow|CUDA|GPU Computing|Neural Networks|PyTorch|Research</t>
  </si>
  <si>
    <t>AIJOB0067</t>
  </si>
  <si>
    <t>APIs|PyTorch|Vision-Language Models|Python|Fine-tuning|Problem Solving</t>
  </si>
  <si>
    <t>AIJOB0068</t>
  </si>
  <si>
    <t>Networking|Distributed Systems|CUDA|Statistics</t>
  </si>
  <si>
    <t>AIJOB0069</t>
  </si>
  <si>
    <t>Deep Learning|Advanced Statistics|ML|Python|Causal Inference|Problem Solving</t>
  </si>
  <si>
    <t>AIJOB0070</t>
  </si>
  <si>
    <t>Cloud|Kubernetes|Docker|CI/CD|Monitoring|MLflow|Leadership|Problem Solving</t>
  </si>
  <si>
    <t>AIJOB0071</t>
  </si>
  <si>
    <t>Risk Assessment|Ethics Frameworks|Research|Linux|Cloud|Git</t>
  </si>
  <si>
    <t>AIJOB0072</t>
  </si>
  <si>
    <t>Transformers|Text Processing|Python|Hugging Face|BERT|Linux|Research|Leadership</t>
  </si>
  <si>
    <t>AIJOB0073</t>
  </si>
  <si>
    <t>Vector DBs|Embeddings|Search Systems|Git</t>
  </si>
  <si>
    <t>AIJOB0074</t>
  </si>
  <si>
    <t>Python|Cloud (AWS/GCP/Azure)|Docker|PyTorch|LLM Integration|SQL|Cloud</t>
  </si>
  <si>
    <t>AIJOB0075</t>
  </si>
  <si>
    <t>ML Algorithms|Scikit-learn|Data Visualization|SQL|Linux</t>
  </si>
  <si>
    <t>AIJOB0076</t>
  </si>
  <si>
    <t>AI Literacy|Stakeholder Mgmt|Data Analysis|Product Strategy|Agile|Git|Statistics</t>
  </si>
  <si>
    <t>AIJOB0077</t>
  </si>
  <si>
    <t>Storage|Kubernetes|CUDA|Networking|Cloud|Distributed Systems|Agile|Problem Solving</t>
  </si>
  <si>
    <t>AIJOB0078</t>
  </si>
  <si>
    <t>Search Systems|Vector DBs|Python|Embeddings|LangChain|Linux</t>
  </si>
  <si>
    <t>AIJOB0079</t>
  </si>
  <si>
    <t>Fine-tuning|PyTorch|Vision-Language Models|Agile|Communication</t>
  </si>
  <si>
    <t>AIJOB0080</t>
  </si>
  <si>
    <t>Distributed Systems|Kubernetes|Networking|Statistics</t>
  </si>
  <si>
    <t>AIJOB0081</t>
  </si>
  <si>
    <t>Kubernetes|Distributed Systems|Cloud|Networking|Problem Solving|Statistics|Research</t>
  </si>
  <si>
    <t>AIJOB0082</t>
  </si>
  <si>
    <t>Red Teaming|Python|Cybersecurity|Risk Analysis|Cloud</t>
  </si>
  <si>
    <t>AIJOB0083</t>
  </si>
  <si>
    <t>Kubernetes|CUDA|Cloud|Storage|Distributed Systems|Problem Solving|Linux|Leadership</t>
  </si>
  <si>
    <t>AIJOB0084</t>
  </si>
  <si>
    <t>New York</t>
  </si>
  <si>
    <t>MLOps|LLM Fine-tuning|System Design|Agile|Research|Communication</t>
  </si>
  <si>
    <t>AIJOB0085</t>
  </si>
  <si>
    <t>Neural Networks|PyTorch|TensorFlow|CUDA|Python|Communication|Research</t>
  </si>
  <si>
    <t>AIJOB0086</t>
  </si>
  <si>
    <t>NLP|Testing|Documentation|LLM APIs|Research|SQL</t>
  </si>
  <si>
    <t>AIJOB0087</t>
  </si>
  <si>
    <t>CI/CD|Kubernetes|Docker|Statistics|Cloud|Problem Solving</t>
  </si>
  <si>
    <t>AIJOB0088</t>
  </si>
  <si>
    <t>ML|Leadership|Enterprise Architecture|System Design|Python|Leadership|Cloud|SQL</t>
  </si>
  <si>
    <t>AIJOB0089</t>
  </si>
  <si>
    <t>Deep Learning|Leadership|ML|Causal Inference|Advanced Statistics|SQL|Statistics</t>
  </si>
  <si>
    <t>AIJOB0090</t>
  </si>
  <si>
    <t>APIs|Python|Tool Use|Planning Systems|Problem Solving|Cloud|Linux</t>
  </si>
  <si>
    <t>AIJOB0091</t>
  </si>
  <si>
    <t>Leadership|Advanced Statistics|Deep Learning|Statistics|Research|Cloud</t>
  </si>
  <si>
    <t>AIJOB0092</t>
  </si>
  <si>
    <t>PyTorch|Vision-Language Models|APIs|Fine-tuning|Python|Research|Statistics|Problem Solving</t>
  </si>
  <si>
    <t>AIJOB0093</t>
  </si>
  <si>
    <t>Fine-tuning|RAG|Vector DBs|Research|Communication|Leadership</t>
  </si>
  <si>
    <t>AIJOB0094</t>
  </si>
  <si>
    <t>Text Processing|LLMs|Python|BERT|Hugging Face|Leadership</t>
  </si>
  <si>
    <t>AIJOB0095</t>
  </si>
  <si>
    <t>Product Strategy|AI Literacy|Agile|Data Analysis|Stakeholder Mgmt|Research|Linux</t>
  </si>
  <si>
    <t>AIJOB0096</t>
  </si>
  <si>
    <t>AI Literacy|Product Strategy|Data Analysis|Agile|Research|Agile|Linux</t>
  </si>
  <si>
    <t>AIJOB0097</t>
  </si>
  <si>
    <t>LLM APIs|RAG|Fine-tuning|Python|Agile</t>
  </si>
  <si>
    <t>AIJOB0098</t>
  </si>
  <si>
    <t>CUDA|Image Processing|PyTorch|CNNs|Python|OpenCV|Problem Solving|Communication</t>
  </si>
  <si>
    <t>AIJOB0099</t>
  </si>
  <si>
    <t>Control Systems|C++|ROS|Simulation|Computer Vision|Python|Leadership|Communication|Linux</t>
  </si>
  <si>
    <t>AIJOB0100</t>
  </si>
  <si>
    <t>Cybersecurity|Red Teaming|Python|ML Security|Risk Analysis|Agile|SQL</t>
  </si>
  <si>
    <t>AIJOB0101</t>
  </si>
  <si>
    <t>System Design|MLOps|LLM Fine-tuning|PyTorch|Distributed Systems|Python|Leadership|Linux|Statistics</t>
  </si>
  <si>
    <t>AIJOB0102</t>
  </si>
  <si>
    <t>Risk Management|Legal Knowledge|Auditing|Agile</t>
  </si>
  <si>
    <t>AIJOB0103</t>
  </si>
  <si>
    <t>Text Processing|Python|LLMs|Transformers|Leadership</t>
  </si>
  <si>
    <t>AIJOB0104</t>
  </si>
  <si>
    <t>Communication|Python|Data Visualization|Business Analysis|SQL|Leadership</t>
  </si>
  <si>
    <t>AIJOB0105</t>
  </si>
  <si>
    <t>LangChain|Planning Systems|Tool Use|Python|AutoGen|APIs|Linux|Research|SQL</t>
  </si>
  <si>
    <t>AIJOB0106</t>
  </si>
  <si>
    <t>AutoGen|Tool Use|Python|Communication</t>
  </si>
  <si>
    <t>AIJOB0107</t>
  </si>
  <si>
    <t>PyTorch|GPU Computing|TensorFlow|CUDA|Neural Networks|Python|Statistics|Agile|Leadership</t>
  </si>
  <si>
    <t>AIJOB0108</t>
  </si>
  <si>
    <t>Python|TensorFlow|Neural Networks|PyTorch|Communication</t>
  </si>
  <si>
    <t>AIJOB0109</t>
  </si>
  <si>
    <t>OpenCV|Image Processing|CNNs|Python|SQL|Leadership|Problem Solving</t>
  </si>
  <si>
    <t>AIJOB0110</t>
  </si>
  <si>
    <t>Distributed Systems|MLOps|Python|LLM Fine-tuning|PyTorch|System Design|Leadership</t>
  </si>
  <si>
    <t>AIJOB0111</t>
  </si>
  <si>
    <t>SQL|ML Algorithms|Scikit-learn|Python|Statistics|Research|Communication</t>
  </si>
  <si>
    <t>AIJOB0112</t>
  </si>
  <si>
    <t>Python|MLOps|LLM Fine-tuning|System Design|Problem Solving|Git</t>
  </si>
  <si>
    <t>AIJOB0113</t>
  </si>
  <si>
    <t>PyTorch|Kubernetes|SQL|Cloud|Git|Agile</t>
  </si>
  <si>
    <t>AIJOB0114</t>
  </si>
  <si>
    <t>Documentation|Legal Knowledge|Risk Management|Agile</t>
  </si>
  <si>
    <t>AIJOB0115</t>
  </si>
  <si>
    <t>LLM APIs|RAG|Vector DBs|Fine-tuning|Prompt Engineering|Statistics|Git</t>
  </si>
  <si>
    <t>AIJOB0116</t>
  </si>
  <si>
    <t>Testing|Documentation|Python|SQL|Agile</t>
  </si>
  <si>
    <t>AIJOB0117</t>
  </si>
  <si>
    <t>ML Security|Cybersecurity|Red Teaming|Risk Analysis|Cloud|Agile</t>
  </si>
  <si>
    <t>AIJOB0118</t>
  </si>
  <si>
    <t>GPU Computing|Neural Networks|TensorFlow|PyTorch|CUDA|Problem Solving|Linux</t>
  </si>
  <si>
    <t>AIJOB0119</t>
  </si>
  <si>
    <t>Docker|Python|MLflow|Kubernetes|Cloud|Monitoring|Leadership|SQL|Research</t>
  </si>
  <si>
    <t>AIJOB0120</t>
  </si>
  <si>
    <t>APIs|Fine-tuning|Python|Vision-Language Models|PyTorch|Cloud|Leadership|Problem Solving</t>
  </si>
  <si>
    <t>AIJOB0121</t>
  </si>
  <si>
    <t>SQL|Scikit-learn|Python|Data Visualization|ML Algorithms|Statistics|Leadership</t>
  </si>
  <si>
    <t>AIJOB0122</t>
  </si>
  <si>
    <t>SQL|Communication|Business Analysis|Data Visualization|Agile|Statistics</t>
  </si>
  <si>
    <t>AIJOB0123</t>
  </si>
  <si>
    <t>Product Strategy|AI Literacy|Stakeholder Mgmt|Data Analysis|Agile|Linux|Statistics|Cloud</t>
  </si>
  <si>
    <t>AIJOB0124</t>
  </si>
  <si>
    <t>GenAI APIs|Fine-tuning|Python|LLMs|Leadership</t>
  </si>
  <si>
    <t>AIJOB0125</t>
  </si>
  <si>
    <t>Data Analysis|AI Literacy|Stakeholder Mgmt|Agile|Problem Solving|Git|Linux</t>
  </si>
  <si>
    <t>AIJOB0126</t>
  </si>
  <si>
    <t>Search Systems|Vector DBs|Embeddings|LangChain|Linux</t>
  </si>
  <si>
    <t>AIJOB0127</t>
  </si>
  <si>
    <t>RAG|LLM APIs|Python|Fine-tuning|Vector DBs|Prompt Engineering|SQL|Agile</t>
  </si>
  <si>
    <t>AIJOB0128</t>
  </si>
  <si>
    <t>Cybersecurity|Red Teaming|Python|Risk Analysis|ML Security|Communication</t>
  </si>
  <si>
    <t>AIJOB0129</t>
  </si>
  <si>
    <t>Risk Management|Auditing|EU AI Act|Documentation|Legal Knowledge|Agile|Leadership|Linux</t>
  </si>
  <si>
    <t>AIJOB0130</t>
  </si>
  <si>
    <t>Statistics|ML Algorithms|SQL|Python|Cloud|Research|Linux</t>
  </si>
  <si>
    <t>AIJOB0131</t>
  </si>
  <si>
    <t>Vector DBs|Python|RAG|Statistics|Git|Cloud</t>
  </si>
  <si>
    <t>AIJOB0132</t>
  </si>
  <si>
    <t>SQL|Communication|Business Analysis|SQL|Git</t>
  </si>
  <si>
    <t>AIJOB0133</t>
  </si>
  <si>
    <t>AutoGen|LangChain|Python|Agile|Communication</t>
  </si>
  <si>
    <t>AIJOB0134</t>
  </si>
  <si>
    <t>ML Security|Red Teaming|Cybersecurity|Python|Risk Analysis|Git</t>
  </si>
  <si>
    <t>AIJOB0135</t>
  </si>
  <si>
    <t>APIs|LangChain|Planning Systems|Tool Use|AutoGen|Git</t>
  </si>
  <si>
    <t>AIJOB0136</t>
  </si>
  <si>
    <t>Text Processing|BERT|Transformers|Problem Solving|Leadership|Communication</t>
  </si>
  <si>
    <t>AIJOB0137</t>
  </si>
  <si>
    <t>SQL|Statistics|Scikit-learn|ML Algorithms|Data Visualization|Leadership|Linux</t>
  </si>
  <si>
    <t>AIJOB0138</t>
  </si>
  <si>
    <t>Python|Kubernetes|PyTorch|MLOps|SQL|TensorFlow|Leadership</t>
  </si>
  <si>
    <t>AIJOB0139</t>
  </si>
  <si>
    <t>Python|APIs|PyTorch|Fine-tuning|Linux|Git</t>
  </si>
  <si>
    <t>AIJOB0140</t>
  </si>
  <si>
    <t>PyTorch|CNNs|CUDA|Git|Agile|Problem Solving</t>
  </si>
  <si>
    <t>AIJOB0141</t>
  </si>
  <si>
    <t>EU AI Act|Risk Management|Auditing|Statistics|Cloud</t>
  </si>
  <si>
    <t>AIJOB0142</t>
  </si>
  <si>
    <t>Prompt Design|Testing|Python|Documentation|NLP|Communication</t>
  </si>
  <si>
    <t>AIJOB0143</t>
  </si>
  <si>
    <t>Stakeholder Mgmt|AI Literacy|Agile|Data Analysis|Product Strategy|Leadership</t>
  </si>
  <si>
    <t>AIJOB0144</t>
  </si>
  <si>
    <t>PyTorch|Docker|Python|Agile</t>
  </si>
  <si>
    <t>AIJOB0145</t>
  </si>
  <si>
    <t>Python|LLMs|Deployment|GenAI APIs|Diffusion Models|Fine-tuning|Agile|Statistics</t>
  </si>
  <si>
    <t>AIJOB0146</t>
  </si>
  <si>
    <t>ML|Python|Causal Inference|Deep Learning|Advanced Statistics|Research|Agile</t>
  </si>
  <si>
    <t>AIJOB0147</t>
  </si>
  <si>
    <t>Stakeholder Mgmt|Data Analysis|Product Strategy|Agile|AI Literacy|Leadership|Problem Solving</t>
  </si>
  <si>
    <t>AIJOB0148</t>
  </si>
  <si>
    <t>Python|Leadership|Advanced Statistics|Research|Linux|Git</t>
  </si>
  <si>
    <t>AIJOB0149</t>
  </si>
  <si>
    <t>Fine-tuning|Vector DBs|RAG|Python|Problem Solving</t>
  </si>
  <si>
    <t>AIJOB0150</t>
  </si>
  <si>
    <t>CNNs|PyTorch|CUDA|Research|Statistics|Leadership</t>
  </si>
  <si>
    <t>AIJOB0151</t>
  </si>
  <si>
    <t>PyTorch|SQL|TensorFlow|SQL|Communication|Cloud</t>
  </si>
  <si>
    <t>AIJOB0152</t>
  </si>
  <si>
    <t>Storage|Kubernetes|Distributed Systems|CUDA|Linux|Research</t>
  </si>
  <si>
    <t>AIJOB0153</t>
  </si>
  <si>
    <t>Python|GPU Computing|TensorFlow|CUDA|Cloud|Git</t>
  </si>
  <si>
    <t>AIJOB0154</t>
  </si>
  <si>
    <t>AutoGen|APIs|LangChain|Python|Planning Systems|Tool Use|SQL|Linux|Statistics</t>
  </si>
  <si>
    <t>AIJOB0155</t>
  </si>
  <si>
    <t>Spark|Feature Stores|Python|SQL|Git|SQL</t>
  </si>
  <si>
    <t>AIJOB0156</t>
  </si>
  <si>
    <t>Spark|Airflow|Python|dbt|SQL|Statistics</t>
  </si>
  <si>
    <t>AIJOB0157</t>
  </si>
  <si>
    <t>PyTorch|Python|LLM Fine-tuning|Distributed Systems|MLOps|System Design|Leadership|Problem Solving</t>
  </si>
  <si>
    <t>AIJOB0158</t>
  </si>
  <si>
    <t>Python|Leadership|Advanced Statistics|Deep Learning|Agile|Git|Research</t>
  </si>
  <si>
    <t>AIJOB0159</t>
  </si>
  <si>
    <t>RAG|Vector DBs|Fine-tuning|Python|LLM APIs|SQL|Linux|Git</t>
  </si>
  <si>
    <t>AIJOB0160</t>
  </si>
  <si>
    <t>Python|RAG|Vector DBs|Fine-tuning|Prompt Engineering|Research</t>
  </si>
  <si>
    <t>AIJOB0161</t>
  </si>
  <si>
    <t>Python|APIs|PyTorch|Leadership|Statistics</t>
  </si>
  <si>
    <t>AIJOB0162</t>
  </si>
  <si>
    <t>Python|Data Visualization|ML Algorithms|Leadership|Statistics</t>
  </si>
  <si>
    <t>AIJOB0163</t>
  </si>
  <si>
    <t>Python|ML|Causal Inference|Advanced Statistics|Statistics</t>
  </si>
  <si>
    <t>AIJOB0164</t>
  </si>
  <si>
    <t>ML|Advanced Statistics|Leadership|Causal Inference|Leadership|Statistics</t>
  </si>
  <si>
    <t>AIJOB0165</t>
  </si>
  <si>
    <t>Data Visualization|SQL|Python|Communication|Agile|Statistics</t>
  </si>
  <si>
    <t>AIJOB0166</t>
  </si>
  <si>
    <t>ML|System Design|Python|Linux</t>
  </si>
  <si>
    <t>AIJOB0167</t>
  </si>
  <si>
    <t>LLM APIs|Python|Testing|Agile|Cloud|Leadership</t>
  </si>
  <si>
    <t>AIJOB0168</t>
  </si>
  <si>
    <t>SQL|Python|Scikit-learn|Data Visualization|Statistics|Statistics|Agile</t>
  </si>
  <si>
    <t>AIJOB0169</t>
  </si>
  <si>
    <t>TensorFlow|MLOps|Kubernetes|PyTorch|Python|Problem Solving|Communication|Statistics</t>
  </si>
  <si>
    <t>AIJOB0170</t>
  </si>
  <si>
    <t>Python|ML Security|Risk Analysis|Red Teaming|Cybersecurity|Statistics</t>
  </si>
  <si>
    <t>AIJOB0171</t>
  </si>
  <si>
    <t>Python|Cloud|System Design|Cloud|Leadership|Agile</t>
  </si>
  <si>
    <t>AIJOB0172</t>
  </si>
  <si>
    <t>Enterprise Architecture|System Design|Leadership|Cloud|ML|Linux</t>
  </si>
  <si>
    <t>AIJOB0173</t>
  </si>
  <si>
    <t>Documentation|Python|Prompt Design|LLM APIs|Communication|SQL|Leadership</t>
  </si>
  <si>
    <t>AIJOB0174</t>
  </si>
  <si>
    <t>Communication|Business Analysis|Python|SQL|Research|Statistics</t>
  </si>
  <si>
    <t>AIJOB0175</t>
  </si>
  <si>
    <t>CUDA|TensorFlow|Python|GPU Computing|Neural Networks|PyTorch|SQL|Problem Solving|Git</t>
  </si>
  <si>
    <t>AIJOB0176</t>
  </si>
  <si>
    <t>Tool Use|Python|Planning Systems|LangChain|Git</t>
  </si>
  <si>
    <t>AIJOB0177</t>
  </si>
  <si>
    <t>Python|LLM APIs|Prompt Design|NLP|Documentation|Testing|Research|Linux|Git</t>
  </si>
  <si>
    <t>AIJOB0178</t>
  </si>
  <si>
    <t>CUDA|PyTorch|CNNs|Image Processing|Python|SQL</t>
  </si>
  <si>
    <t>AIJOB0179</t>
  </si>
  <si>
    <t>PyTorch|CNNs|Image Processing|OpenCV|Python|CUDA|SQL</t>
  </si>
  <si>
    <t>AIJOB0180</t>
  </si>
  <si>
    <t>RAG|Vector DBs|Python|Agile</t>
  </si>
  <si>
    <t>AIJOB0181</t>
  </si>
  <si>
    <t>BERT|LLMs|Transformers|Text Processing|Python|Hugging Face|Linux|Leadership|Research</t>
  </si>
  <si>
    <t>AIJOB0182</t>
  </si>
  <si>
    <t>Red Teaming|Risk Analysis|Cybersecurity|ML Security|Statistics|Git</t>
  </si>
  <si>
    <t>AIJOB0183</t>
  </si>
  <si>
    <t>Vector DBs|Embeddings|LLMs|Problem Solving|Research|Statistics</t>
  </si>
  <si>
    <t>AIJOB0184</t>
  </si>
  <si>
    <t>Kubernetes|Monitoring|CI/CD|Python|Cloud|MLflow|Git</t>
  </si>
  <si>
    <t>AIJOB0185</t>
  </si>
  <si>
    <t>Tool Use|Python|Planning Systems|AutoGen|Problem Solving|Research</t>
  </si>
  <si>
    <t>AIJOB0186</t>
  </si>
  <si>
    <t>Fine-tuning|RAG|Vector DBs|LLM APIs|Linux|Problem Solving</t>
  </si>
  <si>
    <t>AIJOB0187</t>
  </si>
  <si>
    <t>Networking|Kubernetes|Storage|CUDA|Distributed Systems|Git|Statistics|Research</t>
  </si>
  <si>
    <t>AIJOB0188</t>
  </si>
  <si>
    <t>LLM APIs|Python|Documentation|Agile|Linux</t>
  </si>
  <si>
    <t>AIJOB0189</t>
  </si>
  <si>
    <t>LangChain|Python|Embeddings|Vector DBs|LLMs|Statistics|Leadership|SQL</t>
  </si>
  <si>
    <t>AIJOB0190</t>
  </si>
  <si>
    <t>LangChain|APIs|Python|SQL|Cloud</t>
  </si>
  <si>
    <t>AIJOB0191</t>
  </si>
  <si>
    <t>Deep Learning|Leadership|Causal Inference|Python|Advanced Statistics|ML|Leadership</t>
  </si>
  <si>
    <t>AIJOB0192</t>
  </si>
  <si>
    <t>Fine-tuning|APIs|PyTorch|Python|Vision-Language Models|Statistics|Research|Communication</t>
  </si>
  <si>
    <t>AIJOB0193</t>
  </si>
  <si>
    <t>Prompt Engineering|Vector DBs|RAG|LLM APIs|Python|Communication|Statistics</t>
  </si>
  <si>
    <t>AIJOB0194</t>
  </si>
  <si>
    <t>Distributed Systems|PyTorch|Python|Statistics|SQL</t>
  </si>
  <si>
    <t>AIJOB0195</t>
  </si>
  <si>
    <t>Testing|Prompt Design|Documentation|Problem Solving|SQL|Git</t>
  </si>
  <si>
    <t>AIJOB0196</t>
  </si>
  <si>
    <t>Prompt Engineering|Fine-tuning|LLM APIs|RAG|Vector DBs|Python|Leadership|Linux|Git</t>
  </si>
  <si>
    <t>AIJOB0197</t>
  </si>
  <si>
    <t>LLMs|Fine-tuning|GenAI APIs|Python|Problem Solving</t>
  </si>
  <si>
    <t>AIJOB0198</t>
  </si>
  <si>
    <t>PyTorch|Vision-Language Models|Fine-tuning|Python|Agile</t>
  </si>
  <si>
    <t>AIJOB0199</t>
  </si>
  <si>
    <t>Business Analysis|Python|SQL|Cloud|Agile|Statistics</t>
  </si>
  <si>
    <t>AIJOB0200</t>
  </si>
  <si>
    <t>C++|ROS|Control Systems|Computer Vision|SQL|Cloud|Communication</t>
  </si>
  <si>
    <t>AIJOB0201</t>
  </si>
  <si>
    <t>RAG|Fine-tuning|Python|Communication|Linux|Leadership</t>
  </si>
  <si>
    <t>AIJOB0202</t>
  </si>
  <si>
    <t>Risk Assessment|AI Policy|Ethics Frameworks|Communication|Statistics|Cloud|Research</t>
  </si>
  <si>
    <t>AIJOB0203</t>
  </si>
  <si>
    <t>Image Processing|PyTorch|CNNs|Leadership</t>
  </si>
  <si>
    <t>AIJOB0204</t>
  </si>
  <si>
    <t>Advanced Statistics|Leadership|Deep Learning|ML|Git|Communication|Cloud</t>
  </si>
  <si>
    <t>AIJOB0205</t>
  </si>
  <si>
    <t>Docker|Python|Cloud (AWS/GCP/Azure)|PyTorch|LLM Integration|Agile</t>
  </si>
  <si>
    <t>AIJOB0206</t>
  </si>
  <si>
    <t>Vision-Language Models|Fine-tuning|APIs|Python|Linux|Leadership|Agile</t>
  </si>
  <si>
    <t>AIJOB0207</t>
  </si>
  <si>
    <t>Deep Learning|Python|Advanced Statistics|ML|Problem Solving|SQL|Git</t>
  </si>
  <si>
    <t>AIJOB0208</t>
  </si>
  <si>
    <t>LangChain|Tool Use|Planning Systems|APIs|Python|AutoGen|Agile</t>
  </si>
  <si>
    <t>AIJOB0209</t>
  </si>
  <si>
    <t>Neural Networks|TensorFlow|Python|CUDA|PyTorch|Problem Solving|Agile|Leadership</t>
  </si>
  <si>
    <t>AIJOB0210</t>
  </si>
  <si>
    <t>C++|Control Systems|Simulation|Computer Vision|Python|Linux|Git|Communication</t>
  </si>
  <si>
    <t>AIJOB0211</t>
  </si>
  <si>
    <t>Search Systems|Embeddings|Python|LangChain|Vector DBs|LLMs|Git|SQL</t>
  </si>
  <si>
    <t>AIJOB0212</t>
  </si>
  <si>
    <t>Python|Kubernetes|PyTorch|TensorFlow|SQL</t>
  </si>
  <si>
    <t>AIJOB0213</t>
  </si>
  <si>
    <t>Python|PyTorch|APIs|Problem Solving|Statistics|Leadership</t>
  </si>
  <si>
    <t>AIJOB0214</t>
  </si>
  <si>
    <t>Testing|Documentation|Python|NLP|LLM APIs|Problem Solving|Research</t>
  </si>
  <si>
    <t>AIJOB0215</t>
  </si>
  <si>
    <t>Risk Assessment|Ethics Frameworks|Research|Communication|AI Policy|Agile|Communication|Problem Solving</t>
  </si>
  <si>
    <t>AIJOB0216</t>
  </si>
  <si>
    <t>Airflow|Feature Stores|Spark|dbt|Communication|Agile|Problem Solving</t>
  </si>
  <si>
    <t>AIJOB0217</t>
  </si>
  <si>
    <t>PyTorch|Fine-tuning|Vision-Language Models|APIs|Linux|Leadership</t>
  </si>
  <si>
    <t>AIJOB0218</t>
  </si>
  <si>
    <t>TensorFlow|Python|Kubernetes|SQL|MLOps|PyTorch|Git|Statistics|Leadership</t>
  </si>
  <si>
    <t>AIJOB0219</t>
  </si>
  <si>
    <t>SQL|Airflow|ETL|Feature Stores|Python|Linux|Communication|Git</t>
  </si>
  <si>
    <t>AIJOB0220</t>
  </si>
  <si>
    <t>Causal Inference|Leadership|Python|Advanced Statistics|ML|Deep Learning|Communication</t>
  </si>
  <si>
    <t>AIJOB0221</t>
  </si>
  <si>
    <t>C++|Simulation|Control Systems|Computer Vision|Research|Problem Solving|Git</t>
  </si>
  <si>
    <t>AIJOB0222</t>
  </si>
  <si>
    <t>Python|Documentation|Testing|NLP|Problem Solving|Cloud</t>
  </si>
  <si>
    <t>AIJOB0223</t>
  </si>
  <si>
    <t>LLM APIs|Documentation|NLP|Git</t>
  </si>
  <si>
    <t>AIJOB0224</t>
  </si>
  <si>
    <t>Statistics|ML Algorithms|SQL|Data Visualization|Python|Leadership</t>
  </si>
  <si>
    <t>AIJOB0225</t>
  </si>
  <si>
    <t>Image Processing|CUDA|PyTorch|OpenCV|CNNs|Python|Research</t>
  </si>
  <si>
    <t>AIJOB0226</t>
  </si>
  <si>
    <t>Python|Airflow|SQL|Spark|ETL|Statistics|Communication|Cloud</t>
  </si>
  <si>
    <t>AIJOB0227</t>
  </si>
  <si>
    <t>CUDA|Image Processing|PyTorch|OpenCV|Python|Linux</t>
  </si>
  <si>
    <t>AIJOB0228</t>
  </si>
  <si>
    <t>Stakeholder Mgmt|AI Literacy|Data Analysis|Agile|SQL|Communication|Git</t>
  </si>
  <si>
    <t>AIJOB0229</t>
  </si>
  <si>
    <t>Leadership|Python|Cloud|Agile</t>
  </si>
  <si>
    <t>AIJOB0230</t>
  </si>
  <si>
    <t>LLMs|BERT|Hugging Face|Python|Text Processing|Transformers|Research|Agile</t>
  </si>
  <si>
    <t>AIJOB0231</t>
  </si>
  <si>
    <t>Product Strategy|Data Analysis|Stakeholder Mgmt|Research|Linux|Statistics</t>
  </si>
  <si>
    <t>AIJOB0232</t>
  </si>
  <si>
    <t>PyTorch|TensorFlow|Kubernetes|SQL|Python|MLOps|Cloud|Statistics|Linux</t>
  </si>
  <si>
    <t>AIJOB0233</t>
  </si>
  <si>
    <t>Communication|Python|SQL|Business Analysis|Data Visualization|Agile|Leadership</t>
  </si>
  <si>
    <t>AIJOB0234</t>
  </si>
  <si>
    <t>Spark|dbt|Airflow|ETL|SQL|Feature Stores|Cloud|Statistics</t>
  </si>
  <si>
    <t>AIJOB0235</t>
  </si>
  <si>
    <t>GPU Computing|CUDA|TensorFlow|Python|PyTorch|Neural Networks|Git|SQL|Communication</t>
  </si>
  <si>
    <t>AIJOB0236</t>
  </si>
  <si>
    <t>Fine-tuning|Python|GenAI APIs|Git|Problem Solving|Communication</t>
  </si>
  <si>
    <t>AIJOB0237</t>
  </si>
  <si>
    <t>Python|GenAI APIs|LLMs|Fine-tuning|Diffusion Models|Deployment|Linux|Leadership|Research</t>
  </si>
  <si>
    <t>AIJOB0238</t>
  </si>
  <si>
    <t>Python|NLP|Testing|LLM APIs|Prompt Design|SQL|Agile|Problem Solving</t>
  </si>
  <si>
    <t>AIJOB0239</t>
  </si>
  <si>
    <t>LLM Integration|Cloud (AWS/GCP/Azure)|Docker|Communication|Problem Solving|Agile</t>
  </si>
  <si>
    <t>AIJOB0240</t>
  </si>
  <si>
    <t>AI Research Scientist</t>
  </si>
  <si>
    <t>Python|Publishing|Research|PyTorch|Deep Learning|Mathematics|Communication</t>
  </si>
  <si>
    <t>AIJOB0241</t>
  </si>
  <si>
    <t>Cybersecurity|Red Teaming|ML Security|Problem Solving|Leadership|Git</t>
  </si>
  <si>
    <t>AIJOB0242</t>
  </si>
  <si>
    <t>PyTorch|MLOps|SQL|Kubernetes|Problem Solving|Communication</t>
  </si>
  <si>
    <t>AIJOB0243</t>
  </si>
  <si>
    <t>PyTorch|Fine-tuning|APIs|SQL|Agile|Linux</t>
  </si>
  <si>
    <t>AIJOB0244</t>
  </si>
  <si>
    <t>TensorFlow|Python|CUDA|Neural Networks|Agile</t>
  </si>
  <si>
    <t>AIJOB0245</t>
  </si>
  <si>
    <t>Python|ROS|C++|Control Systems|Simulation|Research</t>
  </si>
  <si>
    <t>AIJOB0246</t>
  </si>
  <si>
    <t>SQL|Scikit-learn|Python|Communication</t>
  </si>
  <si>
    <t>AIJOB0247</t>
  </si>
  <si>
    <t>Stakeholder Mgmt|AI Literacy|Data Analysis|Agile|Agile</t>
  </si>
  <si>
    <t>AIJOB0248</t>
  </si>
  <si>
    <t>AI Literacy|Agile|Product Strategy|Stakeholder Mgmt|Data Analysis|Problem Solving|Statistics</t>
  </si>
  <si>
    <t>AIJOB0249</t>
  </si>
  <si>
    <t>Docker|Python|MLflow|Monitoring|Statistics</t>
  </si>
  <si>
    <t>AIJOB0250</t>
  </si>
  <si>
    <t>LLMs|Deployment|GenAI APIs|Fine-tuning|Python|SQL</t>
  </si>
  <si>
    <t>AIJOB0251</t>
  </si>
  <si>
    <t>Python|Airflow|ETL|SQL|Communication|Problem Solving</t>
  </si>
  <si>
    <t>AIJOB0252</t>
  </si>
  <si>
    <t>Python|Leadership|System Design|ML|Enterprise Architecture|Research|SQL</t>
  </si>
  <si>
    <t>AIJOB0253</t>
  </si>
  <si>
    <t>PyTorch|MLOps|TensorFlow|Kubernetes|Python|SQL|Research|Git</t>
  </si>
  <si>
    <t>AIJOB0254</t>
  </si>
  <si>
    <t>Prompt Design|Python|Testing|NLP|Documentation|LLM APIs|Git</t>
  </si>
  <si>
    <t>AIJOB0255</t>
  </si>
  <si>
    <t>Vector DBs|LangChain|Search Systems|LLMs|Cloud</t>
  </si>
  <si>
    <t>AIJOB0256</t>
  </si>
  <si>
    <t>GPU Computing|Neural Networks|PyTorch|Problem Solving</t>
  </si>
  <si>
    <t>AIJOB0257</t>
  </si>
  <si>
    <t>Python|OpenCV|CUDA|PyTorch|Image Processing|Git|SQL</t>
  </si>
  <si>
    <t>AIJOB0258</t>
  </si>
  <si>
    <t>Business Analysis|Communication|Python|Git|Cloud</t>
  </si>
  <si>
    <t>AIJOB0259</t>
  </si>
  <si>
    <t>Risk Analysis|Python|ML Security|Red Teaming|Leadership|Statistics</t>
  </si>
  <si>
    <t>AIJOB0260</t>
  </si>
  <si>
    <t>Hugging Face|LLMs|Text Processing|Python|Statistics|Leadership</t>
  </si>
  <si>
    <t>AIJOB0261</t>
  </si>
  <si>
    <t>Risk Analysis|Cybersecurity|Red Teaming|Python|Statistics|Research</t>
  </si>
  <si>
    <t>AIJOB0262</t>
  </si>
  <si>
    <t>Stakeholder Mgmt|Product Strategy|Agile|AI Literacy|Data Analysis|Linux</t>
  </si>
  <si>
    <t>AIJOB0263</t>
  </si>
  <si>
    <t>Fine-tuning|RAG|Python|Communication|Statistics</t>
  </si>
  <si>
    <t>AIJOB0264</t>
  </si>
  <si>
    <t>Risk Management|Auditing|Legal Knowledge|Documentation|EU AI Act|Linux|Git</t>
  </si>
  <si>
    <t>AIJOB0265</t>
  </si>
  <si>
    <t>Python|ML Algorithms|SQL|Data Visualization|Statistics|Scikit-learn|Communication|Problem Solving</t>
  </si>
  <si>
    <t>AIJOB0266</t>
  </si>
  <si>
    <t>SQL|Statistics|ML Algorithms|Scikit-learn|Python|Git</t>
  </si>
  <si>
    <t>AIJOB0267</t>
  </si>
  <si>
    <t>Kubernetes|TensorFlow|SQL|PyTorch|Python|MLOps|Problem Solving|Linux</t>
  </si>
  <si>
    <t>AIJOB0268</t>
  </si>
  <si>
    <t>Legal Knowledge|Risk Management|Documentation|Auditing|Research|Problem Solving</t>
  </si>
  <si>
    <t>AIJOB0269</t>
  </si>
  <si>
    <t>Search Systems|Python|LLMs|Embeddings|Vector DBs|Problem Solving|Cloud</t>
  </si>
  <si>
    <t>AIJOB0270</t>
  </si>
  <si>
    <t>SQL|Data Visualization|Communication|Python|Business Analysis|Git|Research|Linux</t>
  </si>
  <si>
    <t>AIJOB0271</t>
  </si>
  <si>
    <t>Product Strategy|AI Literacy|Stakeholder Mgmt|Data Analysis|Agile|Agile|Cloud|Research</t>
  </si>
  <si>
    <t>AIJOB0272</t>
  </si>
  <si>
    <t>CUDA|Cloud|Networking|Distributed Systems|SQL</t>
  </si>
  <si>
    <t>AIJOB0273</t>
  </si>
  <si>
    <t>Networking|Kubernetes|Distributed Systems|Cloud|Leadership</t>
  </si>
  <si>
    <t>AIJOB0274</t>
  </si>
  <si>
    <t>Advanced Statistics|Python|Leadership|Causal Inference|ML|Deep Learning|Problem Solving|Cloud|Linux</t>
  </si>
  <si>
    <t>AIJOB0275</t>
  </si>
  <si>
    <t>Cloud (AWS/GCP/Azure)|Python|PyTorch|LLM Integration|Docker|Problem Solving</t>
  </si>
  <si>
    <t>AIJOB0276</t>
  </si>
  <si>
    <t>Leadership|System Design|ML|Python|Enterprise Architecture|Research|Leadership</t>
  </si>
  <si>
    <t>AIJOB0277</t>
  </si>
  <si>
    <t>SQL|TensorFlow|Python|Research|Git</t>
  </si>
  <si>
    <t>AIJOB0278</t>
  </si>
  <si>
    <t>Cloud (AWS/GCP/Azure)|LLM Integration|PyTorch|Python|Linux|Leadership</t>
  </si>
  <si>
    <t>AIJOB0279</t>
  </si>
  <si>
    <t>Auditing|Documentation|EU AI Act|Agile|Git|SQL</t>
  </si>
  <si>
    <t>AIJOB0280</t>
  </si>
  <si>
    <t>Fine-tuning|RAG|Prompt Engineering|Statistics|Leadership|SQL</t>
  </si>
  <si>
    <t>AIJOB0281</t>
  </si>
  <si>
    <t>AI Literacy|Data Analysis|Stakeholder Mgmt|Agile|Linux|Statistics|SQL</t>
  </si>
  <si>
    <t>AIJOB0282</t>
  </si>
  <si>
    <t>Hugging Face|Transformers|Python|Git|Problem Solving|Linux</t>
  </si>
  <si>
    <t>AIJOB0283</t>
  </si>
  <si>
    <t>Publishing|Research|Mathematics|Python|Deep Learning|PyTorch|Cloud</t>
  </si>
  <si>
    <t>AIJOB0284</t>
  </si>
  <si>
    <t>GPU Computing|Python|Neural Networks|TensorFlow|Git|SQL</t>
  </si>
  <si>
    <t>AIJOB0285</t>
  </si>
  <si>
    <t>Planning Systems|Python|Tool Use|LangChain|AutoGen|APIs|Git|Leadership|Communication</t>
  </si>
  <si>
    <t>AIJOB0286</t>
  </si>
  <si>
    <t>Product Strategy|Agile|AI Literacy|Data Analysis|Leadership</t>
  </si>
  <si>
    <t>AIJOB0287</t>
  </si>
  <si>
    <t>Feature Stores|dbt|Spark|Cloud|Git</t>
  </si>
  <si>
    <t>AIJOB0288</t>
  </si>
  <si>
    <t>SQL|Kubernetes|PyTorch|TensorFlow|Python|MLOps|Linux</t>
  </si>
  <si>
    <t>AIJOB0289</t>
  </si>
  <si>
    <t>Python|Docker|PyTorch|LLM Integration|Cloud (AWS/GCP/Azure)|Communication</t>
  </si>
  <si>
    <t>AIJOB0290</t>
  </si>
  <si>
    <t>Business Analysis|SQL|Data Visualization|Linux|Cloud</t>
  </si>
  <si>
    <t>AIJOB0291</t>
  </si>
  <si>
    <t>Python|LangChain|APIs|Problem Solving|Agile|Cloud</t>
  </si>
  <si>
    <t>AIJOB0292</t>
  </si>
  <si>
    <t>Enterprise Architecture|Python|System Design|ML|Statistics|Cloud</t>
  </si>
  <si>
    <t>AIJOB0293</t>
  </si>
  <si>
    <t>Red Teaming|Risk Analysis|Cybersecurity|SQL</t>
  </si>
  <si>
    <t>AIJOB0294</t>
  </si>
  <si>
    <t>Python|PyTorch|MLOps|Problem Solving|Statistics|Cloud</t>
  </si>
  <si>
    <t>AIJOB0295</t>
  </si>
  <si>
    <t>Python|Diffusion Models|GenAI APIs|Deployment|LLMs|Fine-tuning|Statistics|Linux</t>
  </si>
  <si>
    <t>AIJOB0296</t>
  </si>
  <si>
    <t>Python|Business Analysis|SQL|Communication|Linux|Problem Solving|Communication</t>
  </si>
  <si>
    <t>AIJOB0297</t>
  </si>
  <si>
    <t>Image Processing|Python|CNNs|CUDA|Research</t>
  </si>
  <si>
    <t>AIJOB0298</t>
  </si>
  <si>
    <t>Cloud|ML|Leadership|System Design|Git|SQL|Research</t>
  </si>
  <si>
    <t>AIJOB0299</t>
  </si>
  <si>
    <t>Python|ML|System Design|Cloud|Agile</t>
  </si>
  <si>
    <t>AIJOB0300</t>
  </si>
  <si>
    <t>LLMs|Python|Fine-tuning|GenAI APIs|Deployment|Diffusion Models|Communication|Linux|Statistics</t>
  </si>
  <si>
    <t>AIJOB0301</t>
  </si>
  <si>
    <t>Python|CUDA|TensorFlow|PyTorch|Neural Networks|Leadership|Problem Solving</t>
  </si>
  <si>
    <t>AIJOB0302</t>
  </si>
  <si>
    <t>Python|Fine-tuning|APIs|Vision-Language Models|Linux</t>
  </si>
  <si>
    <t>AIJOB0303</t>
  </si>
  <si>
    <t>Python|ROS|Control Systems|Computer Vision|Simulation|Problem Solving|Statistics</t>
  </si>
  <si>
    <t>AIJOB0304</t>
  </si>
  <si>
    <t>Python|ML|Leadership|System Design|Statistics</t>
  </si>
  <si>
    <t>AIJOB0305</t>
  </si>
  <si>
    <t>Distributed Systems|CUDA|Storage|Cloud|Leadership</t>
  </si>
  <si>
    <t>AIJOB0306</t>
  </si>
  <si>
    <t>C++|Python|ROS|Simulation|Control Systems|Computer Vision|Agile|Linux</t>
  </si>
  <si>
    <t>AIJOB0307</t>
  </si>
  <si>
    <t>Causal Inference|Python|Leadership|Deep Learning|ML|Advanced Statistics|Communication|SQL</t>
  </si>
  <si>
    <t>AIJOB0308</t>
  </si>
  <si>
    <t>Communication|Ethics Frameworks|AI Policy|Risk Assessment|Statistics|Agile</t>
  </si>
  <si>
    <t>AIJOB0309</t>
  </si>
  <si>
    <t>Kubernetes|Cloud|Docker|Leadership|Statistics</t>
  </si>
  <si>
    <t>AIJOB0310</t>
  </si>
  <si>
    <t>LLM APIs|NLP|Python|Testing|SQL|Agile</t>
  </si>
  <si>
    <t>AIJOB0311</t>
  </si>
  <si>
    <t>Python|Cloud|Docker|CI/CD|Problem Solving</t>
  </si>
  <si>
    <t>AIJOB0312</t>
  </si>
  <si>
    <t>SQL|Scikit-learn|Statistics|Data Visualization|SQL</t>
  </si>
  <si>
    <t>AIJOB0313</t>
  </si>
  <si>
    <t>System Design|Distributed Systems|LLM Fine-tuning|MLOps|PyTorch|Leadership</t>
  </si>
  <si>
    <t>AIJOB0314</t>
  </si>
  <si>
    <t>Data Analysis|Product Strategy|AI Literacy|Git|Problem Solving</t>
  </si>
  <si>
    <t>AIJOB0315</t>
  </si>
  <si>
    <t>ML Security|Risk Analysis|Python|Agile</t>
  </si>
  <si>
    <t>AIJOB0316</t>
  </si>
  <si>
    <t>EU AI Act|Documentation|Auditing|Legal Knowledge|SQL|Git</t>
  </si>
  <si>
    <t>AIJOB0317</t>
  </si>
  <si>
    <t>Python|Deep Learning|Leadership|Communication|Problem Solving|Agile</t>
  </si>
  <si>
    <t>AIJOB0318</t>
  </si>
  <si>
    <t>CUDA|Distributed Systems|Storage|Cloud|Communication|Cloud|Git</t>
  </si>
  <si>
    <t>AIJOB0319</t>
  </si>
  <si>
    <t>LLMs|Fine-tuning|Diffusion Models|Python|GenAI APIs|Deployment|Communication|Git</t>
  </si>
  <si>
    <t>AIJOB0320</t>
  </si>
  <si>
    <t>Enterprise Architecture|Cloud|System Design|Communication|Statistics</t>
  </si>
  <si>
    <t>AIJOB0321</t>
  </si>
  <si>
    <t>Auditing|Documentation|EU AI Act|Risk Management|Git</t>
  </si>
  <si>
    <t>AIJOB0322</t>
  </si>
  <si>
    <t>Research|AI Policy|Communication|Risk Assessment|Communication|Agile</t>
  </si>
  <si>
    <t>AIJOB0323</t>
  </si>
  <si>
    <t>Legal Knowledge|EU AI Act|Auditing|Documentation|Agile|Linux|Research</t>
  </si>
  <si>
    <t>AIJOB0324</t>
  </si>
  <si>
    <t>Computer Vision|C++|Simulation|Cloud|Statistics|Agile</t>
  </si>
  <si>
    <t>AIJOB0325</t>
  </si>
  <si>
    <t>Cloud (AWS/GCP/Azure)|Python|Docker|PyTorch|Communication</t>
  </si>
  <si>
    <t>AIJOB0326</t>
  </si>
  <si>
    <t>Docker|PyTorch|LLM Integration|Python|Cloud (AWS/GCP/Azure)|SQL|Statistics|Cloud</t>
  </si>
  <si>
    <t>AIJOB0327</t>
  </si>
  <si>
    <t>Communication|AI Policy|Ethics Frameworks|Agile</t>
  </si>
  <si>
    <t>AIJOB0328</t>
  </si>
  <si>
    <t>Distributed Systems|Kubernetes|CUDA|Cloud|Storage|Networking|Leadership|Statistics</t>
  </si>
  <si>
    <t>AIJOB0329</t>
  </si>
  <si>
    <t>AutoGen|Planning Systems|Tool Use|APIs|Python|LangChain|Research|Linux</t>
  </si>
  <si>
    <t>AIJOB0330</t>
  </si>
  <si>
    <t>Tool Use|LangChain|Python|APIs|SQL</t>
  </si>
  <si>
    <t>AIJOB0331</t>
  </si>
  <si>
    <t>CUDA|Python|Neural Networks|GPU Computing|Git</t>
  </si>
  <si>
    <t>AIJOB0332</t>
  </si>
  <si>
    <t>MLOps|Python|PyTorch|System Design|LLM Fine-tuning|Statistics|Cloud</t>
  </si>
  <si>
    <t>AIJOB0333</t>
  </si>
  <si>
    <t>Leadership|Python|Enterprise Architecture|ML|System Design|Linux|Statistics</t>
  </si>
  <si>
    <t>AIJOB0334</t>
  </si>
  <si>
    <t>PyTorch|Python|Fine-tuning|APIs|Vision-Language Models|SQL|Cloud</t>
  </si>
  <si>
    <t>AIJOB0335</t>
  </si>
  <si>
    <t>Enterprise Architecture|Python|ML|Leadership|Cloud|System Design|Agile</t>
  </si>
  <si>
    <t>AIJOB0336</t>
  </si>
  <si>
    <t>Cloud (AWS/GCP/Azure)|Docker|PyTorch|Python|LLM Integration|Communication</t>
  </si>
  <si>
    <t>AIJOB0337</t>
  </si>
  <si>
    <t>Stakeholder Mgmt|AI Literacy|Product Strategy|Agile|Linux|Cloud</t>
  </si>
  <si>
    <t>AIJOB0338</t>
  </si>
  <si>
    <t>Embeddings|Search Systems|LangChain|Agile|Linux|Git</t>
  </si>
  <si>
    <t>AIJOB0339</t>
  </si>
  <si>
    <t>PyTorch|APIs|Vision-Language Models|Python|Communication|Problem Solving</t>
  </si>
  <si>
    <t>AIJOB0340</t>
  </si>
  <si>
    <t>Python|LLMs|Transformers|Cloud|Communication</t>
  </si>
  <si>
    <t>AIJOB0341</t>
  </si>
  <si>
    <t>Product Strategy|Data Analysis|AI Literacy|Stakeholder Mgmt|Agile|Statistics|Linux</t>
  </si>
  <si>
    <t>AIJOB0342</t>
  </si>
  <si>
    <t>Advanced Statistics|ML|Causal Inference|Statistics|Cloud|Agile</t>
  </si>
  <si>
    <t>AIJOB0343</t>
  </si>
  <si>
    <t>GenAI APIs|Python|Diffusion Models|Deployment|Research</t>
  </si>
  <si>
    <t>AIJOB0344</t>
  </si>
  <si>
    <t>Ethics Frameworks|Risk Assessment|AI Policy|Leadership|Agile|Communication</t>
  </si>
  <si>
    <t>AIJOB0345</t>
  </si>
  <si>
    <t>Documentation|EU AI Act|Risk Management|Legal Knowledge|Git</t>
  </si>
  <si>
    <t>AIJOB0346</t>
  </si>
  <si>
    <t>AI Literacy|Data Analysis|Product Strategy|Agile|Stakeholder Mgmt|Git</t>
  </si>
  <si>
    <t>AIJOB0347</t>
  </si>
  <si>
    <t>Python|System Design|MLOps|PyTorch|Agile|Linux|Statistics</t>
  </si>
  <si>
    <t>AIJOB0348</t>
  </si>
  <si>
    <t>Data Visualization|Communication|SQL|Leadership</t>
  </si>
  <si>
    <t>AIJOB0349</t>
  </si>
  <si>
    <t>LangChain|APIs|AutoGen|Python|Planning Systems|Problem Solving|SQL</t>
  </si>
  <si>
    <t>AIJOB0350</t>
  </si>
  <si>
    <t>Python|Diffusion Models|GenAI APIs|Cloud</t>
  </si>
  <si>
    <t>AIJOB0351</t>
  </si>
  <si>
    <t>Enterprise Architecture|System Design|Python|ML|Leadership|Cloud</t>
  </si>
  <si>
    <t>AIJOB0352</t>
  </si>
  <si>
    <t>Vector DBs|Python|LangChain|Search Systems|Communication</t>
  </si>
  <si>
    <t>AIJOB0353</t>
  </si>
  <si>
    <t>PyTorch|CUDA|Neural Networks|Research|SQL</t>
  </si>
  <si>
    <t>AIJOB0354</t>
  </si>
  <si>
    <t>Python|Scikit-learn|Data Visualization|Statistics|SQL|SQL</t>
  </si>
  <si>
    <t>AIJOB0355</t>
  </si>
  <si>
    <t>SQL|Statistics|Scikit-learn|Data Visualization|Communication|Leadership</t>
  </si>
  <si>
    <t>AIJOB0356</t>
  </si>
  <si>
    <t>Causal Inference|Python|ML|Deep Learning|Communication</t>
  </si>
  <si>
    <t>AIJOB0357</t>
  </si>
  <si>
    <t>Control Systems|ROS|Simulation|Python|Git|Communication</t>
  </si>
  <si>
    <t>AIJOB0358</t>
  </si>
  <si>
    <t>Python|CUDA|Image Processing|PyTorch|CNNs|OpenCV|Git</t>
  </si>
  <si>
    <t>AIJOB0359</t>
  </si>
  <si>
    <t>Scikit-learn|Python|Statistics|ML Algorithms|SQL|Data Visualization|Linux|Git|Agile</t>
  </si>
  <si>
    <t>AIJOB0360</t>
  </si>
  <si>
    <t>Prompt Design|NLP|LLM APIs|Documentation|Python|Statistics</t>
  </si>
  <si>
    <t>AIJOB0361</t>
  </si>
  <si>
    <t>Causal Inference|Python|Leadership|ML|Deep Learning|Cloud|Research|Communication</t>
  </si>
  <si>
    <t>AIJOB0362</t>
  </si>
  <si>
    <t>Prompt Engineering|Vector DBs|Fine-tuning|Python|Leadership</t>
  </si>
  <si>
    <t>AIJOB0363</t>
  </si>
  <si>
    <t>SQL|Business Analysis|Python|Data Visualization|Communication|Git</t>
  </si>
  <si>
    <t>AIJOB0364</t>
  </si>
  <si>
    <t>Communication|Python|Business Analysis|Data Visualization|SQL|Statistics</t>
  </si>
  <si>
    <t>AIJOB0365</t>
  </si>
  <si>
    <t>System Design|LLM Fine-tuning|MLOps|Leadership|Problem Solving|Cloud</t>
  </si>
  <si>
    <t>AIJOB0366</t>
  </si>
  <si>
    <t>Documentation|LLM APIs|NLP|SQL|Linux</t>
  </si>
  <si>
    <t>AIJOB0367</t>
  </si>
  <si>
    <t>Docker|CI/CD|Python|Kubernetes|MLflow|Cloud|SQL|Agile</t>
  </si>
  <si>
    <t>AIJOB0368</t>
  </si>
  <si>
    <t>NLP|Testing|LLM APIs|Prompt Design|Documentation|Python|Research|Linux|Statistics</t>
  </si>
  <si>
    <t>AIJOB0369</t>
  </si>
  <si>
    <t>SQL|Kubernetes|Python|Problem Solving</t>
  </si>
  <si>
    <t>AIJOB0370</t>
  </si>
  <si>
    <t>Python|Data Visualization|SQL|Statistics|ML Algorithms|Scikit-learn|Statistics</t>
  </si>
  <si>
    <t>AIJOB0371</t>
  </si>
  <si>
    <t>C++|Computer Vision|Python|ROS|Statistics|Linux|SQL</t>
  </si>
  <si>
    <t>AIJOB0372</t>
  </si>
  <si>
    <t>Python|SQL|ML Algorithms|Statistics|Data Visualization|Scikit-learn|Research</t>
  </si>
  <si>
    <t>AIJOB0373</t>
  </si>
  <si>
    <t>ML Algorithms|Data Visualization|Statistics|Statistics</t>
  </si>
  <si>
    <t>AIJOB0374</t>
  </si>
  <si>
    <t>Kubernetes|TensorFlow|MLOps|PyTorch|Python|Leadership|Agile|SQL</t>
  </si>
  <si>
    <t>AIJOB0375</t>
  </si>
  <si>
    <t>Deployment|Fine-tuning|LLMs|Diffusion Models|GenAI APIs|Communication|Statistics</t>
  </si>
  <si>
    <t>AIJOB0376</t>
  </si>
  <si>
    <t>Embeddings|Search Systems|Python|LLMs|LangChain|Vector DBs|Research|Git|Statistics</t>
  </si>
  <si>
    <t>AIJOB0377</t>
  </si>
  <si>
    <t>SQL|ML Algorithms|Statistics|Problem Solving</t>
  </si>
  <si>
    <t>AIJOB0378</t>
  </si>
  <si>
    <t>Ethics Frameworks|Communication|AI Policy|Communication|Linux|Git</t>
  </si>
  <si>
    <t>AIJOB0379</t>
  </si>
  <si>
    <t>Python|Diffusion Models|Deployment|GenAI APIs|Fine-tuning|LLMs|Git|Leadership</t>
  </si>
  <si>
    <t>AIJOB0380</t>
  </si>
  <si>
    <t>Simulation|Python|Computer Vision|Communication</t>
  </si>
  <si>
    <t>AIJOB0381</t>
  </si>
  <si>
    <t>Business Analysis|Python|SQL|Problem Solving|Research|Git</t>
  </si>
  <si>
    <t>AIJOB0382</t>
  </si>
  <si>
    <t>Python|Distributed Systems|LLM Fine-tuning|Cloud|Problem Solving</t>
  </si>
  <si>
    <t>AIJOB0383</t>
  </si>
  <si>
    <t>RAG|Prompt Engineering|Fine-tuning|Communication|Git|Leadership</t>
  </si>
  <si>
    <t>AIJOB0384</t>
  </si>
  <si>
    <t>ML Security|Risk Analysis|Cybersecurity|Linux</t>
  </si>
  <si>
    <t>AIJOB0385</t>
  </si>
  <si>
    <t>EU AI Act|Risk Management|Auditing|Documentation|Leadership|SQL|Cloud</t>
  </si>
  <si>
    <t>AIJOB0386</t>
  </si>
  <si>
    <t>Ethics Frameworks|Communication|Risk Assessment|AI Policy|Research|SQL|Research</t>
  </si>
  <si>
    <t>AIJOB0387</t>
  </si>
  <si>
    <t>Python|Deployment|Fine-tuning|LLMs|Diffusion Models|Agile</t>
  </si>
  <si>
    <t>AIJOB0388</t>
  </si>
  <si>
    <t>Kubernetes|Cloud|Python|Monitoring|Git|SQL</t>
  </si>
  <si>
    <t>AIJOB0389</t>
  </si>
  <si>
    <t>Python|Transformers|Hugging Face|Communication</t>
  </si>
  <si>
    <t>AIJOB0390</t>
  </si>
  <si>
    <t>Risk Management|EU AI Act|Documentation|Auditing|Leadership</t>
  </si>
  <si>
    <t>AIJOB0391</t>
  </si>
  <si>
    <t>Publishing|Research|Deep Learning|Mathematics|PyTorch|Agile|Cloud</t>
  </si>
  <si>
    <t>AIJOB0392</t>
  </si>
  <si>
    <t>Fine-tuning|Prompt Engineering|Python|RAG|Vector DBs|Research|Leadership</t>
  </si>
  <si>
    <t>AIJOB0393</t>
  </si>
  <si>
    <t>LLM APIs|Python|Prompt Design|Documentation|NLP|Testing|Leadership|Problem Solving|Git</t>
  </si>
  <si>
    <t>AIJOB0394</t>
  </si>
  <si>
    <t>Fine-tuning|PyTorch|Python|Agile|Statistics</t>
  </si>
  <si>
    <t>AIJOB0395</t>
  </si>
  <si>
    <t>Vector DBs|RAG|Fine-tuning|Python|LLM APIs|Prompt Engineering|Cloud|Communication</t>
  </si>
  <si>
    <t>AIJOB0396</t>
  </si>
  <si>
    <t>Docker|Cloud (AWS/GCP/Azure)|LLM Integration|Python|SQL|Linux|Leadership</t>
  </si>
  <si>
    <t>AIJOB0397</t>
  </si>
  <si>
    <t>CUDA|TensorFlow|Python|Neural Networks|GPU Computing|PyTorch|Problem Solving</t>
  </si>
  <si>
    <t>AIJOB0398</t>
  </si>
  <si>
    <t>PyTorch|APIs|Vision-Language Models|Git</t>
  </si>
  <si>
    <t>AIJOB0399</t>
  </si>
  <si>
    <t>GPU Computing|Neural Networks|TensorFlow|Python|Linux</t>
  </si>
  <si>
    <t>AIJOB0400</t>
  </si>
  <si>
    <t>Enterprise Architecture|ML|Python|Leadership|System Design|Communication|Linux</t>
  </si>
  <si>
    <t>AIJOB0401</t>
  </si>
  <si>
    <t>Networking|Cloud|Kubernetes|Distributed Systems|CUDA|Git|Statistics|Problem Solving</t>
  </si>
  <si>
    <t>AIJOB0402</t>
  </si>
  <si>
    <t>Python|System Design|Leadership|Cloud|Linux</t>
  </si>
  <si>
    <t>AIJOB0403</t>
  </si>
  <si>
    <t>Cloud|ML|System Design|Cloud|Linux|Git</t>
  </si>
  <si>
    <t>AIJOB0404</t>
  </si>
  <si>
    <t>Python|APIs|PyTorch|Vision-Language Models|Fine-tuning|Problem Solving</t>
  </si>
  <si>
    <t>AIJOB0405</t>
  </si>
  <si>
    <t>PyTorch|Python|Distributed Systems|Linux|SQL|Cloud</t>
  </si>
  <si>
    <t>AIJOB0406</t>
  </si>
  <si>
    <t>Python|RAG|Fine-tuning|Vector DBs|Communication|Research</t>
  </si>
  <si>
    <t>AIJOB0407</t>
  </si>
  <si>
    <t>Python|Prompt Design|Documentation|NLP|Cloud|Linux|Statistics</t>
  </si>
  <si>
    <t>AIJOB0408</t>
  </si>
  <si>
    <t>Docker|Python|PyTorch|Problem Solving</t>
  </si>
  <si>
    <t>AIJOB0409</t>
  </si>
  <si>
    <t>Research|Communication|Ethics Frameworks|Linux|Agile</t>
  </si>
  <si>
    <t>AIJOB0410</t>
  </si>
  <si>
    <t>Risk Management|Auditing|Documentation|Legal Knowledge|EU AI Act|Research</t>
  </si>
  <si>
    <t>AIJOB0411</t>
  </si>
  <si>
    <t>GPU Computing|Python|Neural Networks|TensorFlow|Agile|Linux</t>
  </si>
  <si>
    <t>AIJOB0412</t>
  </si>
  <si>
    <t>Neural Networks|CUDA|GPU Computing|Python|PyTorch|TensorFlow|Cloud|Git</t>
  </si>
  <si>
    <t>AIJOB0413</t>
  </si>
  <si>
    <t>Kubernetes|Cloud|Monitoring|Python|CI/CD|MLflow|Cloud|Problem Solving</t>
  </si>
  <si>
    <t>AIJOB0414</t>
  </si>
  <si>
    <t>Kubernetes|MLOps|TensorFlow|SQL|Python|Cloud|Problem Solving|Communication</t>
  </si>
  <si>
    <t>AIJOB0415</t>
  </si>
  <si>
    <t>Python|APIs|Planning Systems|AutoGen|Cloud|Problem Solving|Git</t>
  </si>
  <si>
    <t>AIJOB0416</t>
  </si>
  <si>
    <t>Simulation|Control Systems|C++|Agile</t>
  </si>
  <si>
    <t>AIJOB0417</t>
  </si>
  <si>
    <t>PyTorch|LLM Integration|Python|Docker|Cloud (AWS/GCP/Azure)|Linux|Communication|Research</t>
  </si>
  <si>
    <t>AIJOB0418</t>
  </si>
  <si>
    <t>Python|Research|Publishing|PyTorch|Agile</t>
  </si>
  <si>
    <t>AIJOB0419</t>
  </si>
  <si>
    <t>Image Processing|CUDA|PyTorch|OpenCV|CNNs|Python|Cloud|Statistics|Leadership</t>
  </si>
  <si>
    <t>AIJOB0420</t>
  </si>
  <si>
    <t>LangChain|Vector DBs|Python|LLMs|Embeddings|Search Systems|Communication|Statistics|Research</t>
  </si>
  <si>
    <t>AIJOB0421</t>
  </si>
  <si>
    <t>Agile|Data Analysis|Stakeholder Mgmt|Product Strategy|AI Literacy|Research|Git</t>
  </si>
  <si>
    <t>AIJOB0422</t>
  </si>
  <si>
    <t>Red Teaming|Cybersecurity|ML Security|Leadership|Communication|Problem Solving</t>
  </si>
  <si>
    <t>AIJOB0423</t>
  </si>
  <si>
    <t>Publishing|PyTorch|Deep Learning|Statistics</t>
  </si>
  <si>
    <t>AIJOB0424</t>
  </si>
  <si>
    <t>Python|Deployment|LLMs|GenAI APIs|Diffusion Models|Git|Statistics|Linux</t>
  </si>
  <si>
    <t>AIJOB0425</t>
  </si>
  <si>
    <t>Prompt Design|NLP|Documentation|Python|Statistics|Linux</t>
  </si>
  <si>
    <t>AIJOB0426</t>
  </si>
  <si>
    <t>CUDA|Storage|Distributed Systems|Communication|Research|Agile</t>
  </si>
  <si>
    <t>AIJOB0427</t>
  </si>
  <si>
    <t>Hugging Face|LLMs|BERT|Research|Statistics</t>
  </si>
  <si>
    <t>AIJOB0428</t>
  </si>
  <si>
    <t>RAG|LLM APIs|Prompt Engineering|Vector DBs|Fine-tuning|Linux|Communication</t>
  </si>
  <si>
    <t>AIJOB0429</t>
  </si>
  <si>
    <t>APIs|Vision-Language Models|Python|PyTorch|Statistics|Cloud|Linux</t>
  </si>
  <si>
    <t>AIJOB0430</t>
  </si>
  <si>
    <t>Python|Publishing|Mathematics|Deep Learning|Research|Leadership|Communication</t>
  </si>
  <si>
    <t>AIJOB0431</t>
  </si>
  <si>
    <t>Python|Mathematics|PyTorch|Deep Learning|Publishing|Leadership|Problem Solving</t>
  </si>
  <si>
    <t>AIJOB0432</t>
  </si>
  <si>
    <t>Legal Knowledge|Documentation|EU AI Act|Auditing|Risk Management|Communication|Linux|Git</t>
  </si>
  <si>
    <t>AIJOB0433</t>
  </si>
  <si>
    <t>Publishing|Mathematics|Deep Learning|Python|PyTorch|Statistics|Leadership|Problem Solving</t>
  </si>
  <si>
    <t>AIJOB0434</t>
  </si>
  <si>
    <t>Advanced Statistics|Deep Learning|ML|Python|Leadership|Cloud|Linux</t>
  </si>
  <si>
    <t>AIJOB0435</t>
  </si>
  <si>
    <t>PyTorch|System Design|MLOps|Distributed Systems|Python|LLM Fine-tuning|Agile</t>
  </si>
  <si>
    <t>AIJOB0436</t>
  </si>
  <si>
    <t>Legal Knowledge|EU AI Act|Auditing|Leadership</t>
  </si>
  <si>
    <t>AIJOB0437</t>
  </si>
  <si>
    <t>Kubernetes|Docker|MLflow|CI/CD|Cloud|Python|SQL|Leadership</t>
  </si>
  <si>
    <t>AIJOB0438</t>
  </si>
  <si>
    <t>Planning Systems|AutoGen|APIs|LangChain|Python|Tool Use|Git|Agile|Cloud</t>
  </si>
  <si>
    <t>AIJOB0439</t>
  </si>
  <si>
    <t>MLOps|SQL|Python|PyTorch|Problem Solving</t>
  </si>
  <si>
    <t>AIJOB0440</t>
  </si>
  <si>
    <t>GenAI APIs|Python|Fine-tuning|LLMs|Statistics|SQL|Cloud</t>
  </si>
  <si>
    <t>AIJOB0441</t>
  </si>
  <si>
    <t>Auditing|Legal Knowledge|EU AI Act|Leadership|SQL</t>
  </si>
  <si>
    <t>AIJOB0442</t>
  </si>
  <si>
    <t>Airflow|ETL|Spark|Leadership</t>
  </si>
  <si>
    <t>AIJOB0443</t>
  </si>
  <si>
    <t>Python|LLMs|Hugging Face|Text Processing|BERT|Cloud|SQL</t>
  </si>
  <si>
    <t>AIJOB0444</t>
  </si>
  <si>
    <t>Python|Diffusion Models|LLMs|Fine-tuning|GenAI APIs|Linux|Statistics|Cloud</t>
  </si>
  <si>
    <t>AIJOB0445</t>
  </si>
  <si>
    <t>Deep Learning|Python|ML|Advanced Statistics|Causal Inference|Leadership|Git|Cloud</t>
  </si>
  <si>
    <t>AIJOB0446</t>
  </si>
  <si>
    <t>Networking|Storage|Kubernetes|Problem Solving</t>
  </si>
  <si>
    <t>AIJOB0447</t>
  </si>
  <si>
    <t>Testing|Python|LLM APIs|Prompt Design|NLP|Documentation|SQL|Leadership</t>
  </si>
  <si>
    <t>AIJOB0448</t>
  </si>
  <si>
    <t>BERT|LLMs|Text Processing|Hugging Face|Cloud</t>
  </si>
  <si>
    <t>AIJOB0449</t>
  </si>
  <si>
    <t>Simulation|C++|Python|Control Systems|Git|Problem Solving</t>
  </si>
  <si>
    <t>AIJOB0450</t>
  </si>
  <si>
    <t>PyTorch|GPU Computing|CUDA|Python|TensorFlow|Neural Networks|Leadership|Agile</t>
  </si>
  <si>
    <t>AIJOB0451</t>
  </si>
  <si>
    <t>AI Policy|Research|Ethics Frameworks|Communication|Cloud|Research|Git</t>
  </si>
  <si>
    <t>AIJOB0452</t>
  </si>
  <si>
    <t>Mathematics|Publishing|Research|PyTorch|Python|Deep Learning|Agile|Leadership|Git</t>
  </si>
  <si>
    <t>AIJOB0453</t>
  </si>
  <si>
    <t>Leadership|Deep Learning|Causal Inference|Advanced Statistics|Python|Leadership|Agile|Linux</t>
  </si>
  <si>
    <t>AIJOB0454</t>
  </si>
  <si>
    <t>Text Processing|BERT|Transformers|LLMs|Python|Hugging Face|Communication|Cloud</t>
  </si>
  <si>
    <t>AIJOB0455</t>
  </si>
  <si>
    <t>Python|Research|PyTorch|Publishing|Deep Learning|Problem Solving|Communication|Git</t>
  </si>
  <si>
    <t>AIJOB0456</t>
  </si>
  <si>
    <t>Leadership|Python|Advanced Statistics|Git</t>
  </si>
  <si>
    <t>AIJOB0457</t>
  </si>
  <si>
    <t>C++|Simulation|Computer Vision|ROS|SQL</t>
  </si>
  <si>
    <t>AIJOB0458</t>
  </si>
  <si>
    <t>Scikit-learn|ML Algorithms|Statistics|Data Visualization|Agile|Communication|Cloud</t>
  </si>
  <si>
    <t>AIJOB0459</t>
  </si>
  <si>
    <t>MLflow|Kubernetes|Monitoring|Leadership|Statistics</t>
  </si>
  <si>
    <t>AIJOB0460</t>
  </si>
  <si>
    <t>ETL|Python|Spark|Linux|Statistics|Problem Solving</t>
  </si>
  <si>
    <t>AIJOB0461</t>
  </si>
  <si>
    <t>Fine-tuning|Deployment|Diffusion Models|GenAI APIs|LLMs|Python|Statistics|Linux|Communication</t>
  </si>
  <si>
    <t>AIJOB0462</t>
  </si>
  <si>
    <t>Python|System Design|MLOps|Distributed Systems|SQL</t>
  </si>
  <si>
    <t>AIJOB0463</t>
  </si>
  <si>
    <t>NLP|Prompt Design|Documentation|LLM APIs|Git</t>
  </si>
  <si>
    <t>AIJOB0464</t>
  </si>
  <si>
    <t>PyTorch|MLOps|Distributed Systems|System Design|Agile|Research|Cloud</t>
  </si>
  <si>
    <t>AIJOB0465</t>
  </si>
  <si>
    <t>Kubernetes|TensorFlow|SQL|MLOps|Python|PyTorch|Agile</t>
  </si>
  <si>
    <t>AIJOB0466</t>
  </si>
  <si>
    <t>RAG|LLM APIs|Python|Prompt Engineering|Fine-tuning|Vector DBs|Git|Problem Solving</t>
  </si>
  <si>
    <t>AIJOB0467</t>
  </si>
  <si>
    <t>PyTorch|System Design|Python|Problem Solving|SQL|Research</t>
  </si>
  <si>
    <t>AIJOB0468</t>
  </si>
  <si>
    <t>Red Teaming|Cybersecurity|Python|Risk Analysis|Problem Solving</t>
  </si>
  <si>
    <t>AIJOB0469</t>
  </si>
  <si>
    <t>Tool Use|LangChain|AutoGen|Planning Systems|APIs|Cloud|SQL|Problem Solving</t>
  </si>
  <si>
    <t>AIJOB0470</t>
  </si>
  <si>
    <t>Scikit-learn|Python|ML Algorithms|Linux|Agile</t>
  </si>
  <si>
    <t>AIJOB0471</t>
  </si>
  <si>
    <t>PyTorch|CUDA|CNNs|Problem Solving|Linux</t>
  </si>
  <si>
    <t>AIJOB0472</t>
  </si>
  <si>
    <t>Cloud|System Design|ML|Linux|Cloud</t>
  </si>
  <si>
    <t>AIJOB0473</t>
  </si>
  <si>
    <t>Cloud|Python|ML|System Design|Enterprise Architecture|Leadership|Research|Communication|Problem Solving</t>
  </si>
  <si>
    <t>AIJOB0474</t>
  </si>
  <si>
    <t>Data Visualization|Python|SQL|Business Analysis|Cloud</t>
  </si>
  <si>
    <t>AIJOB0475</t>
  </si>
  <si>
    <t>Python|ML|Leadership|Communication</t>
  </si>
  <si>
    <t>AIJOB0476</t>
  </si>
  <si>
    <t>Python|Feature Stores|dbt|Spark|Statistics|SQL</t>
  </si>
  <si>
    <t>AIJOB0477</t>
  </si>
  <si>
    <t>Documentation|Testing|Prompt Design|NLP|Python|LLM APIs|Leadership|Linux</t>
  </si>
  <si>
    <t>AIJOB0478</t>
  </si>
  <si>
    <t>Feature Stores|Airflow|ETL|Cloud|Statistics</t>
  </si>
  <si>
    <t>AIJOB0479</t>
  </si>
  <si>
    <t>Documentation|Python|Prompt Design|NLP|Testing|LLM APIs|SQL|Cloud|Git</t>
  </si>
  <si>
    <t>AIJOB0480</t>
  </si>
  <si>
    <t>Python|Vision-Language Models|APIs|Fine-tuning|Research|Cloud</t>
  </si>
  <si>
    <t>AIJOB0481</t>
  </si>
  <si>
    <t>Python|CUDA|OpenCV|Leadership|Statistics</t>
  </si>
  <si>
    <t>AIJOB0482</t>
  </si>
  <si>
    <t>Tool Use|AutoGen|LangChain|APIs|Git</t>
  </si>
  <si>
    <t>AIJOB0483</t>
  </si>
  <si>
    <t>Python|Image Processing|OpenCV|CUDA|PyTorch|CNNs|Linux</t>
  </si>
  <si>
    <t>AIJOB0484</t>
  </si>
  <si>
    <t>Simulation|Control Systems|ROS|Research</t>
  </si>
  <si>
    <t>AIJOB0485</t>
  </si>
  <si>
    <t>PyTorch|Neural Networks|GPU Computing|Research|Linux</t>
  </si>
  <si>
    <t>AIJOB0486</t>
  </si>
  <si>
    <t>AI Literacy|Product Strategy|Stakeholder Mgmt|Leadership</t>
  </si>
  <si>
    <t>AIJOB0487</t>
  </si>
  <si>
    <t>Text Processing|Hugging Face|BERT|Transformers|LLMs|Leadership|Cloud</t>
  </si>
  <si>
    <t>AIJOB0488</t>
  </si>
  <si>
    <t>Data Visualization|Communication|Business Analysis|Python|Problem Solving|Git</t>
  </si>
  <si>
    <t>AIJOB0489</t>
  </si>
  <si>
    <t>Deep Learning|Python|Mathematics|Publishing|PyTorch|Linux|Statistics</t>
  </si>
  <si>
    <t>AIJOB0490</t>
  </si>
  <si>
    <t>Storage|Cloud|Distributed Systems|Kubernetes|Communication|Leadership|Problem Solving</t>
  </si>
  <si>
    <t>AIJOB0491</t>
  </si>
  <si>
    <t>Tool Use|Python|AutoGen|LangChain|Planning Systems|APIs|Linux|Statistics</t>
  </si>
  <si>
    <t>AIJOB0492</t>
  </si>
  <si>
    <t>ML|System Design|Leadership|Git|Cloud</t>
  </si>
  <si>
    <t>AIJOB0493</t>
  </si>
  <si>
    <t>LLMs|Search Systems|Python|Communication</t>
  </si>
  <si>
    <t>AIJOB0494</t>
  </si>
  <si>
    <t>Python|Publishing|Mathematics|PyTorch|Deep Learning|Statistics|Cloud</t>
  </si>
  <si>
    <t>AIJOB0495</t>
  </si>
  <si>
    <t>Legal Knowledge|Auditing|Risk Management|Documentation|EU AI Act|Git</t>
  </si>
  <si>
    <t>AIJOB0496</t>
  </si>
  <si>
    <t>Diffusion Models|Deployment|GenAI APIs|LLMs|Statistics</t>
  </si>
  <si>
    <t>AIJOB0497</t>
  </si>
  <si>
    <t>Python|Leadership|Cloud|Enterprise Architecture|System Design|ML|Cloud|Linux</t>
  </si>
  <si>
    <t>AIJOB0498</t>
  </si>
  <si>
    <t>SQL|ML Algorithms|Python|Data Visualization|Scikit-learn|Statistics|Communication|Linux</t>
  </si>
  <si>
    <t>AIJOB0499</t>
  </si>
  <si>
    <t>Prompt Engineering|Vector DBs|RAG|Fine-tuning|LLM APIs|SQL</t>
  </si>
  <si>
    <t>AIJOB0500</t>
  </si>
  <si>
    <t>MLOps|Python|PyTorch|System Design|Distributed Systems|LLM Fine-tuning|Linux</t>
  </si>
  <si>
    <t>AIJOB0501</t>
  </si>
  <si>
    <t>Kubernetes|Networking|CUDA|Linux|SQL</t>
  </si>
  <si>
    <t>AIJOB0502</t>
  </si>
  <si>
    <t>Legal Knowledge|EU AI Act|Auditing|Problem Solving</t>
  </si>
  <si>
    <t>AIJOB0503</t>
  </si>
  <si>
    <t>ML Algorithms|Scikit-learn|SQL|Statistics|Data Visualization|Statistics</t>
  </si>
  <si>
    <t>AIJOB0504</t>
  </si>
  <si>
    <t>Risk Assessment|Ethics Frameworks|Research|AI Policy|Communication|Cloud|Statistics|Communication</t>
  </si>
  <si>
    <t>AIJOB0505</t>
  </si>
  <si>
    <t>APIs|Fine-tuning|Vision-Language Models|PyTorch|SQL</t>
  </si>
  <si>
    <t>AIJOB0506</t>
  </si>
  <si>
    <t>Docker|MLflow|Monitoring|Kubernetes|CI/CD|Cloud|Python|Agile</t>
  </si>
  <si>
    <t>AIJOB0507</t>
  </si>
  <si>
    <t>Prompt Design|Python|LLM APIs|Testing|Cloud</t>
  </si>
  <si>
    <t>AIJOB0508</t>
  </si>
  <si>
    <t>LangChain|Planning Systems|Tool Use|AutoGen|APIs|Linux|Communication|Agile</t>
  </si>
  <si>
    <t>AIJOB0509</t>
  </si>
  <si>
    <t>Control Systems|C++|Computer Vision|Python|Simulation|Cloud|Problem Solving</t>
  </si>
  <si>
    <t>AIJOB0510</t>
  </si>
  <si>
    <t>Python|CI/CD|Kubernetes|Monitoring|Docker|Research</t>
  </si>
  <si>
    <t>AIJOB0511</t>
  </si>
  <si>
    <t>LangChain|Vector DBs|Search Systems|Research|Linux|Communication</t>
  </si>
  <si>
    <t>AIJOB0512</t>
  </si>
  <si>
    <t>Vector DBs|LangChain|Python|SQL|Leadership</t>
  </si>
  <si>
    <t>AIJOB0513</t>
  </si>
  <si>
    <t>Python|Simulation|Control Systems|Leadership</t>
  </si>
  <si>
    <t>AIJOB0514</t>
  </si>
  <si>
    <t>Communication|Research|AI Policy|Ethics Frameworks|Research|Git</t>
  </si>
  <si>
    <t>AIJOB0515</t>
  </si>
  <si>
    <t>Kubernetes|SQL|PyTorch|MLOps|TensorFlow|Git|Linux|Leadership</t>
  </si>
  <si>
    <t>AIJOB0516</t>
  </si>
  <si>
    <t>MLflow|Monitoring|Cloud|Docker|Statistics</t>
  </si>
  <si>
    <t>AIJOB0517</t>
  </si>
  <si>
    <t>PyTorch|Publishing|Python|Deep Learning|Mathematics|Git|SQL</t>
  </si>
  <si>
    <t>AIJOB0518</t>
  </si>
  <si>
    <t>Docker|LLM Integration|Python|PyTorch|Cloud (AWS/GCP/Azure)|Agile|Communication</t>
  </si>
  <si>
    <t>AIJOB0519</t>
  </si>
  <si>
    <t>Planning Systems|APIs|Python|LangChain|Tool Use|AutoGen|Communication</t>
  </si>
  <si>
    <t>AIJOB0520</t>
  </si>
  <si>
    <t>System Design|Enterprise Architecture|Python|Leadership|ML|Leadership|Statistics|SQL</t>
  </si>
  <si>
    <t>AIJOB0521</t>
  </si>
  <si>
    <t>CI/CD|MLflow|Python|Monitoring|Docker|Agile|SQL</t>
  </si>
  <si>
    <t>AIJOB0522</t>
  </si>
  <si>
    <t>Fine-tuning|Python|Diffusion Models|Problem Solving|Git|Research</t>
  </si>
  <si>
    <t>AIJOB0523</t>
  </si>
  <si>
    <t>Research|Communication|Ethics Frameworks|AI Policy|Risk Assessment|Cloud</t>
  </si>
  <si>
    <t>AIJOB0524</t>
  </si>
  <si>
    <t>Python|dbt|ETL|Spark|Leadership|SQL</t>
  </si>
  <si>
    <t>AIJOB0525</t>
  </si>
  <si>
    <t>SQL|Python|Kubernetes|MLOps|PyTorch|TensorFlow|Statistics|Communication</t>
  </si>
  <si>
    <t>AIJOB0526</t>
  </si>
  <si>
    <t>PyTorch|Python|OpenCV|Image Processing|CUDA|CNNs|Leadership|Communication|Git</t>
  </si>
  <si>
    <t>AIJOB0527</t>
  </si>
  <si>
    <t>Python|ML Algorithms|SQL|Scikit-learn|Statistics|SQL|Cloud</t>
  </si>
  <si>
    <t>AIJOB0528</t>
  </si>
  <si>
    <t>Cloud|Docker|MLflow|Kubernetes|Python|Problem Solving|Cloud</t>
  </si>
  <si>
    <t>AIJOB0529</t>
  </si>
  <si>
    <t>PyTorch|Vision-Language Models|APIs|Fine-tuning|Python|SQL</t>
  </si>
  <si>
    <t>AIJOB0530</t>
  </si>
  <si>
    <t>Communication|SQL|Data Visualization|Python|Business Analysis|Linux|Research</t>
  </si>
  <si>
    <t>AIJOB0531</t>
  </si>
  <si>
    <t>Neural Networks|PyTorch|TensorFlow|Agile|Research</t>
  </si>
  <si>
    <t>AIJOB0532</t>
  </si>
  <si>
    <t>SQL|TensorFlow|Kubernetes|Statistics</t>
  </si>
  <si>
    <t>AIJOB0533</t>
  </si>
  <si>
    <t>Distributed Systems|MLOps|System Design|SQL</t>
  </si>
  <si>
    <t>AIJOB0534</t>
  </si>
  <si>
    <t>Python|Search Systems|Vector DBs|Leadership|Problem Solving</t>
  </si>
  <si>
    <t>AIJOB0535</t>
  </si>
  <si>
    <t>Prompt Engineering|Python|Vector DBs|Fine-tuning|LLM APIs|RAG|Agile|Communication</t>
  </si>
  <si>
    <t>AIJOB0536</t>
  </si>
  <si>
    <t>Data Analysis|Product Strategy|AI Literacy|Stakeholder Mgmt|Agile|Cloud|Communication</t>
  </si>
  <si>
    <t>AIJOB0537</t>
  </si>
  <si>
    <t>Data Visualization|Communication|Business Analysis|Problem Solving</t>
  </si>
  <si>
    <t>AIJOB0538</t>
  </si>
  <si>
    <t>Prompt Design|LLM APIs|Documentation|NLP|Testing|Python|Linux|Cloud</t>
  </si>
  <si>
    <t>AIJOB0539</t>
  </si>
  <si>
    <t>Embeddings|LangChain|Search Systems|Vector DBs|LLMs|Python|Linux|Leadership|Git</t>
  </si>
  <si>
    <t>AIJOB0540</t>
  </si>
  <si>
    <t>Python|Mathematics|Deep Learning|PyTorch|Research|Statistics|Linux</t>
  </si>
  <si>
    <t>AIJOB0541</t>
  </si>
  <si>
    <t>Business Analysis|Data Visualization|Python|SQL|Agile</t>
  </si>
  <si>
    <t>AIJOB0542</t>
  </si>
  <si>
    <t>Computer Vision|ROS|C++|Agile</t>
  </si>
  <si>
    <t>AIJOB0543</t>
  </si>
  <si>
    <t>CUDA|Cloud|Networking|Storage|Communication|Git|Statistics</t>
  </si>
  <si>
    <t>AIJOB0544</t>
  </si>
  <si>
    <t>Kubernetes|Storage|Cloud|CUDA|Distributed Systems|Linux</t>
  </si>
  <si>
    <t>AIJOB0545</t>
  </si>
  <si>
    <t>Python|Diffusion Models|Deployment|GenAI APIs|Problem Solving|Communication|Linux</t>
  </si>
  <si>
    <t>AIJOB0546</t>
  </si>
  <si>
    <t>Red Teaming|Python|Risk Analysis|ML Security|Cybersecurity|Communication</t>
  </si>
  <si>
    <t>AIJOB0547</t>
  </si>
  <si>
    <t>PyTorch|APIs|Fine-tuning|Research</t>
  </si>
  <si>
    <t>AIJOB0548</t>
  </si>
  <si>
    <t>MLOps|TensorFlow|Python|PyTorch|Kubernetes|SQL|SQL|Agile</t>
  </si>
  <si>
    <t>AIJOB0549</t>
  </si>
  <si>
    <t>LLMs|Search Systems|Python|LangChain|Embeddings|Communication|Statistics|Problem Solving</t>
  </si>
  <si>
    <t>AIJOB0550</t>
  </si>
  <si>
    <t>Product Strategy|Agile|AI Literacy|Data Analysis|Stakeholder Mgmt|Agile|SQL</t>
  </si>
  <si>
    <t>AIJOB0551</t>
  </si>
  <si>
    <t>Python|APIs|LangChain|Planning Systems|Tool Use|AutoGen|Agile|Statistics|Cloud</t>
  </si>
  <si>
    <t>AIJOB0552</t>
  </si>
  <si>
    <t>Ethics Frameworks|Communication|Risk Assessment|AI Policy|Research|Research</t>
  </si>
  <si>
    <t>AIJOB0553</t>
  </si>
  <si>
    <t>Fine-tuning|LLM APIs|Python|RAG|Vector DBs|Research</t>
  </si>
  <si>
    <t>AIJOB0554</t>
  </si>
  <si>
    <t>EU AI Act|Documentation|Legal Knowledge|Problem Solving|Cloud|SQL</t>
  </si>
  <si>
    <t>AIJOB0555</t>
  </si>
  <si>
    <t>LLMs|Python|Text Processing|SQL</t>
  </si>
  <si>
    <t>AIJOB0556</t>
  </si>
  <si>
    <t>Communication|AI Policy|Risk Assessment|Research|Agile|Problem Solving</t>
  </si>
  <si>
    <t>AIJOB0557</t>
  </si>
  <si>
    <t>PyTorch|GPU Computing|Neural Networks|Python|Cloud|Linux</t>
  </si>
  <si>
    <t>AIJOB0558</t>
  </si>
  <si>
    <t>C++|Control Systems|Python|SQL|Communication</t>
  </si>
  <si>
    <t>AIJOB0559</t>
  </si>
  <si>
    <t>PyTorch|OpenCV|CUDA|CNNs|Linux</t>
  </si>
  <si>
    <t>AIJOB0560</t>
  </si>
  <si>
    <t>Python|LLMs|GenAI APIs|Deployment|Research</t>
  </si>
  <si>
    <t>AIJOB0561</t>
  </si>
  <si>
    <t>Communication|Ethics Frameworks|Risk Assessment|Research|Git|Communication|Linux</t>
  </si>
  <si>
    <t>AIJOB0562</t>
  </si>
  <si>
    <t>APIs|PyTorch|Fine-tuning|Vision-Language Models|Problem Solving</t>
  </si>
  <si>
    <t>AIJOB0563</t>
  </si>
  <si>
    <t>TensorFlow|CUDA|Python|Agile|SQL|Problem Solving</t>
  </si>
  <si>
    <t>AIJOB0564</t>
  </si>
  <si>
    <t>Docker|Python|PyTorch|LLM Integration|Cloud (AWS/GCP/Azure)|Linux|Problem Solving|Leadership</t>
  </si>
  <si>
    <t>AIJOB0565</t>
  </si>
  <si>
    <t>Control Systems|C++|ROS|Simulation|Cloud|SQL</t>
  </si>
  <si>
    <t>AIJOB0566</t>
  </si>
  <si>
    <t>PyTorch|Image Processing|CUDA|Python|OpenCV|Problem Solving|Git</t>
  </si>
  <si>
    <t>AIJOB0567</t>
  </si>
  <si>
    <t>Python|Business Analysis|Data Visualization|Communication|Linux|Agile</t>
  </si>
  <si>
    <t>AIJOB0568</t>
  </si>
  <si>
    <t>CNNs|PyTorch|Image Processing|Leadership|Research</t>
  </si>
  <si>
    <t>AIJOB0569</t>
  </si>
  <si>
    <t>GPU Computing|PyTorch|TensorFlow|Research</t>
  </si>
  <si>
    <t>AIJOB0570</t>
  </si>
  <si>
    <t>Product Strategy|Stakeholder Mgmt|Data Analysis|Agile|AI Literacy|Statistics|Problem Solving</t>
  </si>
  <si>
    <t>AIJOB0571</t>
  </si>
  <si>
    <t>Enterprise Architecture|ML|Leadership|Cloud|Python|SQL|Communication</t>
  </si>
  <si>
    <t>AIJOB0572</t>
  </si>
  <si>
    <t>Python|Cybersecurity|Red Teaming|ML Security|Risk Analysis|Research|Cloud</t>
  </si>
  <si>
    <t>AIJOB0573</t>
  </si>
  <si>
    <t>LLMs|Transformers|BERT|Research</t>
  </si>
  <si>
    <t>AIJOB0574</t>
  </si>
  <si>
    <t>BERT|Text Processing|LLMs|Hugging Face|Transformers|Python|Research|SQL</t>
  </si>
  <si>
    <t>AIJOB0575</t>
  </si>
  <si>
    <t>Vector DBs|LLMs|Embeddings|Statistics</t>
  </si>
  <si>
    <t>AIJOB0576</t>
  </si>
  <si>
    <t>Python|PyTorch|CUDA|Image Processing|OpenCV|CNNs|Statistics</t>
  </si>
  <si>
    <t>AIJOB0577</t>
  </si>
  <si>
    <t>Testing|Python|NLP|Documentation|LLM APIs|Prompt Design|Linux</t>
  </si>
  <si>
    <t>AIJOB0578</t>
  </si>
  <si>
    <t>SQL|Data Visualization|Python|SQL|Statistics</t>
  </si>
  <si>
    <t>AIJOB0579</t>
  </si>
  <si>
    <t>Python|SQL|ETL|Airflow|dbt|Feature Stores|Spark|Git|Linux|Leadership</t>
  </si>
  <si>
    <t>AIJOB0580</t>
  </si>
  <si>
    <t>Risk Analysis|Cybersecurity|ML Security|Git|Statistics|Agile</t>
  </si>
  <si>
    <t>AIJOB0581</t>
  </si>
  <si>
    <t>Documentation|Prompt Design|Python|NLP|Communication|Cloud</t>
  </si>
  <si>
    <t>AIJOB0582</t>
  </si>
  <si>
    <t>Vision-Language Models|PyTorch|Fine-tuning|APIs|Statistics|Git|Communication</t>
  </si>
  <si>
    <t>AIJOB0583</t>
  </si>
  <si>
    <t>Business Analysis|Communication|Python|Research|Linux</t>
  </si>
  <si>
    <t>AIJOB0584</t>
  </si>
  <si>
    <t>SQL|Kubernetes|TensorFlow|PyTorch|Statistics|Research</t>
  </si>
  <si>
    <t>AIJOB0585</t>
  </si>
  <si>
    <t>Auditing|EU AI Act|Legal Knowledge|Risk Management|Communication</t>
  </si>
  <si>
    <t>AIJOB0586</t>
  </si>
  <si>
    <t>C++|ROS|Simulation|Computer Vision|Python|Cloud</t>
  </si>
  <si>
    <t>AIJOB0587</t>
  </si>
  <si>
    <t>CI/CD|MLflow|Cloud|Cloud|Communication</t>
  </si>
  <si>
    <t>AIJOB0588</t>
  </si>
  <si>
    <t>Deployment|Python|Fine-tuning|LLMs|GenAI APIs|Diffusion Models|Research</t>
  </si>
  <si>
    <t>AIJOB0589</t>
  </si>
  <si>
    <t>CI/CD|Kubernetes|Monitoring|Cloud|Docker|Python|MLflow|Communication</t>
  </si>
  <si>
    <t>AIJOB0590</t>
  </si>
  <si>
    <t>Research|AI Policy|Risk Assessment|SQL|Agile</t>
  </si>
  <si>
    <t>AIJOB0591</t>
  </si>
  <si>
    <t>APIs|LangChain|AutoGen|Statistics|Linux</t>
  </si>
  <si>
    <t>AIJOB0592</t>
  </si>
  <si>
    <t>Ethics Frameworks|Research|Communication|AI Policy|Linux</t>
  </si>
  <si>
    <t>AIJOB0593</t>
  </si>
  <si>
    <t>PyTorch|Mathematics|Research|Publishing|Communication|SQL</t>
  </si>
  <si>
    <t>AIJOB0594</t>
  </si>
  <si>
    <t>Prompt Engineering|Fine-tuning|RAG|LLM APIs|Python|Research|Linux|Problem Solving</t>
  </si>
  <si>
    <t>AIJOB0595</t>
  </si>
  <si>
    <t>LangChain|Search Systems|Vector DBs|Communication|Statistics|SQL</t>
  </si>
  <si>
    <t>AIJOB0596</t>
  </si>
  <si>
    <t>Simulation|Python|Control Systems|ROS|Computer Vision|SQL</t>
  </si>
  <si>
    <t>AIJOB0597</t>
  </si>
  <si>
    <t>Cybersecurity|Risk Analysis|ML Security|Red Teaming|Research</t>
  </si>
  <si>
    <t>AIJOB0598</t>
  </si>
  <si>
    <t>Python|Data Visualization|SQL|Communication|Business Analysis|Agile|Research|Linux</t>
  </si>
  <si>
    <t>AIJOB0599</t>
  </si>
  <si>
    <t>Agile|Product Strategy|AI Literacy|Research|Problem Solving|Linux</t>
  </si>
  <si>
    <t>AIJOB0600</t>
  </si>
  <si>
    <t>Fine-tuning|PyTorch|Vision-Language Models|APIs|Agile</t>
  </si>
  <si>
    <t>AIJOB0601</t>
  </si>
  <si>
    <t>PyTorch|Research|Deep Learning|Publishing|Mathematics|Agile</t>
  </si>
  <si>
    <t>AIJOB0602</t>
  </si>
  <si>
    <t>Cloud (AWS/GCP/Azure)|Python|Docker|PyTorch|Agile</t>
  </si>
  <si>
    <t>AIJOB0603</t>
  </si>
  <si>
    <t>TensorFlow|Neural Networks|GPU Computing|Python|Cloud|Research|Communication</t>
  </si>
  <si>
    <t>AIJOB0604</t>
  </si>
  <si>
    <t>SQL|Feature Stores|Airflow|Linux</t>
  </si>
  <si>
    <t>AIJOB0605</t>
  </si>
  <si>
    <t>PyTorch|CNNs|OpenCV|Python|Image Processing|Communication|Research</t>
  </si>
  <si>
    <t>AIJOB0606</t>
  </si>
  <si>
    <t>Deep Learning|Causal Inference|Python|Cloud|SQL|Statistics</t>
  </si>
  <si>
    <t>AIJOB0607</t>
  </si>
  <si>
    <t>Legal Knowledge|Risk Management|EU AI Act|Auditing|Documentation|Research|Linux</t>
  </si>
  <si>
    <t>AIJOB0608</t>
  </si>
  <si>
    <t>Prompt Design|LLM APIs|Python|Linux|Agile</t>
  </si>
  <si>
    <t>AIJOB0609</t>
  </si>
  <si>
    <t>Python|dbt|Feature Stores|Linux</t>
  </si>
  <si>
    <t>AIJOB0610</t>
  </si>
  <si>
    <t>Python|Kubernetes|CI/CD|Cloud|Monitoring|Research</t>
  </si>
  <si>
    <t>AIJOB0611</t>
  </si>
  <si>
    <t>SQL|Python|Communication|Business Analysis|Data Visualization|Problem Solving|Statistics|Leadership</t>
  </si>
  <si>
    <t>AIJOB0612</t>
  </si>
  <si>
    <t>ML|Enterprise Architecture|System Design|Cloud|Leadership|Git</t>
  </si>
  <si>
    <t>AIJOB0613</t>
  </si>
  <si>
    <t>AI Literacy|Data Analysis|Stakeholder Mgmt|Agile|Product Strategy|Problem Solving</t>
  </si>
  <si>
    <t>AIJOB0614</t>
  </si>
  <si>
    <t>Python|Deep Learning|PyTorch|Mathematics|Statistics|Agile</t>
  </si>
  <si>
    <t>AIJOB0615</t>
  </si>
  <si>
    <t>Prompt Design|Documentation|Python|Testing|Cloud</t>
  </si>
  <si>
    <t>AIJOB0616</t>
  </si>
  <si>
    <t>LLMs|Search Systems|LangChain|Embeddings|Git|Research|Leadership</t>
  </si>
  <si>
    <t>AIJOB0617</t>
  </si>
  <si>
    <t>Transformers|BERT|Text Processing|Hugging Face|Agile|Statistics|Research</t>
  </si>
  <si>
    <t>AIJOB0618</t>
  </si>
  <si>
    <t>Prompt Design|LLM APIs|Documentation|NLP|Cloud</t>
  </si>
  <si>
    <t>AIJOB0619</t>
  </si>
  <si>
    <t>Vector DBs|Fine-tuning|Prompt Engineering|Linux|Agile</t>
  </si>
  <si>
    <t>AIJOB0620</t>
  </si>
  <si>
    <t>Risk Management|EU AI Act|Legal Knowledge|Auditing|Documentation|Leadership</t>
  </si>
  <si>
    <t>AIJOB0621</t>
  </si>
  <si>
    <t>ML Security|Python|Red Teaming|Linux|Leadership|SQL</t>
  </si>
  <si>
    <t>AIJOB0622</t>
  </si>
  <si>
    <t>Vision-Language Models|PyTorch|Python|Fine-tuning|Cloud|Leadership</t>
  </si>
  <si>
    <t>AIJOB0623</t>
  </si>
  <si>
    <t>Distributed Systems|Kubernetes|Storage|Linux|Communication</t>
  </si>
  <si>
    <t>AIJOB0624</t>
  </si>
  <si>
    <t>LLMs|Transformers|BERT|Hugging Face|Git</t>
  </si>
  <si>
    <t>AIJOB0625</t>
  </si>
  <si>
    <t>SQL|Python|Scikit-learn|Statistics|Data Visualization|Research|Cloud|Linux</t>
  </si>
  <si>
    <t>AIJOB0626</t>
  </si>
  <si>
    <t>Python|LangChain|LLMs|Embeddings|Vector DBs|Search Systems|Leadership|Statistics|Cloud</t>
  </si>
  <si>
    <t>AIJOB0627</t>
  </si>
  <si>
    <t>Data Visualization|Communication|Business Analysis|Python|SQL|Git|Problem Solving|Leadership</t>
  </si>
  <si>
    <t>AIJOB0628</t>
  </si>
  <si>
    <t>Distributed Systems|Networking|Cloud|Problem Solving</t>
  </si>
  <si>
    <t>AIJOB0629</t>
  </si>
  <si>
    <t>Python|System Design|ML|Cloud|Enterprise Architecture|Communication</t>
  </si>
  <si>
    <t>AIJOB0630</t>
  </si>
  <si>
    <t>Ethics Frameworks|AI Policy|Research|Communication|Cloud|Statistics|Research</t>
  </si>
  <si>
    <t>AIJOB0631</t>
  </si>
  <si>
    <t>dbt|Feature Stores|ETL|SQL|Airflow|Linux|Cloud|Git</t>
  </si>
  <si>
    <t>AIJOB0632</t>
  </si>
  <si>
    <t>Networking|CUDA|Cloud|Communication|Research</t>
  </si>
  <si>
    <t>AIJOB0633</t>
  </si>
  <si>
    <t>Python|Hugging Face|LLMs|Transformers|Leadership|Problem Solving</t>
  </si>
  <si>
    <t>AIJOB0634</t>
  </si>
  <si>
    <t>LLMs|Fine-tuning|Python|Deployment|Diffusion Models|Communication|Leadership</t>
  </si>
  <si>
    <t>AIJOB0635</t>
  </si>
  <si>
    <t>SQL|Data Visualization|Python|Statistics|ML Algorithms|Scikit-learn|Cloud|Git|Linux</t>
  </si>
  <si>
    <t>AIJOB0636</t>
  </si>
  <si>
    <t>MLOps|PyTorch|Distributed Systems|Python|LLM Fine-tuning|System Design|Agile|Statistics|Communication</t>
  </si>
  <si>
    <t>AIJOB0637</t>
  </si>
  <si>
    <t>Data Analysis|Product Strategy|Stakeholder Mgmt|Linux|Communication</t>
  </si>
  <si>
    <t>AIJOB0638</t>
  </si>
  <si>
    <t>Diffusion Models|Deployment|LLMs|Python|GenAI APIs|Fine-tuning|Agile</t>
  </si>
  <si>
    <t>AIJOB0639</t>
  </si>
  <si>
    <t>Hugging Face|Python|Text Processing|Statistics|Git|Linux</t>
  </si>
  <si>
    <t>AIJOB0640</t>
  </si>
  <si>
    <t>Communication|Python|Data Visualization|Linux</t>
  </si>
  <si>
    <t>AIJOB0641</t>
  </si>
  <si>
    <t>Causal Inference|Python|Leadership|ML|Deep Learning|Leadership|Linux|Git</t>
  </si>
  <si>
    <t>AIJOB0642</t>
  </si>
  <si>
    <t>Python|Simulation|Computer Vision|ROS|Control Systems|Statistics</t>
  </si>
  <si>
    <t>AIJOB0643</t>
  </si>
  <si>
    <t>Data Visualization|Statistics|SQL|ML Algorithms|Python|Scikit-learn|Agile</t>
  </si>
  <si>
    <t>AIJOB0644</t>
  </si>
  <si>
    <t>AI Policy|Research|Communication|Ethics Frameworks|Risk Assessment|Problem Solving|Leadership|Linux</t>
  </si>
  <si>
    <t>AIJOB0645</t>
  </si>
  <si>
    <t>ROS|Computer Vision|Python|Simulation|Statistics|Git|Communication</t>
  </si>
  <si>
    <t>AIJOB0646</t>
  </si>
  <si>
    <t>SQL|Scikit-learn|Python|Data Visualization|Problem Solving</t>
  </si>
  <si>
    <t>AIJOB0647</t>
  </si>
  <si>
    <t>Docker|Kubernetes|CI/CD|Cloud|MLflow|Python|Cloud|SQL|Research</t>
  </si>
  <si>
    <t>AIJOB0648</t>
  </si>
  <si>
    <t>System Design|LLM Fine-tuning|Distributed Systems|PyTorch|MLOps|Python|Cloud</t>
  </si>
  <si>
    <t>AIJOB0649</t>
  </si>
  <si>
    <t>AI Policy|Risk Assessment|Communication|Statistics|Research|Linux</t>
  </si>
  <si>
    <t>AIJOB0650</t>
  </si>
  <si>
    <t>Fine-tuning|Diffusion Models|GenAI APIs|Deployment|Cloud</t>
  </si>
  <si>
    <t>AIJOB0651</t>
  </si>
  <si>
    <t>LLMs|GenAI APIs|Deployment|Fine-tuning|Diffusion Models|Git</t>
  </si>
  <si>
    <t>AIJOB0652</t>
  </si>
  <si>
    <t>Python|Airflow|dbt|ETL|Feature Stores|SQL|Spark|Research</t>
  </si>
  <si>
    <t>AIJOB0653</t>
  </si>
  <si>
    <t>Research|Ethics Frameworks|AI Policy|Communication|Linux|Cloud</t>
  </si>
  <si>
    <t>AIJOB0654</t>
  </si>
  <si>
    <t>NLP|Documentation|Testing|LLM APIs|Research|Problem Solving|Cloud</t>
  </si>
  <si>
    <t>AIJOB0655</t>
  </si>
  <si>
    <t>CUDA|Networking|Kubernetes|Distributed Systems|Cloud|Storage|Leadership</t>
  </si>
  <si>
    <t>AIJOB0656</t>
  </si>
  <si>
    <t>Neural Networks|Python|PyTorch|CUDA|Linux|Agile|Problem Solving</t>
  </si>
  <si>
    <t>AIJOB0657</t>
  </si>
  <si>
    <t>Python|Leadership|Causal Inference|Statistics</t>
  </si>
  <si>
    <t>AIJOB0658</t>
  </si>
  <si>
    <t>Python|Communication|SQL|Data Visualization|Business Analysis|Problem Solving|Cloud|Linux</t>
  </si>
  <si>
    <t>AIJOB0659</t>
  </si>
  <si>
    <t>APIs|Fine-tuning|Python|PyTorch|Statistics|Research|Linux</t>
  </si>
  <si>
    <t>AIJOB0660</t>
  </si>
  <si>
    <t>Python|Feature Stores|Spark|SQL|Git|Statistics</t>
  </si>
  <si>
    <t>AIJOB0661</t>
  </si>
  <si>
    <t>PyTorch|OpenCV|Python|CUDA|CNNs|Image Processing|Research|Cloud</t>
  </si>
  <si>
    <t>AIJOB0662</t>
  </si>
  <si>
    <t>MLOps|SQL|Kubernetes|Python|Agile|Cloud|Statistics</t>
  </si>
  <si>
    <t>AIJOB0663</t>
  </si>
  <si>
    <t>Deployment|Python|Fine-tuning|Diffusion Models|LLMs|GenAI APIs|Git</t>
  </si>
  <si>
    <t>AIJOB0664</t>
  </si>
  <si>
    <t>Cloud (AWS/GCP/Azure)|Python|Docker|PyTorch|Linux</t>
  </si>
  <si>
    <t>AIJOB0665</t>
  </si>
  <si>
    <t>Vision-Language Models|APIs|Python|Fine-tuning|PyTorch|Agile|SQL</t>
  </si>
  <si>
    <t>AIJOB0666</t>
  </si>
  <si>
    <t>Python|Data Visualization|Business Analysis|Agile|Cloud|Problem Solving</t>
  </si>
  <si>
    <t>AIJOB0667</t>
  </si>
  <si>
    <t>Image Processing|CNNs|Python|Research|SQL|Git</t>
  </si>
  <si>
    <t>AIJOB0668</t>
  </si>
  <si>
    <t>Data Visualization|Business Analysis|Python|Communication|Communication|Problem Solving|Linux</t>
  </si>
  <si>
    <t>AIJOB0669</t>
  </si>
  <si>
    <t>System Design|Cloud|ML|Leadership|Enterprise Architecture|Python|SQL|Cloud</t>
  </si>
  <si>
    <t>AIJOB0670</t>
  </si>
  <si>
    <t>Deep Learning|Causal Inference|Advanced Statistics|Python|ML|Research|Cloud|Leadership</t>
  </si>
  <si>
    <t>AIJOB0671</t>
  </si>
  <si>
    <t>Communication|Research|AI Policy|Linux|Statistics</t>
  </si>
  <si>
    <t>AIJOB0672</t>
  </si>
  <si>
    <t>Diffusion Models|Fine-tuning|Deployment|Communication</t>
  </si>
  <si>
    <t>AIJOB0673</t>
  </si>
  <si>
    <t>CUDA|Image Processing|OpenCV|Python|Problem Solving|Research</t>
  </si>
  <si>
    <t>AIJOB0674</t>
  </si>
  <si>
    <t>Risk Assessment|Ethics Frameworks|AI Policy|Research|Communication</t>
  </si>
  <si>
    <t>AIJOB0675</t>
  </si>
  <si>
    <t>AI Policy|Risk Assessment|Ethics Frameworks|Communication|Cloud</t>
  </si>
  <si>
    <t>AIJOB0676</t>
  </si>
  <si>
    <t>APIs|Tool Use|LangChain|AutoGen|Planning Systems|Python|Agile</t>
  </si>
  <si>
    <t>AIJOB0677</t>
  </si>
  <si>
    <t>Data Visualization|Python|Scikit-learn|SQL|Statistics|ML Algorithms|Statistics</t>
  </si>
  <si>
    <t>AIJOB0678</t>
  </si>
  <si>
    <t>SQL|PyTorch|Python|Kubernetes|Statistics|Git</t>
  </si>
  <si>
    <t>AIJOB0679</t>
  </si>
  <si>
    <t>Kubernetes|Networking|Cloud|CUDA|Distributed Systems|Communication</t>
  </si>
  <si>
    <t>AIJOB0680</t>
  </si>
  <si>
    <t>Product Strategy|Agile|Stakeholder Mgmt|Data Analysis|Communication</t>
  </si>
  <si>
    <t>AIJOB0681</t>
  </si>
  <si>
    <t>Risk Analysis|Python|Red Teaming|ML Security|Communication</t>
  </si>
  <si>
    <t>AIJOB0682</t>
  </si>
  <si>
    <t>Python|LLM Integration|Docker|PyTorch|Communication|Agile|Statistics</t>
  </si>
  <si>
    <t>AIJOB0683</t>
  </si>
  <si>
    <t>PyTorch|Cloud (AWS/GCP/Azure)|LLM Integration|Docker|Linux|Research|Leadership</t>
  </si>
  <si>
    <t>AIJOB0684</t>
  </si>
  <si>
    <t>PyTorch|Docker|Cloud (AWS/GCP/Azure)|Python|SQL</t>
  </si>
  <si>
    <t>AIJOB0685</t>
  </si>
  <si>
    <t>LangChain|Python|Planning Systems|APIs|Tool Use|AutoGen|Git</t>
  </si>
  <si>
    <t>AIJOB0686</t>
  </si>
  <si>
    <t>SQL|Communication|Python|Business Analysis|Cloud|Linux</t>
  </si>
  <si>
    <t>AIJOB0687</t>
  </si>
  <si>
    <t>GenAI APIs|Diffusion Models|Python|Fine-tuning|Problem Solving</t>
  </si>
  <si>
    <t>AIJOB0688</t>
  </si>
  <si>
    <t>SQL|Feature Stores|ETL|Spark|Statistics|Cloud</t>
  </si>
  <si>
    <t>AIJOB0689</t>
  </si>
  <si>
    <t>Documentation|Risk Management|Legal Knowledge|Auditing|EU AI Act|Leadership|Linux</t>
  </si>
  <si>
    <t>AIJOB0690</t>
  </si>
  <si>
    <t>Diffusion Models|Python|LLMs|Git|SQL|Agile</t>
  </si>
  <si>
    <t>AIJOB0691</t>
  </si>
  <si>
    <t>Data Analysis|Stakeholder Mgmt|Agile|Git|Communication</t>
  </si>
  <si>
    <t>AIJOB0692</t>
  </si>
  <si>
    <t>Statistics|Data Visualization|Python|Scikit-learn|SQL|SQL</t>
  </si>
  <si>
    <t>AIJOB0693</t>
  </si>
  <si>
    <t>LLM APIs|Python|NLP|Testing|Documentation|Problem Solving|SQL|Research</t>
  </si>
  <si>
    <t>AIJOB0694</t>
  </si>
  <si>
    <t>Legal Knowledge|EU AI Act|Risk Management|Leadership|Git</t>
  </si>
  <si>
    <t>AIJOB0695</t>
  </si>
  <si>
    <t>Hugging Face|LLMs|Python|Text Processing|Linux|SQL|Research</t>
  </si>
  <si>
    <t>AIJOB0696</t>
  </si>
  <si>
    <t>GenAI APIs|Python|Fine-tuning|Diffusion Models|Deployment|Git|Linux</t>
  </si>
  <si>
    <t>AIJOB0697</t>
  </si>
  <si>
    <t>Legal Knowledge|EU AI Act|Auditing|Linux</t>
  </si>
  <si>
    <t>AIJOB0698</t>
  </si>
  <si>
    <t>Python|NLP|Testing|Git</t>
  </si>
  <si>
    <t>AIJOB0699</t>
  </si>
  <si>
    <t>ML Algorithms|Data Visualization|SQL|Scikit-learn|Statistics|Python|Linux</t>
  </si>
  <si>
    <t>AIJOB0700</t>
  </si>
  <si>
    <t>Prompt Engineering|Vector DBs|Python|LLM APIs|RAG|Communication|Research</t>
  </si>
  <si>
    <t>AIJOB0701</t>
  </si>
  <si>
    <t>Tool Use|Planning Systems|Python|Linux|Communication|Cloud</t>
  </si>
  <si>
    <t>AIJOB0702</t>
  </si>
  <si>
    <t>Risk Management|Legal Knowledge|Documentation|Auditing|EU AI Act|Problem Solving</t>
  </si>
  <si>
    <t>AIJOB0703</t>
  </si>
  <si>
    <t>CUDA|Storage|Networking|Kubernetes|Distributed Systems|Research|Cloud|Linux</t>
  </si>
  <si>
    <t>AIJOB0704</t>
  </si>
  <si>
    <t>OpenCV|Image Processing|CUDA|CNNs|PyTorch|Statistics</t>
  </si>
  <si>
    <t>AIJOB0705</t>
  </si>
  <si>
    <t>Deep Learning|Leadership|Advanced Statistics|Python|ML|Causal Inference|Problem Solving</t>
  </si>
  <si>
    <t>AIJOB0706</t>
  </si>
  <si>
    <t>CUDA|Cloud|Distributed Systems|Cloud|SQL|Git</t>
  </si>
  <si>
    <t>AIJOB0707</t>
  </si>
  <si>
    <t>Red Teaming|Cybersecurity|ML Security|Python|Risk Analysis|Git|Linux</t>
  </si>
  <si>
    <t>AIJOB0708</t>
  </si>
  <si>
    <t>ROS|Control Systems|Simulation|Computer Vision|Statistics</t>
  </si>
  <si>
    <t>AIJOB0709</t>
  </si>
  <si>
    <t>Python|Computer Vision|Simulation|C++|SQL|Linux|Git</t>
  </si>
  <si>
    <t>AIJOB0710</t>
  </si>
  <si>
    <t>Python|Transformers|BERT|Problem Solving|Cloud</t>
  </si>
  <si>
    <t>AIJOB0711</t>
  </si>
  <si>
    <t>RAG|Prompt Engineering|Fine-tuning|LLM APIs|Python|Vector DBs|Problem Solving|Cloud|Research</t>
  </si>
  <si>
    <t>AIJOB0712</t>
  </si>
  <si>
    <t>LLM APIs|RAG|Prompt Engineering|Python|Fine-tuning|Git|Research|SQL</t>
  </si>
  <si>
    <t>AIJOB0713</t>
  </si>
  <si>
    <t>PyTorch|Distributed Systems|LLM Fine-tuning|System Design|Python|MLOps|Statistics|SQL</t>
  </si>
  <si>
    <t>AIJOB0714</t>
  </si>
  <si>
    <t>ML Security|Risk Analysis|Red Teaming|Python|Leadership</t>
  </si>
  <si>
    <t>AIJOB0715</t>
  </si>
  <si>
    <t>PyTorch|Mathematics|Python|Git</t>
  </si>
  <si>
    <t>AIJOB0716</t>
  </si>
  <si>
    <t>Research|Mathematics|Python|Publishing|SQL|Cloud|Linux</t>
  </si>
  <si>
    <t>AIJOB0717</t>
  </si>
  <si>
    <t>CUDA|Image Processing|Python|CNNs|Linux|SQL</t>
  </si>
  <si>
    <t>AIJOB0718</t>
  </si>
  <si>
    <t>Risk Analysis|Red Teaming|Cybersecurity|ML Security|SQL</t>
  </si>
  <si>
    <t>AIJOB0719</t>
  </si>
  <si>
    <t>LLM APIs|RAG|Vector DBs|Problem Solving|Linux</t>
  </si>
  <si>
    <t>AIJOB0720</t>
  </si>
  <si>
    <t>Communication|AI Policy|Research|Git</t>
  </si>
  <si>
    <t>AIJOB0721</t>
  </si>
  <si>
    <t>LLMs|LangChain|Vector DBs|Leadership|Linux</t>
  </si>
  <si>
    <t>AIJOB0722</t>
  </si>
  <si>
    <t>AutoGen|Planning Systems|APIs|LangChain|Tool Use|Python|Problem Solving|Git|Research</t>
  </si>
  <si>
    <t>AIJOB0723</t>
  </si>
  <si>
    <t>PyTorch|Distributed Systems|Python|System Design|Agile|Cloud</t>
  </si>
  <si>
    <t>AIJOB0724</t>
  </si>
  <si>
    <t>Python|Causal Inference|ML|Leadership|Research</t>
  </si>
  <si>
    <t>AIJOB0725</t>
  </si>
  <si>
    <t>Deployment|Fine-tuning|GenAI APIs|LLMs|Diffusion Models|Communication|Problem Solving|SQL</t>
  </si>
  <si>
    <t>AIJOB0726</t>
  </si>
  <si>
    <t>PyTorch|MLOps|SQL|Python|Leadership|Problem Solving|Statistics</t>
  </si>
  <si>
    <t>AIJOB0727</t>
  </si>
  <si>
    <t>APIs|Fine-tuning|Python|Statistics|Git</t>
  </si>
  <si>
    <t>AIJOB0728</t>
  </si>
  <si>
    <t>Testing|Python|NLP|Prompt Design|Git</t>
  </si>
  <si>
    <t>AIJOB0729</t>
  </si>
  <si>
    <t>AutoGen|APIs|Python|Tool Use|Planning Systems|Statistics|Git</t>
  </si>
  <si>
    <t>AIJOB0730</t>
  </si>
  <si>
    <t>Prompt Engineering|Fine-tuning|LLM APIs|Research</t>
  </si>
  <si>
    <t>AIJOB0731</t>
  </si>
  <si>
    <t>Distributed Systems|CUDA|Storage|Kubernetes|Networking|Cloud|Agile</t>
  </si>
  <si>
    <t>AIJOB0732</t>
  </si>
  <si>
    <t>SQL|ML Algorithms|Statistics|Data Visualization|Scikit-learn|Cloud|Git</t>
  </si>
  <si>
    <t>AIJOB0733</t>
  </si>
  <si>
    <t>Python|AutoGen|Tool Use|Research</t>
  </si>
  <si>
    <t>AIJOB0734</t>
  </si>
  <si>
    <t>Diffusion Models|Python|Deployment|GenAI APIs|LLMs|Linux</t>
  </si>
  <si>
    <t>AIJOB0735</t>
  </si>
  <si>
    <t>Legal Knowledge|Risk Management|EU AI Act|Statistics</t>
  </si>
  <si>
    <t>AIJOB0736</t>
  </si>
  <si>
    <t>Search Systems|Embeddings|Python|Vector DBs|LLMs|Cloud</t>
  </si>
  <si>
    <t>AIJOB0737</t>
  </si>
  <si>
    <t>Python|Business Analysis|Communication|SQL|Leadership</t>
  </si>
  <si>
    <t>AIJOB0738</t>
  </si>
  <si>
    <t>CNNs|Image Processing|OpenCV|Leadership|Agile|Git</t>
  </si>
  <si>
    <t>AIJOB0739</t>
  </si>
  <si>
    <t>Vision-Language Models|PyTorch|Python|Agile|Problem Solving|Cloud</t>
  </si>
  <si>
    <t>AIJOB0740</t>
  </si>
  <si>
    <t>ROS|C++|Python|Simulation|Statistics|Git</t>
  </si>
  <si>
    <t>AIJOB0741</t>
  </si>
  <si>
    <t>Distributed Systems|Python|LLM Fine-tuning|MLOps|System Design|Statistics</t>
  </si>
  <si>
    <t>AIJOB0742</t>
  </si>
  <si>
    <t>LLM Integration|Docker|Python|PyTorch|Git|Communication|Research</t>
  </si>
  <si>
    <t>AIJOB0743</t>
  </si>
  <si>
    <t>Neural Networks|Python|TensorFlow|PyTorch|GPU Computing|Git</t>
  </si>
  <si>
    <t>AIJOB0744</t>
  </si>
  <si>
    <t>Fine-tuning|Python|LLMs|Diffusion Models|GenAI APIs|Deployment|Agile|Cloud|Linux</t>
  </si>
  <si>
    <t>AIJOB0745</t>
  </si>
  <si>
    <t>Deployment|Python|GenAI APIs|Fine-tuning|Problem Solving|Git|Statistics</t>
  </si>
  <si>
    <t>AIJOB0746</t>
  </si>
  <si>
    <t>Communication|SQL|Business Analysis|Python|Data Visualization|Cloud</t>
  </si>
  <si>
    <t>AIJOB0747</t>
  </si>
  <si>
    <t>System Design|MLOps|Python|PyTorch|LLM Fine-tuning|Distributed Systems|Statistics</t>
  </si>
  <si>
    <t>AIJOB0748</t>
  </si>
  <si>
    <t>Neural Networks|GPU Computing|PyTorch|Python|Communication|Cloud</t>
  </si>
  <si>
    <t>AIJOB0749</t>
  </si>
  <si>
    <t>Python|Cloud|CI/CD|Kubernetes|Docker|MLflow|Linux|Problem Solving|Git</t>
  </si>
  <si>
    <t>AIJOB0750</t>
  </si>
  <si>
    <t>Vision-Language Models|Python|PyTorch|Cloud</t>
  </si>
  <si>
    <t>AIJOB0751</t>
  </si>
  <si>
    <t>AI Literacy|Data Analysis|Agile|Stakeholder Mgmt|Product Strategy|Communication|Research|Leadership</t>
  </si>
  <si>
    <t>AIJOB0752</t>
  </si>
  <si>
    <t>Fine-tuning|Deployment|GenAI APIs|Diffusion Models|Research</t>
  </si>
  <si>
    <t>AIJOB0753</t>
  </si>
  <si>
    <t>Risk Assessment|Communication|Research|Leadership</t>
  </si>
  <si>
    <t>AIJOB0754</t>
  </si>
  <si>
    <t>PyTorch|CUDA|OpenCV|Image Processing|Problem Solving|Leadership|Linux</t>
  </si>
  <si>
    <t>AIJOB0755</t>
  </si>
  <si>
    <t>Documentation|NLP|Python|Testing|LLM APIs|Communication|Cloud|Statistics</t>
  </si>
  <si>
    <t>AIJOB0756</t>
  </si>
  <si>
    <t>AI Policy|Research|Ethics Frameworks|Communication</t>
  </si>
  <si>
    <t>AIJOB0757</t>
  </si>
  <si>
    <t>C++|ROS|Computer Vision|Agile</t>
  </si>
  <si>
    <t>AIJOB0758</t>
  </si>
  <si>
    <t>Distributed Systems|Python|MLOps|LLM Fine-tuning|Statistics|Git</t>
  </si>
  <si>
    <t>AIJOB0759</t>
  </si>
  <si>
    <t>Documentation|Risk Management|EU AI Act|Auditing|Legal Knowledge|SQL|Linux|Communication</t>
  </si>
  <si>
    <t>AIJOB0760</t>
  </si>
  <si>
    <t>Scikit-learn|ML Algorithms|Python|Data Visualization|SQL|Leadership</t>
  </si>
  <si>
    <t>AIJOB0761</t>
  </si>
  <si>
    <t>NLP|LLM APIs|Testing|Documentation|Python|Problem Solving</t>
  </si>
  <si>
    <t>AIJOB0762</t>
  </si>
  <si>
    <t>CUDA|PyTorch|Python|Leadership</t>
  </si>
  <si>
    <t>AIJOB0763</t>
  </si>
  <si>
    <t>Risk Analysis|Cybersecurity|Red Teaming|Python|ML Security|Leadership|Git|Agile</t>
  </si>
  <si>
    <t>AIJOB0764</t>
  </si>
  <si>
    <t>Leadership|Causal Inference|ML|Agile</t>
  </si>
  <si>
    <t>AIJOB0765</t>
  </si>
  <si>
    <t>PyTorch|Python|LLM Integration|Statistics|SQL|Leadership</t>
  </si>
  <si>
    <t>AIJOB0766</t>
  </si>
  <si>
    <t>Monitoring|MLflow|Cloud|CI/CD|Kubernetes|Docker|Python|Linux</t>
  </si>
  <si>
    <t>AIJOB0767</t>
  </si>
  <si>
    <t>Cloud (AWS/GCP/Azure)|Docker|Python|LLM Integration|Leadership|Agile|Linux</t>
  </si>
  <si>
    <t>AIJOB0768</t>
  </si>
  <si>
    <t>dbt|Feature Stores|Python|Research|SQL|Cloud</t>
  </si>
  <si>
    <t>AIJOB0769</t>
  </si>
  <si>
    <t>EU AI Act|Legal Knowledge|Risk Management|Git|Leadership|SQL</t>
  </si>
  <si>
    <t>AIJOB0770</t>
  </si>
  <si>
    <t>BERT|Transformers|Hugging Face|Text Processing|Python|LLMs|Cloud|Agile|Linux</t>
  </si>
  <si>
    <t>AIJOB0771</t>
  </si>
  <si>
    <t>NLP|Prompt Design|Documentation|Cloud|Linux</t>
  </si>
  <si>
    <t>AIJOB0772</t>
  </si>
  <si>
    <t>Deployment|Python|Diffusion Models|Agile|Cloud</t>
  </si>
  <si>
    <t>AIJOB0773</t>
  </si>
  <si>
    <t>Documentation|Risk Management|Legal Knowledge|EU AI Act|Statistics|SQL|Agile</t>
  </si>
  <si>
    <t>AIJOB0774</t>
  </si>
  <si>
    <t>Python|CUDA|GPU Computing|TensorFlow|Research|Leadership|Problem Solving</t>
  </si>
  <si>
    <t>AIJOB0775</t>
  </si>
  <si>
    <t>Python|Tool Use|APIs|AutoGen|Git</t>
  </si>
  <si>
    <t>AIJOB0776</t>
  </si>
  <si>
    <t>Prompt Design|Testing|Documentation|Cloud|Git</t>
  </si>
  <si>
    <t>AIJOB0777</t>
  </si>
  <si>
    <t>Python|Planning Systems|LangChain|Tool Use|AutoGen|APIs|SQL</t>
  </si>
  <si>
    <t>AIJOB0778</t>
  </si>
  <si>
    <t>Python|Data Visualization|Statistics|Scikit-learn|ML Algorithms|Linux</t>
  </si>
  <si>
    <t>AIJOB0779</t>
  </si>
  <si>
    <t>System Design|Python|Distributed Systems|Research</t>
  </si>
  <si>
    <t>AIJOB0780</t>
  </si>
  <si>
    <t>Causal Inference|ML|Deep Learning|Leadership|SQL</t>
  </si>
  <si>
    <t>AIJOB0781</t>
  </si>
  <si>
    <t>Auditing|Risk Management|Legal Knowledge|EU AI Act|Documentation|Research|Cloud|Linux</t>
  </si>
  <si>
    <t>AIJOB0782</t>
  </si>
  <si>
    <t>Cloud|Monitoring|MLflow|Kubernetes|CI/CD|Python|Communication</t>
  </si>
  <si>
    <t>AIJOB0783</t>
  </si>
  <si>
    <t>Cloud (AWS/GCP/Azure)|LLM Integration|Python|PyTorch|Problem Solving|Linux</t>
  </si>
  <si>
    <t>AIJOB0784</t>
  </si>
  <si>
    <t>Prompt Engineering|Fine-tuning|RAG|Vector DBs|Communication|Linux|Statistics</t>
  </si>
  <si>
    <t>AIJOB0785</t>
  </si>
  <si>
    <t>Deep Learning|Mathematics|Python|PyTorch|Publishing|Research|Cloud</t>
  </si>
  <si>
    <t>AIJOB0786</t>
  </si>
  <si>
    <t>CUDA|PyTorch|GPU Computing|TensorFlow|Python|SQL|Statistics</t>
  </si>
  <si>
    <t>AIJOB0787</t>
  </si>
  <si>
    <t>LLM Integration|PyTorch|Cloud (AWS/GCP/Azure)|Docker|Python|Cloud|Problem Solving|Statistics</t>
  </si>
  <si>
    <t>AIJOB0788</t>
  </si>
  <si>
    <t>PyTorch|Vision-Language Models|APIs|Leadership|Linux</t>
  </si>
  <si>
    <t>AIJOB0789</t>
  </si>
  <si>
    <t>Mathematics|Deep Learning|Publishing|Python|Research|PyTorch|Leadership|Communication</t>
  </si>
  <si>
    <t>AIJOB0790</t>
  </si>
  <si>
    <t>SQL|Kubernetes|Python|TensorFlow|PyTorch|Research</t>
  </si>
  <si>
    <t>AIJOB0791</t>
  </si>
  <si>
    <t>NLP|Documentation|Testing|Agile|Cloud|Linux</t>
  </si>
  <si>
    <t>AIJOB0792</t>
  </si>
  <si>
    <t>Leadership|ML|Deep Learning|Python|Causal Inference|Advanced Statistics|SQL|Cloud</t>
  </si>
  <si>
    <t>AIJOB0793</t>
  </si>
  <si>
    <t>ML|Deep Learning|Python|SQL|Communication</t>
  </si>
  <si>
    <t>AIJOB0794</t>
  </si>
  <si>
    <t>Python|Transformers|Hugging Face|LLMs|Text Processing|BERT|Agile|SQL</t>
  </si>
  <si>
    <t>AIJOB0795</t>
  </si>
  <si>
    <t>PyTorch|TensorFlow|Python|SQL|Kubernetes|MLOps|Research</t>
  </si>
  <si>
    <t>AIJOB0796</t>
  </si>
  <si>
    <t>LangChain|Planning Systems|AutoGen|Tool Use|APIs|Python|Cloud</t>
  </si>
  <si>
    <t>AIJOB0797</t>
  </si>
  <si>
    <t>Product Strategy|Agile|Stakeholder Mgmt|AI Literacy|Data Analysis|Git|Research|Leadership</t>
  </si>
  <si>
    <t>AIJOB0798</t>
  </si>
  <si>
    <t>LLM Integration|Docker|Cloud (AWS/GCP/Azure)|Statistics|Linux</t>
  </si>
  <si>
    <t>AIJOB0799</t>
  </si>
  <si>
    <t>Python|Data Visualization|Statistics|Scikit-learn|Cloud|Research|SQL</t>
  </si>
  <si>
    <t>AIJOB0800</t>
  </si>
  <si>
    <t>Simulation|Control Systems|Computer Vision|C++|Agile|Leadership|Problem Solving</t>
  </si>
  <si>
    <t>AIJOB0801</t>
  </si>
  <si>
    <t>Distributed Systems|MLOps|Python|Linux|Communication</t>
  </si>
  <si>
    <t>AIJOB0802</t>
  </si>
  <si>
    <t>Embeddings|Search Systems|LangChain|Vector DBs|Python|LLMs|Research|Linux|Leadership</t>
  </si>
  <si>
    <t>AIJOB0803</t>
  </si>
  <si>
    <t>PyTorch|Python|Fine-tuning|SQL|Statistics</t>
  </si>
  <si>
    <t>AIJOB0804</t>
  </si>
  <si>
    <t>PyTorch|Mathematics|Deep Learning|Publishing|Research|Linux</t>
  </si>
  <si>
    <t>AIJOB0805</t>
  </si>
  <si>
    <t>C++|Computer Vision|Python|Git|Statistics</t>
  </si>
  <si>
    <t>AIJOB0806</t>
  </si>
  <si>
    <t>Fine-tuning|Prompt Engineering|Vector DBs|Python|Leadership</t>
  </si>
  <si>
    <t>AIJOB0807</t>
  </si>
  <si>
    <t>Fine-tuning|LLM APIs|Python|RAG|Prompt Engineering|Problem Solving|Git|Leadership</t>
  </si>
  <si>
    <t>AIJOB0808</t>
  </si>
  <si>
    <t>Business Analysis|SQL|Python|Communication|Git|Statistics</t>
  </si>
  <si>
    <t>AIJOB0809</t>
  </si>
  <si>
    <t>AI Policy|Ethics Frameworks|Research|Git|Agile|Problem Solving</t>
  </si>
  <si>
    <t>AIJOB0810</t>
  </si>
  <si>
    <t>SQL|Business Analysis|Python|Communication|Leadership</t>
  </si>
  <si>
    <t>AIJOB0811</t>
  </si>
  <si>
    <t>Auditing|Legal Knowledge|Risk Management|Documentation|Linux</t>
  </si>
  <si>
    <t>AIJOB0812</t>
  </si>
  <si>
    <t>Stakeholder Mgmt|AI Literacy|Data Analysis|Product Strategy|Agile|Git|Problem Solving|Cloud</t>
  </si>
  <si>
    <t>AIJOB0813</t>
  </si>
  <si>
    <t>ETL|SQL|Feature Stores|Communication</t>
  </si>
  <si>
    <t>AIJOB0814</t>
  </si>
  <si>
    <t>Deep Learning|Mathematics|Publishing|Python|PyTorch|Research|Research|Problem Solving</t>
  </si>
  <si>
    <t>AIJOB0815</t>
  </si>
  <si>
    <t>GenAI APIs|LLMs|Python|Fine-tuning|Communication</t>
  </si>
  <si>
    <t>AIJOB0816</t>
  </si>
  <si>
    <t>MLOps|PyTorch|LLM Fine-tuning|System Design|Distributed Systems|SQL|Leadership</t>
  </si>
  <si>
    <t>AIJOB0817</t>
  </si>
  <si>
    <t>Feature Stores|SQL|Airflow|Spark|dbt|Python|ETL|Linux|Git</t>
  </si>
  <si>
    <t>AIJOB0818</t>
  </si>
  <si>
    <t>Python|Diffusion Models|GenAI APIs|Deployment|LLMs|Fine-tuning|Research</t>
  </si>
  <si>
    <t>AIJOB0819</t>
  </si>
  <si>
    <t>Agile|AI Literacy|Product Strategy|Cloud|Statistics|Git</t>
  </si>
  <si>
    <t>AIJOB0820</t>
  </si>
  <si>
    <t>Distributed Systems|Cloud|Networking|CUDA|Kubernetes|Research|Communication|Linux</t>
  </si>
  <si>
    <t>AIJOB0821</t>
  </si>
  <si>
    <t>Python|Vector DBs|Search Systems|Embeddings|LangChain|LLMs|Statistics</t>
  </si>
  <si>
    <t>AIJOB0822</t>
  </si>
  <si>
    <t>Ethics Frameworks|Communication|Research|SQL|Leadership|Communication</t>
  </si>
  <si>
    <t>AIJOB0823</t>
  </si>
  <si>
    <t>Cloud|Enterprise Architecture|Python|System Design|ML|SQL</t>
  </si>
  <si>
    <t>AIJOB0824</t>
  </si>
  <si>
    <t>Data Analysis|Product Strategy|Agile|Problem Solving</t>
  </si>
  <si>
    <t>AIJOB0825</t>
  </si>
  <si>
    <t>GPU Computing|Neural Networks|CUDA|Communication</t>
  </si>
  <si>
    <t>AIJOB0826</t>
  </si>
  <si>
    <t>Diffusion Models|Deployment|GenAI APIs|Python|Fine-tuning|LLMs|Git</t>
  </si>
  <si>
    <t>AIJOB0827</t>
  </si>
  <si>
    <t>Causal Inference|Deep Learning|Advanced Statistics|Cloud|Statistics</t>
  </si>
  <si>
    <t>AIJOB0828</t>
  </si>
  <si>
    <t>ML Algorithms|Data Visualization|Statistics|Scikit-learn|Python|SQL|Linux</t>
  </si>
  <si>
    <t>AIJOB0829</t>
  </si>
  <si>
    <t>SQL|Spark|dbt|Airflow|Python|ETL|Feature Stores|Git|Linux</t>
  </si>
  <si>
    <t>AIJOB0830</t>
  </si>
  <si>
    <t>Neural Networks|Python|TensorFlow|Linux|Research|Communication</t>
  </si>
  <si>
    <t>AIJOB0831</t>
  </si>
  <si>
    <t>Testing|Prompt Design|Python|LLM APIs|NLP|SQL</t>
  </si>
  <si>
    <t>AIJOB0832</t>
  </si>
  <si>
    <t>Prompt Engineering|Python|Fine-tuning|LLM APIs|RAG|Agile|Cloud</t>
  </si>
  <si>
    <t>AIJOB0833</t>
  </si>
  <si>
    <t>Prompt Design|LLM APIs|Documentation|Cloud|Leadership|Communication</t>
  </si>
  <si>
    <t>AIJOB0834</t>
  </si>
  <si>
    <t>Simulation|ROS|C++|SQL|Research|Git</t>
  </si>
  <si>
    <t>AIJOB0835</t>
  </si>
  <si>
    <t>PyTorch|MLOps|Distributed Systems|Python|System Design|SQL</t>
  </si>
  <si>
    <t>AIJOB0836</t>
  </si>
  <si>
    <t>Python|LLM APIs|Testing|Cloud|Linux|Research</t>
  </si>
  <si>
    <t>AIJOB0837</t>
  </si>
  <si>
    <t>Red Teaming|Risk Analysis|Cybersecurity|ML Security|Problem Solving|SQL</t>
  </si>
  <si>
    <t>AIJOB0838</t>
  </si>
  <si>
    <t>Kubernetes|Python|TensorFlow|SQL|MLOps|Linux|SQL</t>
  </si>
  <si>
    <t>AIJOB0839</t>
  </si>
  <si>
    <t>Prompt Engineering|RAG|Python|LLM APIs|Fine-tuning|Vector DBs|Cloud</t>
  </si>
  <si>
    <t>AIJOB0840</t>
  </si>
  <si>
    <t>Image Processing|CUDA|Python|PyTorch|OpenCV|Git</t>
  </si>
  <si>
    <t>AIJOB0841</t>
  </si>
  <si>
    <t>Python|Docker|LLM Integration|Linux</t>
  </si>
  <si>
    <t>AIJOB0842</t>
  </si>
  <si>
    <t>Python|LLM Fine-tuning|System Design|MLOps|Distributed Systems|PyTorch|Cloud|Agile|Leadership</t>
  </si>
  <si>
    <t>AIJOB0843</t>
  </si>
  <si>
    <t>Python|Deployment|Fine-tuning|Diffusion Models|Cloud</t>
  </si>
  <si>
    <t>AIJOB0844</t>
  </si>
  <si>
    <t>LLM Fine-tuning|MLOps|System Design|Python|Cloud|Leadership|Linux</t>
  </si>
  <si>
    <t>AIJOB0845</t>
  </si>
  <si>
    <t>AutoGen|Python|Tool Use|Statistics</t>
  </si>
  <si>
    <t>AIJOB0846</t>
  </si>
  <si>
    <t>Python|C++|ROS|Control Systems|Simulation|Computer Vision|Cloud|Problem Solving|Communication</t>
  </si>
  <si>
    <t>AIJOB0847</t>
  </si>
  <si>
    <t>Leadership|Cloud|Python|Enterprise Architecture|System Design|Leadership</t>
  </si>
  <si>
    <t>AIJOB0848</t>
  </si>
  <si>
    <t>Search Systems|LangChain|Python|Vector DBs|Embeddings|LLMs|Agile</t>
  </si>
  <si>
    <t>AIJOB0849</t>
  </si>
  <si>
    <t>APIs|Python|Vision-Language Models|Fine-tuning|SQL</t>
  </si>
  <si>
    <t>AIJOB0850</t>
  </si>
  <si>
    <t>Airflow|SQL|Python|Agile</t>
  </si>
  <si>
    <t>AIJOB0851</t>
  </si>
  <si>
    <t>LLMs|Deployment|Python|Research|Leadership</t>
  </si>
  <si>
    <t>AIJOB0852</t>
  </si>
  <si>
    <t>Data Analysis|AI Literacy|Stakeholder Mgmt|Agile|Problem Solving|Leadership|Research</t>
  </si>
  <si>
    <t>AIJOB0853</t>
  </si>
  <si>
    <t>Communication|Python|SQL|Data Visualization|Business Analysis|Cloud</t>
  </si>
  <si>
    <t>AIJOB0854</t>
  </si>
  <si>
    <t>LangChain|Vector DBs|Python|LLMs|Search Systems|Embeddings|Problem Solving|SQL</t>
  </si>
  <si>
    <t>AIJOB0855</t>
  </si>
  <si>
    <t>Monitoring|Docker|MLflow|CI/CD|Kubernetes|Cloud|SQL|Statistics</t>
  </si>
  <si>
    <t>AIJOB0856</t>
  </si>
  <si>
    <t>Risk Assessment|Research|Ethics Frameworks|AI Policy|Linux|Communication</t>
  </si>
  <si>
    <t>AIJOB0857</t>
  </si>
  <si>
    <t>Stakeholder Mgmt|AI Literacy|Product Strategy|Data Analysis|Agile|Linux</t>
  </si>
  <si>
    <t>AIJOB0858</t>
  </si>
  <si>
    <t>Distributed Systems|Cloud|Storage|Linux</t>
  </si>
  <si>
    <t>AIJOB0859</t>
  </si>
  <si>
    <t>Computer Vision|Control Systems|Simulation|Research|Leadership</t>
  </si>
  <si>
    <t>AIJOB0860</t>
  </si>
  <si>
    <t>OpenCV|Python|CUDA|Communication</t>
  </si>
  <si>
    <t>AIJOB0861</t>
  </si>
  <si>
    <t>Python|Business Analysis|Communication|SQL|Data Visualization|Git</t>
  </si>
  <si>
    <t>AIJOB0862</t>
  </si>
  <si>
    <t>TensorFlow|PyTorch|Kubernetes|Python|SQL|MLOps|Linux</t>
  </si>
  <si>
    <t>AIJOB0863</t>
  </si>
  <si>
    <t>Vision-Language Models|PyTorch|APIs|Linux|Research|Problem Solving</t>
  </si>
  <si>
    <t>AIJOB0864</t>
  </si>
  <si>
    <t>ETL|Python|SQL|dbt|Communication|SQL|Cloud</t>
  </si>
  <si>
    <t>AIJOB0865</t>
  </si>
  <si>
    <t>Search Systems|Python|Embeddings|Research|Leadership</t>
  </si>
  <si>
    <t>AIJOB0866</t>
  </si>
  <si>
    <t>Fine-tuning|PyTorch|APIs|Research</t>
  </si>
  <si>
    <t>AIJOB0867</t>
  </si>
  <si>
    <t>Legal Knowledge|Auditing|Documentation|EU AI Act|Risk Management|Statistics|Research</t>
  </si>
  <si>
    <t>AIJOB0868</t>
  </si>
  <si>
    <t>LLM APIs|Fine-tuning|Vector DBs|Python|Prompt Engineering|Research|Linux|Communication</t>
  </si>
  <si>
    <t>AIJOB0869</t>
  </si>
  <si>
    <t>Docker|LLM Integration|Python|Git</t>
  </si>
  <si>
    <t>AIJOB0870</t>
  </si>
  <si>
    <t>Risk Analysis|Red Teaming|Python|ML Security|Cybersecurity|Leadership</t>
  </si>
  <si>
    <t>AIJOB0871</t>
  </si>
  <si>
    <t>LLMs|BERT|Text Processing|Linux|Communication|Statistics</t>
  </si>
  <si>
    <t>AIJOB0872</t>
  </si>
  <si>
    <t>CUDA|GPU Computing|Neural Networks|PyTorch|Python|SQL|Problem Solving</t>
  </si>
  <si>
    <t>AIJOB0873</t>
  </si>
  <si>
    <t>Python|RAG|Fine-tuning|Vector DBs|LLM APIs|Problem Solving|Agile|Research</t>
  </si>
  <si>
    <t>AIJOB0874</t>
  </si>
  <si>
    <t>Neural Networks|GPU Computing|CUDA|Python|Communication|Leadership|Cloud</t>
  </si>
  <si>
    <t>AIJOB0875</t>
  </si>
  <si>
    <t>LangChain|AutoGen|Tool Use|Python|APIs|Planning Systems|Problem Solving</t>
  </si>
  <si>
    <t>AIJOB0876</t>
  </si>
  <si>
    <t>Leadership|ML|Cloud|Research</t>
  </si>
  <si>
    <t>AIJOB0877</t>
  </si>
  <si>
    <t>LLM Fine-tuning|Distributed Systems|PyTorch|Git|Cloud</t>
  </si>
  <si>
    <t>AIJOB0878</t>
  </si>
  <si>
    <t>LLM Fine-tuning|System Design|Distributed Systems|Research|SQL</t>
  </si>
  <si>
    <t>AIJOB0879</t>
  </si>
  <si>
    <t>Ethics Frameworks|Communication|Risk Assessment|Research</t>
  </si>
  <si>
    <t>AIJOB0880</t>
  </si>
  <si>
    <t>Python|C++|Computer Vision|ROS|Linux</t>
  </si>
  <si>
    <t>AIJOB0881</t>
  </si>
  <si>
    <t>AI Policy|Ethics Frameworks|Research|Linux|Research|Git</t>
  </si>
  <si>
    <t>AIJOB0882</t>
  </si>
  <si>
    <t>Python|Leadership|ML|SQL|Problem Solving|Research</t>
  </si>
  <si>
    <t>AIJOB0883</t>
  </si>
  <si>
    <t>Control Systems|Simulation|Python|Computer Vision|C++|ROS|Agile|Problem Solving|Research</t>
  </si>
  <si>
    <t>AIJOB0884</t>
  </si>
  <si>
    <t>Ethics Frameworks|Research|AI Policy|Statistics</t>
  </si>
  <si>
    <t>AIJOB0885</t>
  </si>
  <si>
    <t>Fine-tuning|GenAI APIs|Diffusion Models|Deployment|Cloud</t>
  </si>
  <si>
    <t>AIJOB0886</t>
  </si>
  <si>
    <t>Kubernetes|Distributed Systems|CUDA|Networking|Cloud|SQL|Statistics|Leadership</t>
  </si>
  <si>
    <t>AIJOB0887</t>
  </si>
  <si>
    <t>Product Strategy|Data Analysis|Stakeholder Mgmt|Statistics|Git</t>
  </si>
  <si>
    <t>AIJOB0888</t>
  </si>
  <si>
    <t>Statistics|SQL|Data Visualization|Research|Cloud|SQL</t>
  </si>
  <si>
    <t>AIJOB0889</t>
  </si>
  <si>
    <t>AI Literacy|Agile|Data Analysis|Statistics|SQL|Leadership</t>
  </si>
  <si>
    <t>AIJOB0890</t>
  </si>
  <si>
    <t>Neural Networks|TensorFlow|Python|Git|Research</t>
  </si>
  <si>
    <t>AIJOB0891</t>
  </si>
  <si>
    <t>Communication|Python|Data Visualization|SQL|Problem Solving</t>
  </si>
  <si>
    <t>AIJOB0892</t>
  </si>
  <si>
    <t>Vector DBs|LLMs|LangChain|Statistics|Problem Solving|Communication</t>
  </si>
  <si>
    <t>AIJOB0893</t>
  </si>
  <si>
    <t>AI Policy|Research|Ethics Frameworks|Risk Assessment|Communication|Agile|SQL</t>
  </si>
  <si>
    <t>AIJOB0894</t>
  </si>
  <si>
    <t>Python|Fine-tuning|Vision-Language Models|Research|Cloud</t>
  </si>
  <si>
    <t>AIJOB0895</t>
  </si>
  <si>
    <t>Python|Neural Networks|TensorFlow|CUDA|GPU Computing|Linux|Problem Solving|Communication</t>
  </si>
  <si>
    <t>AIJOB0896</t>
  </si>
  <si>
    <t>Planning Systems|AutoGen|LangChain|Python|APIs|Tool Use|Cloud</t>
  </si>
  <si>
    <t>AIJOB0897</t>
  </si>
  <si>
    <t>Cloud|Leadership|Python|Linux|Cloud</t>
  </si>
  <si>
    <t>AIJOB0898</t>
  </si>
  <si>
    <t>Distributed Systems|Networking|Cloud|CUDA|Storage|Research</t>
  </si>
  <si>
    <t>AIJOB0899</t>
  </si>
  <si>
    <t>TensorFlow|GPU Computing|Python|Problem Solving|Research|SQL</t>
  </si>
  <si>
    <t>AIJOB0900</t>
  </si>
  <si>
    <t>Feature Stores|Airflow|Spark|Python|dbt|ETL|SQL|Statistics|Communication</t>
  </si>
  <si>
    <t>AIJOB0901</t>
  </si>
  <si>
    <t>LLMs|Python|Search Systems|LangChain|Embeddings|Research</t>
  </si>
  <si>
    <t>AIJOB0902</t>
  </si>
  <si>
    <t>Leadership|Advanced Statistics|Deep Learning|Causal Inference|Python|Cloud</t>
  </si>
  <si>
    <t>AIJOB0903</t>
  </si>
  <si>
    <t>LLM Integration|Docker|Python|Cloud (AWS/GCP/Azure)|PyTorch|Statistics|Linux</t>
  </si>
  <si>
    <t>AIJOB0904</t>
  </si>
  <si>
    <t>Cybersecurity|Risk Analysis|ML Security|Problem Solving|Communication|Research</t>
  </si>
  <si>
    <t>AIJOB0905</t>
  </si>
  <si>
    <t>Python|APIs|Vision-Language Models|PyTorch|Fine-tuning|Problem Solving</t>
  </si>
  <si>
    <t>AIJOB0906</t>
  </si>
  <si>
    <t>ROS|Computer Vision|Control Systems|Simulation|SQL|Statistics|Cloud</t>
  </si>
  <si>
    <t>AIJOB0907</t>
  </si>
  <si>
    <t>Fine-tuning|Vector DBs|Python|LLM APIs|Prompt Engineering|RAG|SQL|Research</t>
  </si>
  <si>
    <t>AIJOB0908</t>
  </si>
  <si>
    <t>LLM APIs|Documentation|NLP|Prompt Design|Git|Problem Solving</t>
  </si>
  <si>
    <t>AIJOB0909</t>
  </si>
  <si>
    <t>Product Strategy|Agile|Stakeholder Mgmt|Data Analysis|AI Literacy|Communication</t>
  </si>
  <si>
    <t>AIJOB0910</t>
  </si>
  <si>
    <t>Transformers|BERT|Python|Text Processing|LLMs|Hugging Face|Agile</t>
  </si>
  <si>
    <t>AIJOB0911</t>
  </si>
  <si>
    <t>PyTorch|APIs|Fine-tuning|Vision-Language Models|Problem Solving|Agile|Research</t>
  </si>
  <si>
    <t>AIJOB0912</t>
  </si>
  <si>
    <t>Legal Knowledge|Auditing|Documentation|Risk Management|Cloud</t>
  </si>
  <si>
    <t>AIJOB0913</t>
  </si>
  <si>
    <t>PyTorch|LLM Integration|Docker|Problem Solving|Cloud</t>
  </si>
  <si>
    <t>AIJOB0914</t>
  </si>
  <si>
    <t>Python|Causal Inference|Advanced Statistics|Leadership|Deep Learning|Git|Agile</t>
  </si>
  <si>
    <t>AIJOB0915</t>
  </si>
  <si>
    <t>Auditing|Documentation|EU AI Act|Legal Knowledge|Git</t>
  </si>
  <si>
    <t>AIJOB0916</t>
  </si>
  <si>
    <t>ETL|Feature Stores|Airflow|Python|dbt|Communication|Linux</t>
  </si>
  <si>
    <t>AIJOB0917</t>
  </si>
  <si>
    <t>Leadership|Causal Inference|ML|Python|Deep Learning|Advanced Statistics|Git</t>
  </si>
  <si>
    <t>AIJOB0918</t>
  </si>
  <si>
    <t>System Design|Enterprise Architecture|Cloud|Linux|Problem Solving</t>
  </si>
  <si>
    <t>AIJOB0919</t>
  </si>
  <si>
    <t>Embeddings|Vector DBs|Python|Git</t>
  </si>
  <si>
    <t>AIJOB0920</t>
  </si>
  <si>
    <t>Docker|Cloud (AWS/GCP/Azure)|PyTorch|Python|Linux</t>
  </si>
  <si>
    <t>AIJOB0921</t>
  </si>
  <si>
    <t>LLMs|Vector DBs|Search Systems|Python|Cloud|Git</t>
  </si>
  <si>
    <t>AIJOB0922</t>
  </si>
  <si>
    <t>PyTorch|MLOps|Python|Kubernetes|Research</t>
  </si>
  <si>
    <t>AIJOB0923</t>
  </si>
  <si>
    <t>Control Systems|C++|Computer Vision|Python|ROS|Research|Agile</t>
  </si>
  <si>
    <t>AIJOB0924</t>
  </si>
  <si>
    <t>Mathematics|Publishing|PyTorch|Research|Python|Statistics</t>
  </si>
  <si>
    <t>AIJOB0925</t>
  </si>
  <si>
    <t>APIs|Python|Planning Systems|Cloud|Research</t>
  </si>
  <si>
    <t>AIJOB0926</t>
  </si>
  <si>
    <t>Legal Knowledge|Risk Management|Auditing|SQL|Leadership|Agile</t>
  </si>
  <si>
    <t>AIJOB0927</t>
  </si>
  <si>
    <t>GenAI APIs|Python|Fine-tuning|Cloud</t>
  </si>
  <si>
    <t>AIJOB0928</t>
  </si>
  <si>
    <t>PyTorch|Docker|LLM Integration|Python|Research</t>
  </si>
  <si>
    <t>AIJOB0929</t>
  </si>
  <si>
    <t>Search Systems|Vector DBs|Embeddings|LLMs|Research|Leadership</t>
  </si>
  <si>
    <t>AIJOB0930</t>
  </si>
  <si>
    <t>NLP|Documentation|Prompt Design|LLM APIs|Problem Solving|Leadership</t>
  </si>
  <si>
    <t>AIJOB0931</t>
  </si>
  <si>
    <t>AutoGen|APIs|LangChain|Python|Tool Use|Planning Systems|Git</t>
  </si>
  <si>
    <t>AIJOB0932</t>
  </si>
  <si>
    <t>Python|LLM APIs|RAG|Research|Cloud|Agile</t>
  </si>
  <si>
    <t>AIJOB0933</t>
  </si>
  <si>
    <t>Docker|Cloud|Python|Cloud</t>
  </si>
  <si>
    <t>AIJOB0934</t>
  </si>
  <si>
    <t>Communication|Business Analysis|SQL|Python|Data Visualization|Communication|SQL</t>
  </si>
  <si>
    <t>AIJOB0935</t>
  </si>
  <si>
    <t>Mathematics|Research|Publishing|Deep Learning|PyTorch|Agile|Cloud</t>
  </si>
  <si>
    <t>AIJOB0936</t>
  </si>
  <si>
    <t>Diffusion Models|LLMs|GenAI APIs|Communication|Agile|Leadership</t>
  </si>
  <si>
    <t>AIJOB0937</t>
  </si>
  <si>
    <t>Legal Knowledge|Risk Management|Documentation|Auditing|EU AI Act|Leadership|Problem Solving|Agile</t>
  </si>
  <si>
    <t>AIJOB0938</t>
  </si>
  <si>
    <t>PyTorch|TensorFlow|MLOps|SQL|Kubernetes|Problem Solving|Linux</t>
  </si>
  <si>
    <t>AIJOB0939</t>
  </si>
  <si>
    <t>Distributed Systems|System Design|Python|MLOps|Communication</t>
  </si>
  <si>
    <t>AIJOB0940</t>
  </si>
  <si>
    <t>GPU Computing|CUDA|PyTorch|Agile</t>
  </si>
  <si>
    <t>AIJOB0941</t>
  </si>
  <si>
    <t>PyTorch|MLOps|Distributed Systems|System Design|Linux|SQL|Communication</t>
  </si>
  <si>
    <t>AIJOB0942</t>
  </si>
  <si>
    <t>Python|Hugging Face|BERT|Linux|Agile|Cloud</t>
  </si>
  <si>
    <t>AIJOB0943</t>
  </si>
  <si>
    <t>Cloud|ML|System Design|Python|Leadership|Statistics|SQL|Linux</t>
  </si>
  <si>
    <t>AIJOB0944</t>
  </si>
  <si>
    <t>Python|GenAI APIs|Deployment|Diffusion Models|Cloud|Git</t>
  </si>
  <si>
    <t>AIJOB0945</t>
  </si>
  <si>
    <t>MLOps|PyTorch|Distributed Systems|System Design|LLM Fine-tuning|Python|SQL</t>
  </si>
  <si>
    <t>AIJOB0946</t>
  </si>
  <si>
    <t>Fine-tuning|GenAI APIs|Python|Diffusion Models|Agile|Research|Git</t>
  </si>
  <si>
    <t>AIJOB0947</t>
  </si>
  <si>
    <t>Publishing|Mathematics|Deep Learning|Research|Python|Research|Statistics</t>
  </si>
  <si>
    <t>AIJOB0948</t>
  </si>
  <si>
    <t>SQL|MLOps|PyTorch|Kubernetes|Git|Linux|Leadership</t>
  </si>
  <si>
    <t>AIJOB0949</t>
  </si>
  <si>
    <t>CI/CD|MLflow|Python|Kubernetes|Linux</t>
  </si>
  <si>
    <t>AIJOB0950</t>
  </si>
  <si>
    <t>SQL|Feature Stores|Python|Spark|ETL|dbt|Git|Agile</t>
  </si>
  <si>
    <t>AIJOB0951</t>
  </si>
  <si>
    <t>Mathematics|Deep Learning|PyTorch|Python|Statistics</t>
  </si>
  <si>
    <t>AIJOB0952</t>
  </si>
  <si>
    <t>Python|Business Analysis|Communication|Research|SQL</t>
  </si>
  <si>
    <t>AIJOB0953</t>
  </si>
  <si>
    <t>System Design|Leadership|ML|Enterprise Architecture|Cloud|Agile|Linux</t>
  </si>
  <si>
    <t>AIJOB0954</t>
  </si>
  <si>
    <t>BERT|Hugging Face|Transformers|Python|Git|Cloud</t>
  </si>
  <si>
    <t>AIJOB0955</t>
  </si>
  <si>
    <t>Python|PyTorch|Research|Mathematics|Problem Solving|Cloud|Communication</t>
  </si>
  <si>
    <t>AIJOB0956</t>
  </si>
  <si>
    <t>LLMs|Deployment|Python|Fine-tuning|GenAI APIs|Communication</t>
  </si>
  <si>
    <t>AIJOB0957</t>
  </si>
  <si>
    <t>Python|ROS|C++|Agile|Leadership|Git</t>
  </si>
  <si>
    <t>AIJOB0958</t>
  </si>
  <si>
    <t>Python|CI/CD|Docker|MLflow|Cloud|Monitoring|Kubernetes|Linux|Leadership</t>
  </si>
  <si>
    <t>AIJOB0959</t>
  </si>
  <si>
    <t>Vector DBs|LLM APIs|Prompt Engineering|RAG|Python|Fine-tuning|Linux|Cloud|Problem Solving</t>
  </si>
  <si>
    <t>AIJOB0960</t>
  </si>
  <si>
    <t>CNNs|Image Processing|CUDA|Cloud</t>
  </si>
  <si>
    <t>AIJOB0961</t>
  </si>
  <si>
    <t>Red Teaming|Cybersecurity|Python|Risk Analysis|SQL|Problem Solving|Leadership</t>
  </si>
  <si>
    <t>AIJOB0962</t>
  </si>
  <si>
    <t>Docker|Python|LLM Integration|Linux|Cloud|Problem Solving</t>
  </si>
  <si>
    <t>AIJOB0963</t>
  </si>
  <si>
    <t>Mathematics|Publishing|Deep Learning|Research|Communication</t>
  </si>
  <si>
    <t>AIJOB0964</t>
  </si>
  <si>
    <t>Documentation|EU AI Act|Legal Knowledge|Auditing|Risk Management|Leadership</t>
  </si>
  <si>
    <t>AIJOB0965</t>
  </si>
  <si>
    <t>LLMs|Diffusion Models|Fine-tuning|SQL|Cloud|Research</t>
  </si>
  <si>
    <t>AIJOB0966</t>
  </si>
  <si>
    <t>Deep Learning|Mathematics|Publishing|PyTorch|Research</t>
  </si>
  <si>
    <t>AIJOB0967</t>
  </si>
  <si>
    <t>Simulation|Computer Vision|Control Systems|Python|Cloud|Leadership|Problem Solving</t>
  </si>
  <si>
    <t>AIJOB0968</t>
  </si>
  <si>
    <t>LangChain|Embeddings|Python|Vector DBs|LLMs|Problem Solving</t>
  </si>
  <si>
    <t>AIJOB0969</t>
  </si>
  <si>
    <t>Cloud|MLflow|CI/CD|Docker|Monitoring|Kubernetes|Python|Statistics|Agile|Cloud</t>
  </si>
  <si>
    <t>AIJOB0970</t>
  </si>
  <si>
    <t>NLP|Testing|Prompt Design|LLM APIs|Problem Solving|Leadership</t>
  </si>
  <si>
    <t>AIJOB0971</t>
  </si>
  <si>
    <t>Python|PyTorch|LLM Integration|Cloud (AWS/GCP/Azure)|Problem Solving|SQL|Leadership</t>
  </si>
  <si>
    <t>AIJOB0972</t>
  </si>
  <si>
    <t>Control Systems|Simulation|Computer Vision|Python|Git|Leadership|Statistics</t>
  </si>
  <si>
    <t>AIJOB0973</t>
  </si>
  <si>
    <t>Kubernetes|SQL|TensorFlow|Communication|SQL|Statistics</t>
  </si>
  <si>
    <t>AIJOB0974</t>
  </si>
  <si>
    <t>Python|Fine-tuning|PyTorch|Vision-Language Models|Cloud</t>
  </si>
  <si>
    <t>AIJOB0975</t>
  </si>
  <si>
    <t>Data Visualization|ML Algorithms|Python|Statistics|Agile|Statistics</t>
  </si>
  <si>
    <t>AIJOB0976</t>
  </si>
  <si>
    <t>RAG|LLM APIs|Fine-tuning|Prompt Engineering|Python|Vector DBs|Git</t>
  </si>
  <si>
    <t>AIJOB0977</t>
  </si>
  <si>
    <t>PyTorch|Image Processing|OpenCV|CUDA|CNNs|Linux|Git</t>
  </si>
  <si>
    <t>AIJOB0978</t>
  </si>
  <si>
    <t>Python|GenAI APIs|Diffusion Models|Linux</t>
  </si>
  <si>
    <t>AIJOB0979</t>
  </si>
  <si>
    <t>Deep Learning|Causal Inference|Leadership|ML|Advanced Statistics|Linux</t>
  </si>
  <si>
    <t>AIJOB0980</t>
  </si>
  <si>
    <t>Python|Vector DBs|Fine-tuning|Prompt Engineering|RAG|LLM APIs|Problem Solving|Git</t>
  </si>
  <si>
    <t>AIJOB0981</t>
  </si>
  <si>
    <t>Legal Knowledge|EU AI Act|Risk Management|Agile|Research|Communication</t>
  </si>
  <si>
    <t>AIJOB0982</t>
  </si>
  <si>
    <t>LLM Integration|Docker|Cloud (AWS/GCP/Azure)|Problem Solving|Linux|Cloud</t>
  </si>
  <si>
    <t>AIJOB0983</t>
  </si>
  <si>
    <t>PyTorch|Research|Python|Publishing|Deep Learning|Mathematics|Agile|Cloud</t>
  </si>
  <si>
    <t>AIJOB0984</t>
  </si>
  <si>
    <t>TensorFlow|SQL|MLOps|PyTorch|Research</t>
  </si>
  <si>
    <t>AIJOB0985</t>
  </si>
  <si>
    <t>Text Processing|LLMs|BERT|Transformers|Python|Hugging Face|SQL|Git|Problem Solving</t>
  </si>
  <si>
    <t>AIJOB0986</t>
  </si>
  <si>
    <t>CUDA|Kubernetes|Networking|Storage|Distributed Systems|Leadership|Problem Solving|Agile</t>
  </si>
  <si>
    <t>AIJOB0987</t>
  </si>
  <si>
    <t>Mathematics|Python|Publishing|Deep Learning|Git</t>
  </si>
  <si>
    <t>AIJOB0988</t>
  </si>
  <si>
    <t>MLOps|Python|System Design|Leadership|Agile|Problem Solving</t>
  </si>
  <si>
    <t>AIJOB0989</t>
  </si>
  <si>
    <t>Cybersecurity|ML Security|Python|Red Teaming|Risk Analysis|Git|Problem Solving|Communication</t>
  </si>
  <si>
    <t>AIJOB0990</t>
  </si>
  <si>
    <t>Cloud (AWS/GCP/Azure)|Docker|Python|Cloud|Problem Solving|Communication</t>
  </si>
  <si>
    <t>AIJOB0991</t>
  </si>
  <si>
    <t>EU AI Act|Auditing|Documentation|Problem Solving</t>
  </si>
  <si>
    <t>AIJOB0992</t>
  </si>
  <si>
    <t>Leadership|Deep Learning|Causal Inference|Git|Leadership|Problem Solving</t>
  </si>
  <si>
    <t>AIJOB0993</t>
  </si>
  <si>
    <t>MLOps|Python|PyTorch|System Design|Leadership|Cloud</t>
  </si>
  <si>
    <t>AIJOB0994</t>
  </si>
  <si>
    <t>Simulation|Python|ROS|C++|Control Systems|Computer Vision|Communication|Research</t>
  </si>
  <si>
    <t>AIJOB0995</t>
  </si>
  <si>
    <t>Vision-Language Models|APIs|Python|PyTorch|Problem Solving|Cloud|Leadership</t>
  </si>
  <si>
    <t>AIJOB0996</t>
  </si>
  <si>
    <t>CUDA|OpenCV|PyTorch|CNNs|Image Processing|Agile|SQL</t>
  </si>
  <si>
    <t>AIJOB0997</t>
  </si>
  <si>
    <t>Python|Cloud (AWS/GCP/Azure)|PyTorch|LLM Integration|Docker|Git|Leadership</t>
  </si>
  <si>
    <t>AIJOB0998</t>
  </si>
  <si>
    <t>LLM APIs|Testing|Python|NLP|Research|Agile|Statistics</t>
  </si>
  <si>
    <t>AIJOB0999</t>
  </si>
  <si>
    <t>Deep Learning|Leadership|Python|ML|Advanced Statistics|Causal Inference|SQL|Communication|Agile</t>
  </si>
  <si>
    <t>AIJOB1000</t>
  </si>
  <si>
    <t>Python|System Design|ML|Leadership|Enterprise Architecture|Cloud|SQL|Git|Statistics</t>
  </si>
  <si>
    <t>AIJOB1001</t>
  </si>
  <si>
    <t>Advanced Statistics|Python|Deep Learning|Causal Inference|Statistics|Research|Leadership</t>
  </si>
  <si>
    <t>AIJOB1002</t>
  </si>
  <si>
    <t>Communication|SQL|Data Visualization|Research|Agile|Git</t>
  </si>
  <si>
    <t>AIJOB1003</t>
  </si>
  <si>
    <t>GenAI APIs|Deployment|LLMs|Diffusion Models|Python|Fine-tuning|Linux|Problem Solving</t>
  </si>
  <si>
    <t>AIJOB1004</t>
  </si>
  <si>
    <t>Python|Scikit-learn|Statistics|ML Algorithms|Data Visualization|SQL|Leadership</t>
  </si>
  <si>
    <t>AIJOB1005</t>
  </si>
  <si>
    <t>Vector DBs|Embeddings|Python|Search Systems|LangChain|Research|Statistics</t>
  </si>
  <si>
    <t>AIJOB1006</t>
  </si>
  <si>
    <t>PyTorch|LLM Integration|Python|Git</t>
  </si>
  <si>
    <t>AIJOB1007</t>
  </si>
  <si>
    <t>Fine-tuning|Vector DBs|RAG|Python|LLM APIs|Problem Solving</t>
  </si>
  <si>
    <t>AIJOB1008</t>
  </si>
  <si>
    <t>Transformers|BERT|Text Processing|Python|Cloud|SQL|Linux</t>
  </si>
  <si>
    <t>AIJOB1009</t>
  </si>
  <si>
    <t>GenAI APIs|Diffusion Models|Python|LLMs|Fine-tuning|Deployment|Statistics|Problem Solving|Git</t>
  </si>
  <si>
    <t>AIJOB1010</t>
  </si>
  <si>
    <t>ROS|Computer Vision|Simulation|Control Systems|C++|Problem Solving</t>
  </si>
  <si>
    <t>AIJOB1011</t>
  </si>
  <si>
    <t>Python|Simulation|Computer Vision|Control Systems|ROS|C++|Leadership|Agile|Problem Solving</t>
  </si>
  <si>
    <t>AIJOB1012</t>
  </si>
  <si>
    <t>Python|SQL|Communication|Business Analysis|Data Visualization|Cloud</t>
  </si>
  <si>
    <t>AIJOB1013</t>
  </si>
  <si>
    <t>Prompt Engineering|RAG|Fine-tuning|LLM APIs|Python|Linux|Git|Communication</t>
  </si>
  <si>
    <t>AIJOB1014</t>
  </si>
  <si>
    <t>Research|Publishing|Python|Communication</t>
  </si>
  <si>
    <t>AIJOB1015</t>
  </si>
  <si>
    <t>Python|Fine-tuning|Vector DBs|SQL|Problem Solving</t>
  </si>
  <si>
    <t>AIJOB1016</t>
  </si>
  <si>
    <t>ML|Python|Causal Inference|Leadership|Git</t>
  </si>
  <si>
    <t>AIJOB1017</t>
  </si>
  <si>
    <t>Python|Data Visualization|SQL|Business Analysis|Communication|Git|Leadership</t>
  </si>
  <si>
    <t>AIJOB1018</t>
  </si>
  <si>
    <t>Advanced Statistics|Causal Inference|ML|Leadership|Python|Statistics|Cloud</t>
  </si>
  <si>
    <t>AIJOB1019</t>
  </si>
  <si>
    <t>Cloud|Leadership|System Design|Leadership|Linux|Problem Solving</t>
  </si>
  <si>
    <t>AIJOB1020</t>
  </si>
  <si>
    <t>Leadership|Causal Inference|Advanced Statistics|ML|Python|Communication|Cloud</t>
  </si>
  <si>
    <t>AIJOB1021</t>
  </si>
  <si>
    <t>Publishing|Deep Learning|Python|Linux|Statistics|Leadership</t>
  </si>
  <si>
    <t>AIJOB1022</t>
  </si>
  <si>
    <t>Python|Vector DBs|Search Systems|Linux|Research|Git</t>
  </si>
  <si>
    <t>AIJOB1023</t>
  </si>
  <si>
    <t>LLMs|Fine-tuning|Python|GenAI APIs|Deployment|Statistics|Communication</t>
  </si>
  <si>
    <t>AIJOB1024</t>
  </si>
  <si>
    <t>Tool Use|Python|Planning Systems|AutoGen|APIs|Communication|SQL</t>
  </si>
  <si>
    <t>AIJOB1025</t>
  </si>
  <si>
    <t>ML|Deep Learning|Advanced Statistics|Python|Leadership|Causal Inference|Linux|Research|Problem Solving</t>
  </si>
  <si>
    <t>AIJOB1026</t>
  </si>
  <si>
    <t>Distributed Systems|Storage|Networking|CUDA|Kubernetes|Cloud|Research|Git</t>
  </si>
  <si>
    <t>AIJOB1027</t>
  </si>
  <si>
    <t>Python|Risk Analysis|Cybersecurity|SQL|Agile</t>
  </si>
  <si>
    <t>AIJOB1028</t>
  </si>
  <si>
    <t>Product Strategy|Agile|Stakeholder Mgmt|Agile|Problem Solving|Git</t>
  </si>
  <si>
    <t>AIJOB1029</t>
  </si>
  <si>
    <t>Leadership|Deep Learning|Causal Inference|ML|Python|Git|Leadership|Agile</t>
  </si>
  <si>
    <t>AIJOB1030</t>
  </si>
  <si>
    <t>SQL|Spark|ETL|Python|dbt|Communication</t>
  </si>
  <si>
    <t>AIJOB1031</t>
  </si>
  <si>
    <t>Transformers|Python|Text Processing|Hugging Face|Research|Leadership|SQL</t>
  </si>
  <si>
    <t>AIJOB1032</t>
  </si>
  <si>
    <t>Python|ML Algorithms|Scikit-learn|Data Visualization|Statistics|SQL|Leadership|Agile|Git</t>
  </si>
  <si>
    <t>AIJOB1033</t>
  </si>
  <si>
    <t>LLM Integration|Python|PyTorch|Docker|Cloud (AWS/GCP/Azure)|Leadership|Research|SQL</t>
  </si>
  <si>
    <t>AIJOB1034</t>
  </si>
  <si>
    <t>Statistics|ML Algorithms|Scikit-learn|Data Visualization|Research|Git</t>
  </si>
  <si>
    <t>AIJOB1035</t>
  </si>
  <si>
    <t>Docker|Python|PyTorch|Cloud (AWS/GCP/Azure)|Agile|Problem Solving|Communication</t>
  </si>
  <si>
    <t>AIJOB1036</t>
  </si>
  <si>
    <t>MLOps|SQL|Python|PyTorch|TensorFlow|Statistics|Git|Cloud</t>
  </si>
  <si>
    <t>AIJOB1037</t>
  </si>
  <si>
    <t>ML|Python|Deep Learning|Advanced Statistics|Communication</t>
  </si>
  <si>
    <t>AIJOB1038</t>
  </si>
  <si>
    <t>MLflow|Python|Kubernetes|Monitoring|CI/CD|Git|Cloud</t>
  </si>
  <si>
    <t>AIJOB1039</t>
  </si>
  <si>
    <t>Airflow|Feature Stores|SQL|ETL|dbt|Python|Spark|Problem Solving|Statistics|Communication</t>
  </si>
  <si>
    <t>AIJOB1040</t>
  </si>
  <si>
    <t>Ethics Frameworks|Communication|AI Policy|Statistics|Problem Solving|Git</t>
  </si>
  <si>
    <t>AIJOB1041</t>
  </si>
  <si>
    <t>Transformers|LLMs|Python|BERT|Text Processing|Communication</t>
  </si>
  <si>
    <t>AIJOB1042</t>
  </si>
  <si>
    <t>Legal Knowledge|EU AI Act|Auditing|Communication|SQL</t>
  </si>
  <si>
    <t>AIJOB1043</t>
  </si>
  <si>
    <t>Risk Management|EU AI Act|Legal Knowledge|Auditing|Git|Agile</t>
  </si>
  <si>
    <t>AIJOB1044</t>
  </si>
  <si>
    <t>Data Analysis|Stakeholder Mgmt|Product Strategy|AI Literacy|Agile|Agile|Linux</t>
  </si>
  <si>
    <t>AIJOB1045</t>
  </si>
  <si>
    <t>GPU Computing|PyTorch|CUDA|TensorFlow|Neural Networks|Leadership|Research|SQL</t>
  </si>
  <si>
    <t>AIJOB1046</t>
  </si>
  <si>
    <t>Business Analysis|SQL|Python|Leadership</t>
  </si>
  <si>
    <t>AIJOB1047</t>
  </si>
  <si>
    <t>Embeddings|LangChain|Python|LLMs|Vector DBs|Problem Solving|Research|Leadership</t>
  </si>
  <si>
    <t>AIJOB1048</t>
  </si>
  <si>
    <t>LLMs|Transformers|Hugging Face|Python|Linux|Problem Solving|Leadership</t>
  </si>
  <si>
    <t>AIJOB1049</t>
  </si>
  <si>
    <t>LLM APIs|Testing|Python|Prompt Design|Documentation|Leadership|Cloud</t>
  </si>
  <si>
    <t>AIJOB1050</t>
  </si>
  <si>
    <t>PyTorch|Python|Docker|LLM Integration|Cloud (AWS/GCP/Azure)|Cloud|Agile|Research</t>
  </si>
  <si>
    <t>AIJOB1051</t>
  </si>
  <si>
    <t>CUDA|Python|GPU Computing|PyTorch|Neural Networks|Linux</t>
  </si>
  <si>
    <t>AIJOB1052</t>
  </si>
  <si>
    <t>Leadership|Cloud|System Design|Cloud|Statistics|Agile</t>
  </si>
  <si>
    <t>AIJOB1053</t>
  </si>
  <si>
    <t>Kubernetes|Storage|Cloud|Distributed Systems|CUDA|Networking|Statistics</t>
  </si>
  <si>
    <t>AIJOB1054</t>
  </si>
  <si>
    <t>Storage|CUDA|Networking|Cloud|Research|Agile|Statistics</t>
  </si>
  <si>
    <t>AIJOB1055</t>
  </si>
  <si>
    <t>Deployment|Python|GenAI APIs|SQL|Linux|Leadership</t>
  </si>
  <si>
    <t>AIJOB1056</t>
  </si>
  <si>
    <t>OpenCV|CUDA|Image Processing|Python|PyTorch|Communication</t>
  </si>
  <si>
    <t>AIJOB1057</t>
  </si>
  <si>
    <t>Statistics|Scikit-learn|SQL|Communication|Problem Solving|Leadership</t>
  </si>
  <si>
    <t>AIJOB1058</t>
  </si>
  <si>
    <t>LLM Integration|Python|PyTorch|Docker|Cloud (AWS/GCP/Azure)|Linux</t>
  </si>
  <si>
    <t>AIJOB1059</t>
  </si>
  <si>
    <t>Vector DBs|Python|Embeddings|LangChain|LLMs|Search Systems|Linux|Git</t>
  </si>
  <si>
    <t>AIJOB1060</t>
  </si>
  <si>
    <t>AI Literacy|Product Strategy|Data Analysis|Stakeholder Mgmt|Agile|Cloud|Linux|Problem Solving</t>
  </si>
  <si>
    <t>AIJOB1061</t>
  </si>
  <si>
    <t>Python|ML Algorithms|Statistics|SQL|Leadership|Agile|Statistics</t>
  </si>
  <si>
    <t>AIJOB1062</t>
  </si>
  <si>
    <t>Python|dbt|ETL|SQL|SQL</t>
  </si>
  <si>
    <t>AIJOB1063</t>
  </si>
  <si>
    <t>Leadership|Causal Inference|Python|Deep Learning|ML|SQL|Agile|Research</t>
  </si>
  <si>
    <t>AIJOB1064</t>
  </si>
  <si>
    <t>Documentation|Legal Knowledge|Auditing|Agile|Cloud|Problem Solving</t>
  </si>
  <si>
    <t>AIJOB1065</t>
  </si>
  <si>
    <t>Neural Networks|PyTorch|Python|TensorFlow|Agile|Cloud|Research</t>
  </si>
  <si>
    <t>AIJOB1066</t>
  </si>
  <si>
    <t>Stakeholder Mgmt|Product Strategy|Agile|Linux|Statistics|Cloud</t>
  </si>
  <si>
    <t>AIJOB1067</t>
  </si>
  <si>
    <t>Research|Mathematics|PyTorch|SQL|Problem Solving|Cloud</t>
  </si>
  <si>
    <t>AIJOB1068</t>
  </si>
  <si>
    <t>SQL|Python|Kubernetes|TensorFlow|MLOps|Git|SQL|Problem Solving</t>
  </si>
  <si>
    <t>AIJOB1069</t>
  </si>
  <si>
    <t>System Design|Leadership|Cloud|Python|ML|Enterprise Architecture|Cloud|Agile</t>
  </si>
  <si>
    <t>AIJOB1070</t>
  </si>
  <si>
    <t>Python|Deep Learning|Causal Inference|Research</t>
  </si>
  <si>
    <t>AIJOB1071</t>
  </si>
  <si>
    <t>PyTorch|Fine-tuning|APIs|Python|Vision-Language Models|Linux|Communication</t>
  </si>
  <si>
    <t>AIJOB1072</t>
  </si>
  <si>
    <t>System Design|Python|Cloud|Leadership|ML|Enterprise Architecture|SQL|Agile|Cloud</t>
  </si>
  <si>
    <t>AIJOB1073</t>
  </si>
  <si>
    <t>Risk Assessment|Ethics Frameworks|Communication|Research</t>
  </si>
  <si>
    <t>AIJOB1074</t>
  </si>
  <si>
    <t>Documentation|Auditing|Legal Knowledge|Communication|Cloud</t>
  </si>
  <si>
    <t>AIJOB1075</t>
  </si>
  <si>
    <t>Deployment|Fine-tuning|Diffusion Models|LLMs|GenAI APIs|Git</t>
  </si>
  <si>
    <t>AIJOB1076</t>
  </si>
  <si>
    <t>Data Visualization|Communication|Business Analysis|SQL|Communication|Research</t>
  </si>
  <si>
    <t>AIJOB1077</t>
  </si>
  <si>
    <t>PyTorch|MLOps|Distributed Systems|LLM Fine-tuning|Python|System Design|Agile|Git|Statistics</t>
  </si>
  <si>
    <t>AIJOB1078</t>
  </si>
  <si>
    <t>Publishing|Mathematics|Deep Learning|Python|PyTorch|Research|Cloud|Problem Solving</t>
  </si>
  <si>
    <t>AIJOB1079</t>
  </si>
  <si>
    <t>ML Security|Cybersecurity|Risk Analysis|Python|Red Teaming|Linux|Problem Solving|Leadership</t>
  </si>
  <si>
    <t>AIJOB1080</t>
  </si>
  <si>
    <t>Docker|Python|LLM Integration|Cloud (AWS/GCP/Azure)|Problem Solving</t>
  </si>
  <si>
    <t>AIJOB1081</t>
  </si>
  <si>
    <t>Documentation|Risk Management|EU AI Act|Research</t>
  </si>
  <si>
    <t>AIJOB1082</t>
  </si>
  <si>
    <t>Python|APIs|Fine-tuning|SQL|Research|Communication</t>
  </si>
  <si>
    <t>AIJOB1083</t>
  </si>
  <si>
    <t>Python|Computer Vision|ROS|Simulation|SQL|Leadership|Cloud</t>
  </si>
  <si>
    <t>AIJOB1084</t>
  </si>
  <si>
    <t>Communication|SQL|Data Visualization|Python|Business Analysis|Problem Solving|Cloud|Research</t>
  </si>
  <si>
    <t>AIJOB1085</t>
  </si>
  <si>
    <t>Cloud (AWS/GCP/Azure)|LLM Integration|Python|Docker|PyTorch|Leadership|Git</t>
  </si>
  <si>
    <t>AIJOB1086</t>
  </si>
  <si>
    <t>Python|APIs|PyTorch|Problem Solving|Linux</t>
  </si>
  <si>
    <t>AIJOB1087</t>
  </si>
  <si>
    <t>Python|Kubernetes|SQL|TensorFlow|Git|Research|Linux</t>
  </si>
  <si>
    <t>AIJOB1088</t>
  </si>
  <si>
    <t>Monitoring|MLflow|Docker|Kubernetes|Cloud|CI/CD|Python|Git</t>
  </si>
  <si>
    <t>AIJOB1089</t>
  </si>
  <si>
    <t>Data Visualization|Statistics|Python|Problem Solving</t>
  </si>
  <si>
    <t>AIJOB1090</t>
  </si>
  <si>
    <t>CUDA|PyTorch|Image Processing|CNNs|Research|SQL|Git</t>
  </si>
  <si>
    <t>AIJOB1091</t>
  </si>
  <si>
    <t>Vision-Language Models|APIs|Fine-tuning|SQL</t>
  </si>
  <si>
    <t>AIJOB1092</t>
  </si>
  <si>
    <t>LLMs|BERT|Transformers|Hugging Face|SQL|Statistics</t>
  </si>
  <si>
    <t>AIJOB1093</t>
  </si>
  <si>
    <t>dbt|Spark|Python|SQL|Airflow|Feature Stores|ETL|Leadership</t>
  </si>
  <si>
    <t>AIJOB1094</t>
  </si>
  <si>
    <t>Python|Testing|Prompt Design|NLP|LLM APIs|Documentation|Research|Linux|Leadership</t>
  </si>
  <si>
    <t>AIJOB1095</t>
  </si>
  <si>
    <t>Communication|Data Visualization|SQL|Business Analysis|Cloud|Linux</t>
  </si>
  <si>
    <t>AIJOB1096</t>
  </si>
  <si>
    <t>Diffusion Models|Python|Fine-tuning|LLMs|Deployment|Leadership|Linux</t>
  </si>
  <si>
    <t>AIJOB1097</t>
  </si>
  <si>
    <t>Python|CUDA|GPU Computing|Neural Networks|PyTorch|TensorFlow|Research</t>
  </si>
  <si>
    <t>AIJOB1098</t>
  </si>
  <si>
    <t>Python|LangChain|Tool Use|Linux|Leadership</t>
  </si>
  <si>
    <t>AIJOB1099</t>
  </si>
  <si>
    <t>Python|MLflow|Kubernetes|Monitoring|Communication|SQL</t>
  </si>
  <si>
    <t>AIJOB1100</t>
  </si>
  <si>
    <t>Computer Vision|Control Systems|Python|ROS|C++|Statistics|Communication</t>
  </si>
  <si>
    <t>AIJOB1101</t>
  </si>
  <si>
    <t>Agile|Stakeholder Mgmt|Product Strategy|Data Analysis|Communication|Git</t>
  </si>
  <si>
    <t>AIJOB1102</t>
  </si>
  <si>
    <t>Risk Assessment|Communication|AI Policy|Linux|SQL|Problem Solving</t>
  </si>
  <si>
    <t>AIJOB1103</t>
  </si>
  <si>
    <t>ML Security|Python|Risk Analysis|Red Teaming|Cybersecurity|Leadership|SQL</t>
  </si>
  <si>
    <t>AIJOB1104</t>
  </si>
  <si>
    <t>Product Strategy|Agile|Stakeholder Mgmt|Data Analysis|AI Literacy|Research</t>
  </si>
  <si>
    <t>AIJOB1105</t>
  </si>
  <si>
    <t>Prompt Engineering|Python|Fine-tuning|LLM APIs|Vector DBs|Git|Statistics|Research</t>
  </si>
  <si>
    <t>AIJOB1106</t>
  </si>
  <si>
    <t>Python|Fine-tuning|Prompt Engineering|LLM APIs|Leadership</t>
  </si>
  <si>
    <t>AIJOB1107</t>
  </si>
  <si>
    <t>Publishing|Python|PyTorch|Research|Leadership|Problem Solving</t>
  </si>
  <si>
    <t>AIJOB1108</t>
  </si>
  <si>
    <t>Computer Vision|C++|Simulation|Problem Solving|Communication|Leadership</t>
  </si>
  <si>
    <t>AIJOB1109</t>
  </si>
  <si>
    <t>MLflow|CI/CD|Python|Kubernetes|Cloud|Docker|Monitoring|Agile|Communication|Git</t>
  </si>
  <si>
    <t>AIJOB1110</t>
  </si>
  <si>
    <t>Python|Simulation|ROS|Computer Vision|Control Systems|C++|Research|Linux</t>
  </si>
  <si>
    <t>AIJOB1111</t>
  </si>
  <si>
    <t>Feature Stores|Spark|Python|Airflow|Agile</t>
  </si>
  <si>
    <t>AIJOB1112</t>
  </si>
  <si>
    <t>Research|Communication|AI Policy|Risk Assessment|Ethics Frameworks|Linux</t>
  </si>
  <si>
    <t>AIJOB1113</t>
  </si>
  <si>
    <t>Python|Cloud|System Design|Cloud|Communication</t>
  </si>
  <si>
    <t>AIJOB1114</t>
  </si>
  <si>
    <t>LangChain|Planning Systems|Python|Git|Linux|SQL</t>
  </si>
  <si>
    <t>AIJOB1115</t>
  </si>
  <si>
    <t>Kubernetes|Cloud|Networking|Distributed Systems|Storage|Problem Solving</t>
  </si>
  <si>
    <t>AIJOB1116</t>
  </si>
  <si>
    <t>Docker|Monitoring|MLflow|Cloud|CI/CD|Statistics|Communication</t>
  </si>
  <si>
    <t>AIJOB1117</t>
  </si>
  <si>
    <t>ETL|SQL|Airflow|dbt|Python|Problem Solving</t>
  </si>
  <si>
    <t>AIJOB1118</t>
  </si>
  <si>
    <t>PyTorch|Python|LLM Integration|Docker|Cloud (AWS/GCP/Azure)|Linux|Cloud</t>
  </si>
  <si>
    <t>AIJOB1119</t>
  </si>
  <si>
    <t>MLOps|Python|System Design|PyTorch|LLM Fine-tuning|Distributed Systems|Research|SQL|Statistics</t>
  </si>
  <si>
    <t>AIJOB1120</t>
  </si>
  <si>
    <t>Image Processing|Python|PyTorch|CNNs|OpenCV|CUDA|Git|Leadership|Cloud</t>
  </si>
  <si>
    <t>AIJOB1121</t>
  </si>
  <si>
    <t>Fine-tuning|Prompt Engineering|RAG|LLM APIs|Python|Vector DBs|Research|SQL|Linux</t>
  </si>
  <si>
    <t>AIJOB1122</t>
  </si>
  <si>
    <t>LLMs|Transformers|Hugging Face|Python|BERT|Text Processing|Linux</t>
  </si>
  <si>
    <t>AIJOB1123</t>
  </si>
  <si>
    <t>AI Literacy|Stakeholder Mgmt|Product Strategy|Data Analysis|Agile|Problem Solving</t>
  </si>
  <si>
    <t>AIJOB1124</t>
  </si>
  <si>
    <t>APIs|Vision-Language Models|Python|Leadership</t>
  </si>
  <si>
    <t>AIJOB1125</t>
  </si>
  <si>
    <t>Causal Inference|Leadership|Advanced Statistics|ML|Python|Statistics|Cloud</t>
  </si>
  <si>
    <t>AIJOB1126</t>
  </si>
  <si>
    <t>Networking|Kubernetes|Storage|Distributed Systems|CUDA|Cloud|Communication|Problem Solving</t>
  </si>
  <si>
    <t>AIJOB1127</t>
  </si>
  <si>
    <t>GenAI APIs|Diffusion Models|Python|Problem Solving|Statistics</t>
  </si>
  <si>
    <t>AIJOB1128</t>
  </si>
  <si>
    <t>APIs|Tool Use|Planning Systems|Leadership|Linux</t>
  </si>
  <si>
    <t>AIJOB1129</t>
  </si>
  <si>
    <t>PyTorch|Cloud (AWS/GCP/Azure)|LLM Integration|Python|Problem Solving|Research</t>
  </si>
  <si>
    <t>AIJOB1130</t>
  </si>
  <si>
    <t>Cloud|Storage|CUDA|Kubernetes|Networking|Distributed Systems|Communication|Linux|Cloud</t>
  </si>
  <si>
    <t>AIJOB1131</t>
  </si>
  <si>
    <t>ML Algorithms|Python|SQL|Agile|Leadership|Statistics</t>
  </si>
  <si>
    <t>AIJOB1132</t>
  </si>
  <si>
    <t>Deep Learning|Publishing|Mathematics|Python|Research|Communication</t>
  </si>
  <si>
    <t>AIJOB1133</t>
  </si>
  <si>
    <t>LLM Fine-tuning|System Design|MLOps|PyTorch|Distributed Systems|Problem Solving|Leadership|Agile</t>
  </si>
  <si>
    <t>AIJOB1134</t>
  </si>
  <si>
    <t>Risk Management|Legal Knowledge|EU AI Act|Leadership</t>
  </si>
  <si>
    <t>AIJOB1135</t>
  </si>
  <si>
    <t>Agile|Data Analysis|AI Literacy|Stakeholder Mgmt|Research|Statistics</t>
  </si>
  <si>
    <t>AIJOB1136</t>
  </si>
  <si>
    <t>Cybersecurity|Python|Risk Analysis|ML Security|Red Teaming|Agile|Statistics</t>
  </si>
  <si>
    <t>AIJOB1137</t>
  </si>
  <si>
    <t>Search Systems|Embeddings|LangChain|Python|Communication|Statistics|Research</t>
  </si>
  <si>
    <t>AIJOB1138</t>
  </si>
  <si>
    <t>Python|Monitoring|Docker|Cloud|Problem Solving|Leadership|Communication</t>
  </si>
  <si>
    <t>AIJOB1139</t>
  </si>
  <si>
    <t>PyTorch|LLM Integration|Docker|Cloud (AWS/GCP/Azure)|Python|Agile|Git|Communication</t>
  </si>
  <si>
    <t>AIJOB1140</t>
  </si>
  <si>
    <t>SQL|Airflow|Spark|ETL|Feature Stores|Python|dbt|Leadership|SQL|Linux</t>
  </si>
  <si>
    <t>AIJOB1141</t>
  </si>
  <si>
    <t>Transformers|BERT|Text Processing|Python|Hugging Face|LLMs|Research|Problem Solving|Leadership</t>
  </si>
  <si>
    <t>AIJOB1142</t>
  </si>
  <si>
    <t>LLM Fine-tuning|Distributed Systems|PyTorch|Statistics|Leadership|Cloud</t>
  </si>
  <si>
    <t>AIJOB1143</t>
  </si>
  <si>
    <t>Deep Learning|Publishing|Mathematics|PyTorch|Communication|Git|Research</t>
  </si>
  <si>
    <t>AIJOB1144</t>
  </si>
  <si>
    <t>APIs|Vision-Language Models|Fine-tuning|Cloud</t>
  </si>
  <si>
    <t>AIJOB1145</t>
  </si>
  <si>
    <t>ML|Deep Learning|Python|Linux</t>
  </si>
  <si>
    <t>AIJOB1146</t>
  </si>
  <si>
    <t>Agile|Data Analysis|Stakeholder Mgmt|AI Literacy|Agile|Git|Research</t>
  </si>
  <si>
    <t>AIJOB1147</t>
  </si>
  <si>
    <t>Control Systems|ROS|C++|Python|Simulation|Problem Solving|Agile|Statistics</t>
  </si>
  <si>
    <t>AIJOB1148</t>
  </si>
  <si>
    <t>Cybersecurity|Red Teaming|ML Security|Linux</t>
  </si>
  <si>
    <t>AIJOB1149</t>
  </si>
  <si>
    <t>Docker|PyTorch|Cloud (AWS/GCP/Azure)|Python|LLM Integration|Research</t>
  </si>
  <si>
    <t>AIJOB1150</t>
  </si>
  <si>
    <t>MLOps|Kubernetes|PyTorch|Python|Leadership|Cloud</t>
  </si>
  <si>
    <t>AIJOB1151</t>
  </si>
  <si>
    <t>Ethics Frameworks|Research|Communication|SQL|Research</t>
  </si>
  <si>
    <t>AIJOB1152</t>
  </si>
  <si>
    <t>Scikit-learn|Python|SQL|Data Visualization|ML Algorithms|Research|Communication|Agile</t>
  </si>
  <si>
    <t>AIJOB1153</t>
  </si>
  <si>
    <t>PyTorch|System Design|Python|MLOps|Leadership|Research</t>
  </si>
  <si>
    <t>AIJOB1154</t>
  </si>
  <si>
    <t>PyTorch|TensorFlow|Kubernetes|SQL|Leadership|Agile</t>
  </si>
  <si>
    <t>AIJOB1155</t>
  </si>
  <si>
    <t>Auditing|Documentation|Risk Management|Research</t>
  </si>
  <si>
    <t>AIJOB1156</t>
  </si>
  <si>
    <t>Publishing|Python|PyTorch|Research|Statistics</t>
  </si>
  <si>
    <t>AIJOB1157</t>
  </si>
  <si>
    <t>Mathematics|PyTorch|Deep Learning|Publishing|Python|Communication|Agile</t>
  </si>
  <si>
    <t>AIJOB1158</t>
  </si>
  <si>
    <t>Deployment|LLMs|Python|GenAI APIs|Diffusion Models|SQL|Statistics</t>
  </si>
  <si>
    <t>AIJOB1159</t>
  </si>
  <si>
    <t>Distributed Systems|Python|System Design|MLOps|LLM Fine-tuning|PyTorch|Agile|SQL</t>
  </si>
  <si>
    <t>AIJOB1160</t>
  </si>
  <si>
    <t>APIs|Python|Tool Use|AutoGen|Planning Systems|Leadership</t>
  </si>
  <si>
    <t>AIJOB1161</t>
  </si>
  <si>
    <t>LLM APIs|Prompt Design|Documentation|Testing|Python|Communication|Agile|SQL</t>
  </si>
  <si>
    <t>AIJOB1162</t>
  </si>
  <si>
    <t>AI Policy|Ethics Frameworks|Research|Risk Assessment|Communication|Git|Agile</t>
  </si>
  <si>
    <t>AIJOB1163</t>
  </si>
  <si>
    <t>Python|Prompt Engineering|RAG|Research</t>
  </si>
  <si>
    <t>AIJOB1164</t>
  </si>
  <si>
    <t>RAG|Vector DBs|Prompt Engineering|LLM APIs|Agile</t>
  </si>
  <si>
    <t>AIJOB1165</t>
  </si>
  <si>
    <t>Cloud (AWS/GCP/Azure)|Docker|PyTorch|LLM Integration|Linux|Problem Solving</t>
  </si>
  <si>
    <t>AIJOB1166</t>
  </si>
  <si>
    <t>Distributed Systems|MLOps|System Design|LLM Fine-tuning|Python|Statistics</t>
  </si>
  <si>
    <t>AIJOB1167</t>
  </si>
  <si>
    <t>PyTorch|Neural Networks|GPU Computing|TensorFlow|CUDA|Git|Leadership</t>
  </si>
  <si>
    <t>AIJOB1168</t>
  </si>
  <si>
    <t>ROS|Simulation|C++|Control Systems|Python|Leadership|Cloud</t>
  </si>
  <si>
    <t>AIJOB1169</t>
  </si>
  <si>
    <t>SQL|Scikit-learn|Python|Statistics|Leadership|SQL|Linux</t>
  </si>
  <si>
    <t>AIJOB1170</t>
  </si>
  <si>
    <t>PyTorch|Mathematics|Deep Learning|Statistics|SQL</t>
  </si>
  <si>
    <t>AIJOB1171</t>
  </si>
  <si>
    <t>Cloud (AWS/GCP/Azure)|LLM Integration|Python|Docker|Cloud|Communication</t>
  </si>
  <si>
    <t>AIJOB1172</t>
  </si>
  <si>
    <t>Agile|AI Literacy|Stakeholder Mgmt|Product Strategy|Problem Solving</t>
  </si>
  <si>
    <t>AIJOB1173</t>
  </si>
  <si>
    <t>Statistics|ML Algorithms|Data Visualization|Problem Solving|Agile|Statistics</t>
  </si>
  <si>
    <t>AIJOB1174</t>
  </si>
  <si>
    <t>Embeddings|Vector DBs|LLMs|Python|LangChain|Search Systems|Cloud</t>
  </si>
  <si>
    <t>AIJOB1175</t>
  </si>
  <si>
    <t>Simulation|Python|Computer Vision|Control Systems|C++|Problem Solving|Git</t>
  </si>
  <si>
    <t>AIJOB1176</t>
  </si>
  <si>
    <t>Python|ML Security|Cybersecurity|Red Teaming|Statistics|Linux|Agile</t>
  </si>
  <si>
    <t>AIJOB1177</t>
  </si>
  <si>
    <t>Transformers|BERT|Text Processing|Hugging Face|Research|Linux</t>
  </si>
  <si>
    <t>AIJOB1178</t>
  </si>
  <si>
    <t>GPU Computing|TensorFlow|Neural Networks|Python|CUDA|PyTorch|Cloud</t>
  </si>
  <si>
    <t>AIJOB1179</t>
  </si>
  <si>
    <t>Python|Fine-tuning|Vision-Language Models|APIs|PyTorch|SQL</t>
  </si>
  <si>
    <t>AIJOB1180</t>
  </si>
  <si>
    <t>EU AI Act|Risk Management|Legal Knowledge|Documentation|Auditing|Linux</t>
  </si>
  <si>
    <t>AIJOB1181</t>
  </si>
  <si>
    <t>RAG|Fine-tuning|Prompt Engineering|LLM APIs|Communication</t>
  </si>
  <si>
    <t>AIJOB1182</t>
  </si>
  <si>
    <t>Python|LLM Integration|Cloud (AWS/GCP/Azure)|PyTorch|Docker|Agile|Research|Git</t>
  </si>
  <si>
    <t>AIJOB1183</t>
  </si>
  <si>
    <t>AI Literacy|Stakeholder Mgmt|Agile|Git</t>
  </si>
  <si>
    <t>AIJOB1184</t>
  </si>
  <si>
    <t>CUDA|PyTorch|TensorFlow|Neural Networks|Python|GPU Computing|Problem Solving</t>
  </si>
  <si>
    <t>AIJOB1185</t>
  </si>
  <si>
    <t>Embeddings|Python|LLMs|Problem Solving|Git|SQL</t>
  </si>
  <si>
    <t>AIJOB1186</t>
  </si>
  <si>
    <t>Control Systems|Simulation|ROS|Agile</t>
  </si>
  <si>
    <t>AIJOB1187</t>
  </si>
  <si>
    <t>CI/CD|Python|Cloud|Git|Research|Problem Solving</t>
  </si>
  <si>
    <t>AIJOB1188</t>
  </si>
  <si>
    <t>Python|PyTorch|System Design|LLM Fine-tuning|Distributed Systems|Leadership</t>
  </si>
  <si>
    <t>AIJOB1189</t>
  </si>
  <si>
    <t>CI/CD|Cloud|MLflow|Docker|Cloud|Agile</t>
  </si>
  <si>
    <t>AIJOB1190</t>
  </si>
  <si>
    <t>Risk Assessment|Research|AI Policy|Agile|SQL</t>
  </si>
  <si>
    <t>AIJOB1191</t>
  </si>
  <si>
    <t>LLM APIs|Python|Documentation|Testing|NLP|Agile|Git|SQL</t>
  </si>
  <si>
    <t>AIJOB1192</t>
  </si>
  <si>
    <t>Computer Vision|Control Systems|C++|Simulation|ROS|Python|Statistics</t>
  </si>
  <si>
    <t>AIJOB1193</t>
  </si>
  <si>
    <t>RAG|Python|Vector DBs|Prompt Engineering|Cloud|Linux</t>
  </si>
  <si>
    <t>AIJOB1194</t>
  </si>
  <si>
    <t>Kubernetes|MLOps|PyTorch|SQL|Python|TensorFlow|SQL</t>
  </si>
  <si>
    <t>AIJOB1195</t>
  </si>
  <si>
    <t>Risk Management|Auditing|Documentation|EU AI Act|Statistics</t>
  </si>
  <si>
    <t>AIJOB1196</t>
  </si>
  <si>
    <t>Cloud (AWS/GCP/Azure)|Docker|Python|Agile</t>
  </si>
  <si>
    <t>AIJOB1197</t>
  </si>
  <si>
    <t>Statistics|SQL|Scikit-learn|Python|Data Visualization|Leadership|Linux|SQL</t>
  </si>
  <si>
    <t>AIJOB1198</t>
  </si>
  <si>
    <t>Python|LangChain|LLMs|Problem Solving</t>
  </si>
  <si>
    <t>AIJOB1199</t>
  </si>
  <si>
    <t>Documentation|Risk Management|Auditing|EU AI Act|Git</t>
  </si>
  <si>
    <t>AIJOB1200</t>
  </si>
  <si>
    <t>Risk Assessment|AI Policy|Communication|Research|Ethics Frameworks|Cloud</t>
  </si>
  <si>
    <t>AIJOB1201</t>
  </si>
  <si>
    <t>dbt|Feature Stores|Python|Airflow|Cloud|SQL|Agile</t>
  </si>
  <si>
    <t>AIJOB1202</t>
  </si>
  <si>
    <t>TensorFlow|MLOps|Python|Kubernetes|PyTorch|Linux|Research</t>
  </si>
  <si>
    <t>AIJOB1203</t>
  </si>
  <si>
    <t>SQL|MLOps|PyTorch|TensorFlow|Kubernetes|Python|Agile|Research</t>
  </si>
  <si>
    <t>AIJOB1204</t>
  </si>
  <si>
    <t>Python|Research|Publishing|Linux|Agile</t>
  </si>
  <si>
    <t>AIJOB1205</t>
  </si>
  <si>
    <t>Agile|Data Analysis|Product Strategy|Agile</t>
  </si>
  <si>
    <t>AIJOB1206</t>
  </si>
  <si>
    <t>Stakeholder Mgmt|AI Literacy|Data Analysis|Communication|SQL</t>
  </si>
  <si>
    <t>AIJOB1207</t>
  </si>
  <si>
    <t>Search Systems|Vector DBs|LangChain|Python|Git|Cloud</t>
  </si>
  <si>
    <t>AIJOB1208</t>
  </si>
  <si>
    <t>RAG|LLM APIs|Prompt Engineering|SQL|Communication</t>
  </si>
  <si>
    <t>AIJOB1209</t>
  </si>
  <si>
    <t>Python|LLM Integration|Cloud (AWS/GCP/Azure)|Communication</t>
  </si>
  <si>
    <t>AIJOB1210</t>
  </si>
  <si>
    <t>Cloud (AWS/GCP/Azure)|PyTorch|Docker|Agile|Research|Git</t>
  </si>
  <si>
    <t>AIJOB1211</t>
  </si>
  <si>
    <t>Leadership|Advanced Statistics|Python|Deep Learning|Research|Problem Solving|Git</t>
  </si>
  <si>
    <t>AIJOB1212</t>
  </si>
  <si>
    <t>Python|Scikit-learn|Data Visualization|Cloud|Problem Solving</t>
  </si>
  <si>
    <t>AIJOB1213</t>
  </si>
  <si>
    <t>Python|Docker|PyTorch|Cloud (AWS/GCP/Azure)|Git</t>
  </si>
  <si>
    <t>AIJOB1214</t>
  </si>
  <si>
    <t>Communication|AI Policy|Ethics Frameworks|Risk Assessment|Research|Linux</t>
  </si>
  <si>
    <t>AIJOB1215</t>
  </si>
  <si>
    <t>Python|PyTorch|MLOps|Communication|Leadership</t>
  </si>
  <si>
    <t>AIJOB1216</t>
  </si>
  <si>
    <t>Testing|Python|Prompt Design|LLM APIs|NLP|Documentation|Statistics|Git</t>
  </si>
  <si>
    <t>AIJOB1217</t>
  </si>
  <si>
    <t>PyTorch|LLM Integration|Docker|Python|Research</t>
  </si>
  <si>
    <t>AIJOB1218</t>
  </si>
  <si>
    <t>dbt|Airflow|ETL|SQL|Feature Stores|Linux|Problem Solving</t>
  </si>
  <si>
    <t>AIJOB1219</t>
  </si>
  <si>
    <t>AutoGen|Tool Use|APIs|Python|Planning Systems|LangChain|Linux|Research</t>
  </si>
  <si>
    <t>AIJOB1220</t>
  </si>
  <si>
    <t>Leadership|System Design|ML|Cloud|Statistics|SQL|Linux</t>
  </si>
  <si>
    <t>AIJOB1221</t>
  </si>
  <si>
    <t>PyTorch|Python|Fine-tuning|SQL|Research</t>
  </si>
  <si>
    <t>AIJOB1222</t>
  </si>
  <si>
    <t>Python|ML|Deep Learning|Advanced Statistics|Causal Inference|Cloud</t>
  </si>
  <si>
    <t>AIJOB1223</t>
  </si>
  <si>
    <t>Prompt Design|Testing|Python|Agile|Linux|Cloud</t>
  </si>
  <si>
    <t>AIJOB1224</t>
  </si>
  <si>
    <t>Fine-tuning|APIs|Vision-Language Models|Python|PyTorch|SQL|Statistics</t>
  </si>
  <si>
    <t>AIJOB1225</t>
  </si>
  <si>
    <t>Python|LLM Integration|Docker|Problem Solving|Statistics</t>
  </si>
  <si>
    <t>AIJOB1226</t>
  </si>
  <si>
    <t>LLM Fine-tuning|Python|PyTorch|Leadership|SQL|Agile</t>
  </si>
  <si>
    <t>AIJOB1227</t>
  </si>
  <si>
    <t>Risk Analysis|ML Security|Red Teaming|Python|Statistics|Problem Solving</t>
  </si>
  <si>
    <t>AIJOB1228</t>
  </si>
  <si>
    <t>Python|Vector DBs|Prompt Engineering|RAG|LLM APIs|Git|Cloud|Communication</t>
  </si>
  <si>
    <t>AIJOB1229</t>
  </si>
  <si>
    <t>Documentation|LLM APIs|Testing|NLP|Research</t>
  </si>
  <si>
    <t>AIJOB1230</t>
  </si>
  <si>
    <t>CUDA|OpenCV|PyTorch|Python|Image Processing|CNNs|Problem Solving</t>
  </si>
  <si>
    <t>AIJOB1231</t>
  </si>
  <si>
    <t>Data Visualization|SQL|Scikit-learn|Statistics|ML Algorithms|Communication|SQL|Problem Solving</t>
  </si>
  <si>
    <t>AIJOB1232</t>
  </si>
  <si>
    <t>EU AI Act|Risk Management|Legal Knowledge|Auditing|Documentation|Cloud|Git</t>
  </si>
  <si>
    <t>AIJOB1233</t>
  </si>
  <si>
    <t>Communication|Research|Risk Assessment|AI Policy|Leadership</t>
  </si>
  <si>
    <t>AIJOB1234</t>
  </si>
  <si>
    <t>Python|LLM Integration|Cloud (AWS/GCP/Azure)|Linux|Communication</t>
  </si>
  <si>
    <t>AIJOB1235</t>
  </si>
  <si>
    <t>Research|Communication|AI Policy|Statistics|Cloud</t>
  </si>
  <si>
    <t>AIJOB1236</t>
  </si>
  <si>
    <t>Python|PyTorch|Fine-tuning|Agile</t>
  </si>
  <si>
    <t>AIJOB1237</t>
  </si>
  <si>
    <t>Storage|Cloud|Distributed Systems|Networking|Agile|Research</t>
  </si>
  <si>
    <t>AIJOB1238</t>
  </si>
  <si>
    <t>Python|Distributed Systems|LLM Fine-tuning|MLOps|PyTorch|System Design|Problem Solving|Communication|Agile</t>
  </si>
  <si>
    <t>AIJOB1239</t>
  </si>
  <si>
    <t>Kubernetes|Python|Docker|CI/CD|Cloud|Monitoring|MLflow|Communication|Leadership</t>
  </si>
  <si>
    <t>AIJOB1240</t>
  </si>
  <si>
    <t>TensorFlow|Neural Networks|CUDA|PyTorch|Linux|Research|Problem Solving</t>
  </si>
  <si>
    <t>AIJOB1241</t>
  </si>
  <si>
    <t>C++|ROS|Control Systems|Statistics|Agile|Communication</t>
  </si>
  <si>
    <t>AIJOB1242</t>
  </si>
  <si>
    <t>Storage|Kubernetes|Cloud|Distributed Systems|CUDA|Networking|SQL|Problem Solving|Communication</t>
  </si>
  <si>
    <t>AIJOB1243</t>
  </si>
  <si>
    <t>TensorFlow|Kubernetes|PyTorch|SQL|Communication|Problem Solving</t>
  </si>
  <si>
    <t>AIJOB1244</t>
  </si>
  <si>
    <t>Research|Mathematics|Publishing|Agile|Research</t>
  </si>
  <si>
    <t>AIJOB1245</t>
  </si>
  <si>
    <t>PyTorch|Kubernetes|MLOps|TensorFlow|SQL|Python|Leadership</t>
  </si>
  <si>
    <t>AIJOB1246</t>
  </si>
  <si>
    <t>Deployment|Python|Diffusion Models|GenAI APIs|Fine-tuning|LLMs|Leadership|Problem Solving|Communication</t>
  </si>
  <si>
    <t>AIJOB1247</t>
  </si>
  <si>
    <t>Diffusion Models|Deployment|LLMs|GenAI APIs|Leadership|SQL|Communication</t>
  </si>
  <si>
    <t>AIJOB1248</t>
  </si>
  <si>
    <t>AutoGen|Planning Systems|Python|Tool Use|Statistics|Research</t>
  </si>
  <si>
    <t>AIJOB1249</t>
  </si>
  <si>
    <t>Simulation|C++|ROS|Git|Cloud</t>
  </si>
  <si>
    <t>AIJOB1250</t>
  </si>
  <si>
    <t>Prompt Engineering|RAG|Python|Vector DBs|LLM APIs|SQL</t>
  </si>
  <si>
    <t>AIJOB1251</t>
  </si>
  <si>
    <t>Control Systems|Python|ROS|Computer Vision|Linux</t>
  </si>
  <si>
    <t>AIJOB1252</t>
  </si>
  <si>
    <t>PyTorch|Publishing|Deep Learning|Research|Git</t>
  </si>
  <si>
    <t>AIJOB1253</t>
  </si>
  <si>
    <t>TensorFlow|GPU Computing|Neural Networks|PyTorch|Research</t>
  </si>
  <si>
    <t>AIJOB1254</t>
  </si>
  <si>
    <t>System Design|Python|MLOps|Distributed Systems|PyTorch|LLM Fine-tuning|Agile|Problem Solving</t>
  </si>
  <si>
    <t>AIJOB1255</t>
  </si>
  <si>
    <t>Simulation|C++|Computer Vision|Control Systems|Cloud</t>
  </si>
  <si>
    <t>AIJOB1256</t>
  </si>
  <si>
    <t>PyTorch|Vision-Language Models|Python|APIs|Fine-tuning|Agile|Problem Solving|Communication</t>
  </si>
  <si>
    <t>AIJOB1257</t>
  </si>
  <si>
    <t>CI/CD|Cloud|Kubernetes|Python|Monitoring|Communication|Agile</t>
  </si>
  <si>
    <t>AIJOB1258</t>
  </si>
  <si>
    <t>Transformers|Hugging Face|Python|Cloud</t>
  </si>
  <si>
    <t>AIJOB1259</t>
  </si>
  <si>
    <t>AutoGen|LangChain|APIs|Git</t>
  </si>
  <si>
    <t>AIJOB1260</t>
  </si>
  <si>
    <t>Risk Management|Auditing|Documentation|Problem Solving|SQL</t>
  </si>
  <si>
    <t>AIJOB1261</t>
  </si>
  <si>
    <t>Computer Vision|Python|Control Systems|C++|Simulation|Agile|Statistics</t>
  </si>
  <si>
    <t>AIJOB1262</t>
  </si>
  <si>
    <t>System Design|Distributed Systems|PyTorch|LLM Fine-tuning|MLOps|SQL|Cloud|Linux</t>
  </si>
  <si>
    <t>AIJOB1263</t>
  </si>
  <si>
    <t>Scikit-learn|SQL|Python|ML Algorithms|SQL|Leadership</t>
  </si>
  <si>
    <t>AIJOB1264</t>
  </si>
  <si>
    <t>Python|Vector DBs|LLMs|LangChain|Research|SQL</t>
  </si>
  <si>
    <t>AIJOB1265</t>
  </si>
  <si>
    <t>PyTorch|Vision-Language Models|Fine-tuning|Leadership|SQL|Agile</t>
  </si>
  <si>
    <t>AIJOB1266</t>
  </si>
  <si>
    <t>Search Systems|Vector DBs|LangChain|Python|Agile</t>
  </si>
  <si>
    <t>AIJOB1267</t>
  </si>
  <si>
    <t>Data Visualization|Statistics|SQL|Cloud</t>
  </si>
  <si>
    <t>AIJOB1268</t>
  </si>
  <si>
    <t>Python|APIs|Fine-tuning|PyTorch|Research|Linux|Cloud</t>
  </si>
  <si>
    <t>AIJOB1269</t>
  </si>
  <si>
    <t>Python|Deep Learning|Advanced Statistics|ML|Git|Statistics|Research</t>
  </si>
  <si>
    <t>AIJOB1270</t>
  </si>
  <si>
    <t>Risk Analysis|Cybersecurity|ML Security|Red Teaming|Python|Agile|Statistics</t>
  </si>
  <si>
    <t>AIJOB1271</t>
  </si>
  <si>
    <t>Python|Transformers|BERT|LLMs|Hugging Face|Cloud|SQL</t>
  </si>
  <si>
    <t>AIJOB1272</t>
  </si>
  <si>
    <t>NLP|Testing|Prompt Design|Documentation|Communication</t>
  </si>
  <si>
    <t>AIJOB1273</t>
  </si>
  <si>
    <t>Python|Text Processing|Transformers|BERT|Leadership|Linux|Statistics</t>
  </si>
  <si>
    <t>AIJOB1274</t>
  </si>
  <si>
    <t>Prompt Engineering|Vector DBs|Python|Fine-tuning|Research|Communication|Cloud</t>
  </si>
  <si>
    <t>AIJOB1275</t>
  </si>
  <si>
    <t>Python|Deep Learning|Publishing|Git|Cloud</t>
  </si>
  <si>
    <t>AIJOB1276</t>
  </si>
  <si>
    <t>Product Strategy|Data Analysis|Stakeholder Mgmt|Agile|Statistics</t>
  </si>
  <si>
    <t>AIJOB1277</t>
  </si>
  <si>
    <t>Scikit-learn|Python|ML Algorithms|Data Visualization|Statistics|SQL|Statistics|Cloud|Git</t>
  </si>
  <si>
    <t>AIJOB1278</t>
  </si>
  <si>
    <t>Airflow|Feature Stores|SQL|Python|ETL|dbt|Spark|Agile|Cloud|Git</t>
  </si>
  <si>
    <t>AIJOB1279</t>
  </si>
  <si>
    <t>Cloud (AWS/GCP/Azure)|LLM Integration|Docker|Python|PyTorch|Agile</t>
  </si>
  <si>
    <t>AIJOB1280</t>
  </si>
  <si>
    <t>Python|OpenCV|CNNs|PyTorch|CUDA|Image Processing|Agile</t>
  </si>
  <si>
    <t>AIJOB1281</t>
  </si>
  <si>
    <t>MLOps|Python|Distributed Systems|PyTorch|Communication|Agile|Git</t>
  </si>
  <si>
    <t>AIJOB1282</t>
  </si>
  <si>
    <t>Control Systems|Python|ROS|Leadership</t>
  </si>
  <si>
    <t>AIJOB1283</t>
  </si>
  <si>
    <t>Data Analysis|Agile|Stakeholder Mgmt|Product Strategy|AI Literacy|Linux</t>
  </si>
  <si>
    <t>AIJOB1284</t>
  </si>
  <si>
    <t>Feature Stores|ETL|SQL|Airflow|Git</t>
  </si>
  <si>
    <t>AIJOB1285</t>
  </si>
  <si>
    <t>Cloud|Python|System Design|Leadership|ML|Enterprise Architecture|Leadership|Linux</t>
  </si>
  <si>
    <t>AIJOB1286</t>
  </si>
  <si>
    <t>Airflow|Python|Spark|Feature Stores|Problem Solving|Leadership</t>
  </si>
  <si>
    <t>AIJOB1287</t>
  </si>
  <si>
    <t>BERT|LLMs|Transformers|Text Processing|Problem Solving|Leadership|Git</t>
  </si>
  <si>
    <t>AIJOB1288</t>
  </si>
  <si>
    <t>Auditing|EU AI Act|Documentation|Risk Management|Cloud|Linux</t>
  </si>
  <si>
    <t>AIJOB1289</t>
  </si>
  <si>
    <t>C++|Python|ROS|Control Systems|Simulation|SQL</t>
  </si>
  <si>
    <t>AIJOB1290</t>
  </si>
  <si>
    <t>Data Analysis|Agile|Product Strategy|AI Literacy|Stakeholder Mgmt|Problem Solving|Linux|Git</t>
  </si>
  <si>
    <t>AIJOB1291</t>
  </si>
  <si>
    <t>LLM APIs|NLP|Testing|Prompt Design|Documentation|Python|Research</t>
  </si>
  <si>
    <t>AIJOB1292</t>
  </si>
  <si>
    <t>Deep Learning|PyTorch|Mathematics|Communication|Cloud|Statistics</t>
  </si>
  <si>
    <t>AIJOB1293</t>
  </si>
  <si>
    <t>Publishing|Research|PyTorch|Deep Learning|Problem Solving</t>
  </si>
  <si>
    <t>AIJOB1294</t>
  </si>
  <si>
    <t>Prompt Design|Python|NLP|LLM APIs|Documentation|Leadership|Git|Communication</t>
  </si>
  <si>
    <t>AIJOB1295</t>
  </si>
  <si>
    <t>Python|Vision-Language Models|APIs|Statistics|Agile</t>
  </si>
  <si>
    <t>AIJOB1296</t>
  </si>
  <si>
    <t>LLM APIs|Vector DBs|RAG|Python|Prompt Engineering|Git</t>
  </si>
  <si>
    <t>AIJOB1297</t>
  </si>
  <si>
    <t>MLflow|Monitoring|Kubernetes|Docker|Communication|Problem Solving</t>
  </si>
  <si>
    <t>AIJOB1298</t>
  </si>
  <si>
    <t>SQL|ML Algorithms|Statistics|Scikit-learn|Python|Data Visualization|Problem Solving|Linux</t>
  </si>
  <si>
    <t>AIJOB1299</t>
  </si>
  <si>
    <t>Spark|dbt|Airflow|Cloud|Agile|Statistics</t>
  </si>
  <si>
    <t>AIJOB1300</t>
  </si>
  <si>
    <t>SQL|Statistics|Scikit-learn|Python|Data Visualization|Problem Solving|Cloud</t>
  </si>
  <si>
    <t>AIJOB1301</t>
  </si>
  <si>
    <t>Leadership|System Design|Enterprise Architecture|Cloud|ML|Python|SQL</t>
  </si>
  <si>
    <t>AIJOB1302</t>
  </si>
  <si>
    <t>Stakeholder Mgmt|Product Strategy|Data Analysis|Leadership|Cloud|SQL</t>
  </si>
  <si>
    <t>AIJOB1303</t>
  </si>
  <si>
    <t>Python|TensorFlow|GPU Computing|CUDA|PyTorch|Cloud|Communication</t>
  </si>
  <si>
    <t>AIJOB1304</t>
  </si>
  <si>
    <t>ROS|C++|Simulation|Computer Vision|Python|Control Systems|Communication|Leadership|Statistics</t>
  </si>
  <si>
    <t>AIJOB1305</t>
  </si>
  <si>
    <t>Distributed Systems|MLOps|PyTorch|Leadership|Statistics</t>
  </si>
  <si>
    <t>AIJOB1306</t>
  </si>
  <si>
    <t>C++|Control Systems|Simulation|Research</t>
  </si>
  <si>
    <t>AIJOB1307</t>
  </si>
  <si>
    <t>Leadership|Deep Learning|Causal Inference|Advanced Statistics|Problem Solving|Cloud|Communication</t>
  </si>
  <si>
    <t>AIJOB1308</t>
  </si>
  <si>
    <t>Python|Documentation|Testing|LLM APIs|NLP|Prompt Design|Cloud</t>
  </si>
  <si>
    <t>AIJOB1309</t>
  </si>
  <si>
    <t>Simulation|C++|Python|Computer Vision|Control Systems|Problem Solving</t>
  </si>
  <si>
    <t>AIJOB1310</t>
  </si>
  <si>
    <t>EU AI Act|Documentation|Auditing|Legal Knowledge|Cloud|Research</t>
  </si>
  <si>
    <t>AIJOB1311</t>
  </si>
  <si>
    <t>EU AI Act|Documentation|Legal Knowledge|Auditing|Risk Management|Cloud|Statistics</t>
  </si>
  <si>
    <t>AIJOB1312</t>
  </si>
  <si>
    <t>Tool Use|APIs|Python|AutoGen|SQL|Problem Solving|Agile</t>
  </si>
  <si>
    <t>AIJOB1313</t>
  </si>
  <si>
    <t>Communication|Data Visualization|Python|SQL|Business Analysis|Git|Statistics|Communication</t>
  </si>
  <si>
    <t>AIJOB1314</t>
  </si>
  <si>
    <t>Communication|AI Policy|Risk Assessment|Ethics Frameworks|Research|Cloud|Leadership</t>
  </si>
  <si>
    <t>AIJOB1315</t>
  </si>
  <si>
    <t>Python|SQL|Business Analysis|Problem Solving</t>
  </si>
  <si>
    <t>AIJOB1316</t>
  </si>
  <si>
    <t>Python|PyTorch|Fine-tuning|APIs|Leadership</t>
  </si>
  <si>
    <t>AIJOB1317</t>
  </si>
  <si>
    <t>PyTorch|Python|Distributed Systems|MLOps|System Design|Git|SQL</t>
  </si>
  <si>
    <t>AIJOB1318</t>
  </si>
  <si>
    <t>Airflow|SQL|Python|Spark|dbt|Feature Stores|Git|Leadership</t>
  </si>
  <si>
    <t>AIJOB1319</t>
  </si>
  <si>
    <t>Risk Management|EU AI Act|Auditing|Documentation|Legal Knowledge|Problem Solving|SQL|Agile</t>
  </si>
  <si>
    <t>AIJOB1320</t>
  </si>
  <si>
    <t>AI Literacy|Data Analysis|Stakeholder Mgmt|Product Strategy|Agile|Communication|Agile|Git</t>
  </si>
  <si>
    <t>AIJOB1321</t>
  </si>
  <si>
    <t>OpenCV|Python|PyTorch|CNNs|CUDA|Communication|SQL|Git</t>
  </si>
  <si>
    <t>AIJOB1322</t>
  </si>
  <si>
    <t>Docker|Kubernetes|Python|MLflow|Monitoring|SQL</t>
  </si>
  <si>
    <t>AIJOB1323</t>
  </si>
  <si>
    <t>SQL|Scikit-learn|Data Visualization|ML Algorithms|Statistics|Agile</t>
  </si>
  <si>
    <t>AIJOB1324</t>
  </si>
  <si>
    <t>ML Algorithms|Python|Data Visualization|Scikit-learn|Statistics|Cloud</t>
  </si>
  <si>
    <t>AIJOB1325</t>
  </si>
  <si>
    <t>Diffusion Models|LLMs|GenAI APIs|Leadership|Linux</t>
  </si>
  <si>
    <t>AIJOB1326</t>
  </si>
  <si>
    <t>RAG|Prompt Engineering|Python|Fine-tuning|Vector DBs|Statistics</t>
  </si>
  <si>
    <t>AIJOB1327</t>
  </si>
  <si>
    <t>AI Policy|Research|Ethics Frameworks|Research|Agile|Statistics</t>
  </si>
  <si>
    <t>AIJOB1328</t>
  </si>
  <si>
    <t>LLMs|Search Systems|Python|Linux|Leadership|Cloud</t>
  </si>
  <si>
    <t>AIJOB1329</t>
  </si>
  <si>
    <t>CNNs|Image Processing|PyTorch|Python|CUDA|OpenCV|Leadership</t>
  </si>
  <si>
    <t>AIJOB1330</t>
  </si>
  <si>
    <t>Prompt Engineering|Vector DBs|RAG|Fine-tuning|LLM APIs|Python|Problem Solving|Communication</t>
  </si>
  <si>
    <t>AIJOB1331</t>
  </si>
  <si>
    <t>Data Visualization|Business Analysis|Communication|Python|Problem Solving</t>
  </si>
  <si>
    <t>AIJOB1332</t>
  </si>
  <si>
    <t>Cybersecurity|Risk Analysis|ML Security|Python|SQL|Statistics|Communication</t>
  </si>
  <si>
    <t>AIJOB1333</t>
  </si>
  <si>
    <t>AI Policy|Ethics Frameworks|Communication|Risk Assessment|Leadership|Cloud|Statistics</t>
  </si>
  <si>
    <t>AIJOB1334</t>
  </si>
  <si>
    <t>Python|Simulation|C++|ROS|Cloud</t>
  </si>
  <si>
    <t>AIJOB1335</t>
  </si>
  <si>
    <t>Testing|LLM APIs|NLP|Documentation|Python|Statistics|Research|Problem Solving</t>
  </si>
  <si>
    <t>AIJOB1336</t>
  </si>
  <si>
    <t>Fine-tuning|APIs|Vision-Language Models|Python|Git|Agile|Cloud</t>
  </si>
  <si>
    <t>AIJOB1337</t>
  </si>
  <si>
    <t>Planning Systems|Tool Use|AutoGen|LangChain|Python|Cloud|Agile</t>
  </si>
  <si>
    <t>AIJOB1338</t>
  </si>
  <si>
    <t>SQL|Communication|Business Analysis|Problem Solving|Research</t>
  </si>
  <si>
    <t>AIJOB1339</t>
  </si>
  <si>
    <t>LLMs|Deployment|Fine-tuning|SQL|Git</t>
  </si>
  <si>
    <t>AIJOB1340</t>
  </si>
  <si>
    <t>Control Systems|Computer Vision|Simulation|C++|Python|Statistics</t>
  </si>
  <si>
    <t>AIJOB1341</t>
  </si>
  <si>
    <t>MLOps|PyTorch|Python|TensorFlow|Communication|Cloud</t>
  </si>
  <si>
    <t>AIJOB1342</t>
  </si>
  <si>
    <t>Cybersecurity|ML Security|Risk Analysis|Red Teaming|Python|Communication|Leadership|Problem Solving</t>
  </si>
  <si>
    <t>AIJOB1343</t>
  </si>
  <si>
    <t>RAG|Prompt Engineering|Fine-tuning|LLM APIs|Vector DBs|Python|Leadership|SQL</t>
  </si>
  <si>
    <t>AIJOB1344</t>
  </si>
  <si>
    <t>Search Systems|LLMs|LangChain|Python|Problem Solving|Linux</t>
  </si>
  <si>
    <t>AIJOB1345</t>
  </si>
  <si>
    <t>Legal Knowledge|Documentation|Risk Management|Auditing|SQL|Research|Problem Solving</t>
  </si>
  <si>
    <t>AIJOB1346</t>
  </si>
  <si>
    <t>Transformers|Python|BERT|LLMs|Research</t>
  </si>
  <si>
    <t>AIJOB1347</t>
  </si>
  <si>
    <t>Python|Enterprise Architecture|Cloud|Leadership|ML|Git</t>
  </si>
  <si>
    <t>AIJOB1348</t>
  </si>
  <si>
    <t>Agile|Stakeholder Mgmt|Product Strategy|AI Literacy|Data Analysis|Statistics|Research|Communication</t>
  </si>
  <si>
    <t>AIJOB1349</t>
  </si>
  <si>
    <t>C++|Control Systems|ROS|Simulation|Python|Computer Vision|Linux</t>
  </si>
  <si>
    <t>AIJOB1350</t>
  </si>
  <si>
    <t>Neural Networks|GPU Computing|CUDA|TensorFlow|Python|Research|Problem Solving</t>
  </si>
  <si>
    <t>AIJOB1351</t>
  </si>
  <si>
    <t>Stakeholder Mgmt|Agile|Product Strategy|Data Analysis|SQL|Communication</t>
  </si>
  <si>
    <t>AIJOB1352</t>
  </si>
  <si>
    <t>MLOps|Kubernetes|SQL|Problem Solving|Linux|Statistics</t>
  </si>
  <si>
    <t>AIJOB1353</t>
  </si>
  <si>
    <t>Risk Management|Legal Knowledge|Auditing|EU AI Act|Statistics|Leadership</t>
  </si>
  <si>
    <t>AIJOB1354</t>
  </si>
  <si>
    <t>EU AI Act|Auditing|Risk Management|Legal Knowledge|Documentation|Research|Agile|Linux</t>
  </si>
  <si>
    <t>AIJOB1355</t>
  </si>
  <si>
    <t>Stakeholder Mgmt|Product Strategy|Agile|Data Analysis|AI Literacy|Communication|Statistics</t>
  </si>
  <si>
    <t>AIJOB1356</t>
  </si>
  <si>
    <t>Product Strategy|AI Literacy|Stakeholder Mgmt|Agile|Data Analysis|Git|Problem Solving|Linux</t>
  </si>
  <si>
    <t>AIJOB1357</t>
  </si>
  <si>
    <t>Data Analysis|AI Literacy|Agile|Stakeholder Mgmt|Product Strategy|Research|Agile</t>
  </si>
  <si>
    <t>AIJOB1358</t>
  </si>
  <si>
    <t>OpenCV|CNNs|Image Processing|Leadership</t>
  </si>
  <si>
    <t>AIJOB1359</t>
  </si>
  <si>
    <t>Storage|CUDA|Distributed Systems|Agile</t>
  </si>
  <si>
    <t>AIJOB1360</t>
  </si>
  <si>
    <t>Hugging Face|Transformers|LLMs|Python|SQL</t>
  </si>
  <si>
    <t>AIJOB1361</t>
  </si>
  <si>
    <t>Data Visualization|Communication|SQL|Problem Solving|Statistics|SQL</t>
  </si>
  <si>
    <t>AIJOB1362</t>
  </si>
  <si>
    <t>Research|AI Policy|Ethics Frameworks|Risk Assessment|Leadership</t>
  </si>
  <si>
    <t>AIJOB1363</t>
  </si>
  <si>
    <t>Planning Systems|APIs|Python|SQL|Statistics</t>
  </si>
  <si>
    <t>AIJOB1364</t>
  </si>
  <si>
    <t>SQL|Data Visualization|Business Analysis|Communication|Leadership</t>
  </si>
  <si>
    <t>AIJOB1365</t>
  </si>
  <si>
    <t>Python|SQL|Business Analysis|Data Visualization|Cloud|Linux|Statistics</t>
  </si>
  <si>
    <t>AIJOB1366</t>
  </si>
  <si>
    <t>Python|C++|Simulation|Control Systems|Communication|Git</t>
  </si>
  <si>
    <t>AIJOB1367</t>
  </si>
  <si>
    <t>Product Strategy|Stakeholder Mgmt|Data Analysis|Agile|AI Literacy|Communication|Problem Solving|Git</t>
  </si>
  <si>
    <t>AIJOB1368</t>
  </si>
  <si>
    <t>LLMs|Python|Transformers|Statistics</t>
  </si>
  <si>
    <t>AIJOB1369</t>
  </si>
  <si>
    <t>Vector DBs|Prompt Engineering|Fine-tuning|Python|Research</t>
  </si>
  <si>
    <t>AIJOB1370</t>
  </si>
  <si>
    <t>Fine-tuning|APIs|PyTorch|Python|Research</t>
  </si>
  <si>
    <t>AIJOB1371</t>
  </si>
  <si>
    <t>Python|Fine-tuning|LLMs|SQL|Agile|Research</t>
  </si>
  <si>
    <t>AIJOB1372</t>
  </si>
  <si>
    <t>Docker|MLflow|Cloud|CI/CD|Kubernetes|Python|Monitoring|SQL</t>
  </si>
  <si>
    <t>AIJOB1373</t>
  </si>
  <si>
    <t>GenAI APIs|Deployment|Diffusion Models|Fine-tuning|Python|LLMs|Statistics|Agile|SQL</t>
  </si>
  <si>
    <t>AIJOB1374</t>
  </si>
  <si>
    <t>Deployment|Diffusion Models|Python|LLMs|Linux|Cloud|Research</t>
  </si>
  <si>
    <t>AIJOB1375</t>
  </si>
  <si>
    <t>Leadership|Cloud|Python|System Design|ML|Enterprise Architecture|Communication|Statistics</t>
  </si>
  <si>
    <t>AIJOB1376</t>
  </si>
  <si>
    <t>Python|LangChain|Planning Systems|AutoGen|Communication|Agile|Leadership</t>
  </si>
  <si>
    <t>AIJOB1377</t>
  </si>
  <si>
    <t>Python|Business Analysis|Communication|Cloud|Statistics|Linux</t>
  </si>
  <si>
    <t>AIJOB1378</t>
  </si>
  <si>
    <t>LLM APIs|Python|Prompt Engineering|Fine-tuning|RAG|Linux|Statistics</t>
  </si>
  <si>
    <t>AIJOB1379</t>
  </si>
  <si>
    <t>Testing|Documentation|NLP|Python|LLM APIs|Prompt Design|Linux|SQL|Communication</t>
  </si>
  <si>
    <t>AIJOB1380</t>
  </si>
  <si>
    <t>LLM Fine-tuning|Distributed Systems|MLOps|Python|PyTorch|System Design|Git|Agile|Linux</t>
  </si>
  <si>
    <t>AIJOB1381</t>
  </si>
  <si>
    <t>Python|SQL|Communication|SQL</t>
  </si>
  <si>
    <t>AIJOB1382</t>
  </si>
  <si>
    <t>Cloud (AWS/GCP/Azure)|Docker|LLM Integration|Python|Agile|Leadership</t>
  </si>
  <si>
    <t>AIJOB1383</t>
  </si>
  <si>
    <t>NLP|Testing|Documentation|LLM APIs|Linux|SQL</t>
  </si>
  <si>
    <t>AIJOB1384</t>
  </si>
  <si>
    <t>Python|Control Systems|Simulation|Computer Vision|SQL|Cloud|Problem Solving</t>
  </si>
  <si>
    <t>AIJOB1385</t>
  </si>
  <si>
    <t>Python|System Design|Distributed Systems|Git|Cloud|Research</t>
  </si>
  <si>
    <t>AIJOB1386</t>
  </si>
  <si>
    <t>Business Analysis|Python|SQL|Communication|Data Visualization|Research|SQL|Agile</t>
  </si>
  <si>
    <t>AIJOB1387</t>
  </si>
  <si>
    <t>Data Analysis|Agile|Product Strategy|Problem Solving|Linux</t>
  </si>
  <si>
    <t>AIJOB1388</t>
  </si>
  <si>
    <t>Kubernetes|Docker|MLflow|Python|Monitoring|CI/CD|Git|Linux|Agile</t>
  </si>
  <si>
    <t>AIJOB1389</t>
  </si>
  <si>
    <t>Documentation|Python|Testing|NLP|Leadership|Research</t>
  </si>
  <si>
    <t>AIJOB1390</t>
  </si>
  <si>
    <t>Cloud|Kubernetes|Docker|SQL|Agile|Linux</t>
  </si>
  <si>
    <t>AIJOB1391</t>
  </si>
  <si>
    <t>CI/CD|Cloud|Kubernetes|Docker|Cloud</t>
  </si>
  <si>
    <t>AIJOB1392</t>
  </si>
  <si>
    <t>SQL|Python|Kubernetes|TensorFlow|PyTorch|Research</t>
  </si>
  <si>
    <t>AIJOB1393</t>
  </si>
  <si>
    <t>Distributed Systems|Python|System Design|Problem Solving</t>
  </si>
  <si>
    <t>AIJOB1394</t>
  </si>
  <si>
    <t>Deep Learning|Python|Research|Mathematics|Publishing|PyTorch|Cloud</t>
  </si>
  <si>
    <t>AIJOB1395</t>
  </si>
  <si>
    <t>TensorFlow|Neural Networks|GPU Computing|Python|PyTorch|CUDA|Research</t>
  </si>
  <si>
    <t>AIJOB1396</t>
  </si>
  <si>
    <t>Networking|Cloud|Distributed Systems|Kubernetes|Agile|Communication</t>
  </si>
  <si>
    <t>AIJOB1397</t>
  </si>
  <si>
    <t>Neural Networks|PyTorch|GPU Computing|TensorFlow|Python|Communication</t>
  </si>
  <si>
    <t>AIJOB1398</t>
  </si>
  <si>
    <t>TensorFlow|MLOps|SQL|Python|Problem Solving|Leadership|Statistics</t>
  </si>
  <si>
    <t>AIJOB1399</t>
  </si>
  <si>
    <t>RAG|Python|Fine-tuning|Statistics|Leadership</t>
  </si>
  <si>
    <t>AIJOB1400</t>
  </si>
  <si>
    <t>Causal Inference|Leadership|Python|ML|Communication|Leadership</t>
  </si>
  <si>
    <t>AIJOB1401</t>
  </si>
  <si>
    <t>dbt|Feature Stores|Airflow|Statistics</t>
  </si>
  <si>
    <t>AIJOB1402</t>
  </si>
  <si>
    <t>Prompt Design|NLP|LLM APIs|Documentation|Testing|Python|Statistics</t>
  </si>
  <si>
    <t>AIJOB1403</t>
  </si>
  <si>
    <t>ML|Python|Causal Inference|Deep Learning|Leadership|Advanced Statistics|Leadership</t>
  </si>
  <si>
    <t>AIJOB1404</t>
  </si>
  <si>
    <t>LLMs|Deployment|GenAI APIs|Agile</t>
  </si>
  <si>
    <t>AIJOB1405</t>
  </si>
  <si>
    <t>Research|AI Policy|Risk Assessment|Communication|Problem Solving|Cloud|Statistics</t>
  </si>
  <si>
    <t>AIJOB1406</t>
  </si>
  <si>
    <t>Ethics Frameworks|Communication|AI Policy|Communication|Research|Problem Solving</t>
  </si>
  <si>
    <t>AIJOB1407</t>
  </si>
  <si>
    <t>Simulation|C++|Control Systems|Problem Solving|Leadership</t>
  </si>
  <si>
    <t>AIJOB1408</t>
  </si>
  <si>
    <t>RAG|Python|Prompt Engineering|LLM APIs|Fine-tuning|Cloud|SQL</t>
  </si>
  <si>
    <t>AIJOB1409</t>
  </si>
  <si>
    <t>Cybersecurity|ML Security|Red Teaming|Python|Risk Analysis|Communication|Problem Solving</t>
  </si>
  <si>
    <t>AIJOB1410</t>
  </si>
  <si>
    <t>Cloud|CUDA|Storage|Distributed Systems|Kubernetes|Networking|Git</t>
  </si>
  <si>
    <t>AIJOB1411</t>
  </si>
  <si>
    <t>Python|LLM Integration|Cloud (AWS/GCP/Azure)|PyTorch|Docker|Research|Communication|Problem Solving</t>
  </si>
  <si>
    <t>AIJOB1412</t>
  </si>
  <si>
    <t>Transformers|BERT|Text Processing|Hugging Face|LLMs|Communication|SQL|Research</t>
  </si>
  <si>
    <t>AIJOB1413</t>
  </si>
  <si>
    <t>AI Literacy|Stakeholder Mgmt|Product Strategy|Data Analysis|Agile|Statistics</t>
  </si>
  <si>
    <t>AIJOB1414</t>
  </si>
  <si>
    <t>Python|Advanced Statistics|Causal Inference|Leadership|Deep Learning|ML|Git|Leadership</t>
  </si>
  <si>
    <t>AIJOB1415</t>
  </si>
  <si>
    <t>Testing|Documentation|Python|LLM APIs|NLP|Prompt Design|Leadership|Cloud|Communication</t>
  </si>
  <si>
    <t>AIJOB1416</t>
  </si>
  <si>
    <t>Kubernetes|Docker|MLflow|CI/CD|Python|Monitoring|Cloud|Communication|Research</t>
  </si>
  <si>
    <t>AIJOB1417</t>
  </si>
  <si>
    <t>Kubernetes|PyTorch|MLOps|Cloud</t>
  </si>
  <si>
    <t>AIJOB1418</t>
  </si>
  <si>
    <t>SQL|Scikit-learn|Data Visualization|ML Algorithms|Communication|Agile|Git</t>
  </si>
  <si>
    <t>AIJOB1419</t>
  </si>
  <si>
    <t>C++|ROS|Computer Vision|Simulation|SQL|Agile|Leadership</t>
  </si>
  <si>
    <t>AIJOB1420</t>
  </si>
  <si>
    <t>System Design|ML|Leadership|Cloud|Statistics|Research</t>
  </si>
  <si>
    <t>AIJOB1421</t>
  </si>
  <si>
    <t>ML|Leadership|Python|System Design|Enterprise Architecture|Problem Solving</t>
  </si>
  <si>
    <t>AIJOB1422</t>
  </si>
  <si>
    <t>RAG|Fine-tuning|LLM APIs|Python|Prompt Engineering|Vector DBs|Cloud|Communication</t>
  </si>
  <si>
    <t>AIJOB1423</t>
  </si>
  <si>
    <t>Docker|Python|Monitoring|Cloud|Kubernetes|CI/CD|Cloud|Research|Agile</t>
  </si>
  <si>
    <t>AIJOB1424</t>
  </si>
  <si>
    <t>Cybersecurity|Red Teaming|ML Security|Git</t>
  </si>
  <si>
    <t>AIJOB1425</t>
  </si>
  <si>
    <t>Embeddings|Python|LangChain|SQL</t>
  </si>
  <si>
    <t>AIJOB1426</t>
  </si>
  <si>
    <t>Data Analysis|Stakeholder Mgmt|Agile|AI Literacy|Product Strategy|Linux|Communication</t>
  </si>
  <si>
    <t>AIJOB1427</t>
  </si>
  <si>
    <t>Text Processing|LLMs|BERT|Python|Transformers|Hugging Face|Problem Solving|Research|Leadership</t>
  </si>
  <si>
    <t>AIJOB1428</t>
  </si>
  <si>
    <t>Deep Learning|ML|Causal Inference|Leadership|Python|Linux|Research|Cloud</t>
  </si>
  <si>
    <t>AIJOB1429</t>
  </si>
  <si>
    <t>SQL|Business Analysis|Python|Communication|Communication|Statistics</t>
  </si>
  <si>
    <t>AIJOB1430</t>
  </si>
  <si>
    <t>Distributed Systems|Kubernetes|Networking|Cloud|CUDA|Statistics|Problem Solving</t>
  </si>
  <si>
    <t>AIJOB1431</t>
  </si>
  <si>
    <t>CUDA|Networking|Kubernetes|Storage|SQL|Statistics|Problem Solving</t>
  </si>
  <si>
    <t>AIJOB1432</t>
  </si>
  <si>
    <t>APIs|Vision-Language Models|PyTorch|Fine-tuning|Python|Problem Solving|Leadership|Git</t>
  </si>
  <si>
    <t>AIJOB1433</t>
  </si>
  <si>
    <t>APIs|Planning Systems|Tool Use|Linux|Communication</t>
  </si>
  <si>
    <t>AIJOB1434</t>
  </si>
  <si>
    <t>Cloud|System Design|Enterprise Architecture|Leadership|Cloud</t>
  </si>
  <si>
    <t>AIJOB1435</t>
  </si>
  <si>
    <t>LLM Fine-tuning|PyTorch|MLOps|System Design|Python|Distributed Systems|Problem Solving|Git|Cloud</t>
  </si>
  <si>
    <t>AIJOB1436</t>
  </si>
  <si>
    <t>Networking|Distributed Systems|Storage|Cloud|Cloud</t>
  </si>
  <si>
    <t>AIJOB1437</t>
  </si>
  <si>
    <t>PyTorch|Deep Learning|Mathematics|Research|Python|Git</t>
  </si>
  <si>
    <t>AIJOB1438</t>
  </si>
  <si>
    <t>Cloud (AWS/GCP/Azure)|Python|Docker|LLM Integration|Linux|Research|Leadership</t>
  </si>
  <si>
    <t>AIJOB1439</t>
  </si>
  <si>
    <t>CNNs|Python|OpenCV|Image Processing|PyTorch|CUDA|Agile|Git|SQL</t>
  </si>
  <si>
    <t>AIJOB1440</t>
  </si>
  <si>
    <t>Fine-tuning|Python|GenAI APIs|Diffusion Models|Deployment|Git|Problem Solving</t>
  </si>
  <si>
    <t>AIJOB1441</t>
  </si>
  <si>
    <t>Cybersecurity|Risk Analysis|Red Teaming|ML Security|Agile|Linux|Communication</t>
  </si>
  <si>
    <t>AIJOB1442</t>
  </si>
  <si>
    <t>Red Teaming|ML Security|Cybersecurity|Python|Risk Analysis|Leadership|Problem Solving</t>
  </si>
  <si>
    <t>AIJOB1443</t>
  </si>
  <si>
    <t>Control Systems|Computer Vision|ROS|Agile|Linux|Research</t>
  </si>
  <si>
    <t>AIJOB1444</t>
  </si>
  <si>
    <t>Documentation|EU AI Act|Auditing|Legal Knowledge|Statistics</t>
  </si>
  <si>
    <t>AIJOB1445</t>
  </si>
  <si>
    <t>ML|Advanced Statistics|Deep Learning|Statistics</t>
  </si>
  <si>
    <t>AIJOB1446</t>
  </si>
  <si>
    <t>Python|APIs|PyTorch|Fine-tuning|Vision-Language Models|Git|Cloud|Leadership</t>
  </si>
  <si>
    <t>AIJOB1447</t>
  </si>
  <si>
    <t>Fine-tuning|Deployment|Python|Diffusion Models|GenAI APIs|Cloud</t>
  </si>
  <si>
    <t>AIJOB1448</t>
  </si>
  <si>
    <t>Agile|Stakeholder Mgmt|Product Strategy|AI Literacy|Linux|Leadership|SQL</t>
  </si>
  <si>
    <t>AIJOB1449</t>
  </si>
  <si>
    <t>Python|LLM APIs|Documentation|Linux|Communication</t>
  </si>
  <si>
    <t>AIJOB1450</t>
  </si>
  <si>
    <t>CUDA|TensorFlow|Neural Networks|Linux|Statistics</t>
  </si>
  <si>
    <t>AIJOB1451</t>
  </si>
  <si>
    <t>Legal Knowledge|Risk Management|Auditing|EU AI Act|Git</t>
  </si>
  <si>
    <t>AIJOB1452</t>
  </si>
  <si>
    <t>C++|Python|Control Systems|Communication|Statistics|Leadership</t>
  </si>
  <si>
    <t>AIJOB1453</t>
  </si>
  <si>
    <t>ETL|Python|Feature Stores|Spark|Airflow|dbt|SQL|Agile|Statistics|Research</t>
  </si>
  <si>
    <t>AIJOB1454</t>
  </si>
  <si>
    <t>Fine-tuning|LLM APIs|Prompt Engineering|Communication</t>
  </si>
  <si>
    <t>AIJOB1455</t>
  </si>
  <si>
    <t>CUDA|CNNs|PyTorch|Git|Problem Solving</t>
  </si>
  <si>
    <t>AIJOB1456</t>
  </si>
  <si>
    <t>Deep Learning|ML|Causal Inference|Python|Statistics|Leadership|Cloud</t>
  </si>
  <si>
    <t>AIJOB1457</t>
  </si>
  <si>
    <t>Prompt Engineering|Vector DBs|Fine-tuning|LLM APIs|RAG|Agile|Problem Solving</t>
  </si>
  <si>
    <t>AIJOB1458</t>
  </si>
  <si>
    <t>Python|Testing|Prompt Design|Documentation|LLM APIs|NLP|Agile|Communication|Statistics</t>
  </si>
  <si>
    <t>AIJOB1459</t>
  </si>
  <si>
    <t>CUDA|Storage|Networking|Kubernetes|Cloud|Distributed Systems|Cloud|Leadership</t>
  </si>
  <si>
    <t>AIJOB1460</t>
  </si>
  <si>
    <t>Communication|AI Policy|Ethics Frameworks|Research|SQL|Problem Solving</t>
  </si>
  <si>
    <t>AIJOB1461</t>
  </si>
  <si>
    <t>Risk Analysis|Python|Cybersecurity|ML Security|Red Teaming|Linux|Communication|Git</t>
  </si>
  <si>
    <t>AIJOB1462</t>
  </si>
  <si>
    <t>Kubernetes|Networking|Storage|Agile</t>
  </si>
  <si>
    <t>AIJOB1463</t>
  </si>
  <si>
    <t>Cloud|Networking|Distributed Systems|Storage|Agile|Git</t>
  </si>
  <si>
    <t>AIJOB1464</t>
  </si>
  <si>
    <t>Vector DBs|LLM APIs|RAG|SQL|Cloud|Statistics</t>
  </si>
  <si>
    <t>AIJOB1465</t>
  </si>
  <si>
    <t>LangChain|Python|AutoGen|APIs|Tool Use|Statistics|Problem Solving</t>
  </si>
  <si>
    <t>AIJOB1466</t>
  </si>
  <si>
    <t>Legal Knowledge|Risk Management|Documentation|EU AI Act|Cloud|SQL</t>
  </si>
  <si>
    <t>AIJOB1467</t>
  </si>
  <si>
    <t>Python|Deep Learning|ML|Advanced Statistics|SQL|Cloud</t>
  </si>
  <si>
    <t>AIJOB1468</t>
  </si>
  <si>
    <t>System Design|LLM Fine-tuning|Python|PyTorch|Distributed Systems|Research|Linux|Git</t>
  </si>
  <si>
    <t>AIJOB1469</t>
  </si>
  <si>
    <t>Communication|Python|SQL|Business Analysis|Data Visualization|SQL</t>
  </si>
  <si>
    <t>AIJOB1470</t>
  </si>
  <si>
    <t>Python|Causal Inference|Deep Learning|ML|Advanced Statistics|Leadership|Leadership|Problem Solving|Research</t>
  </si>
  <si>
    <t>AIJOB1471</t>
  </si>
  <si>
    <t>Python|Red Teaming|Risk Analysis|ML Security|Leadership|Statistics</t>
  </si>
  <si>
    <t>AIJOB1472</t>
  </si>
  <si>
    <t>LLM Integration|Cloud (AWS/GCP/Azure)|Docker|Python|Leadership|Research</t>
  </si>
  <si>
    <t>AIJOB1473</t>
  </si>
  <si>
    <t>Distributed Systems|Cloud|Kubernetes|Leadership|Problem Solving|Research</t>
  </si>
  <si>
    <t>AIJOB1474</t>
  </si>
  <si>
    <t>LLM APIs|RAG|Python|Fine-tuning|Vector DBs|Statistics</t>
  </si>
  <si>
    <t>AIJOB1475</t>
  </si>
  <si>
    <t>LLM APIs|RAG|Vector DBs|Linux</t>
  </si>
  <si>
    <t>AIJOB1476</t>
  </si>
  <si>
    <t>Prompt Engineering|RAG|Python|Git|Research|SQL</t>
  </si>
  <si>
    <t>AIJOB1477</t>
  </si>
  <si>
    <t>TensorFlow|PyTorch|Kubernetes|Leadership|Statistics</t>
  </si>
  <si>
    <t>AIJOB1478</t>
  </si>
  <si>
    <t>Python|Fine-tuning|PyTorch|Vision-Language Models|APIs|Research</t>
  </si>
  <si>
    <t>AIJOB1479</t>
  </si>
  <si>
    <t>Python|Cloud|Monitoring|Kubernetes|Research|Statistics|Problem Solving</t>
  </si>
  <si>
    <t>AIJOB1480</t>
  </si>
  <si>
    <t>Vector DBs|Embeddings|LLMs|Search Systems|Python|Agile</t>
  </si>
  <si>
    <t>AIJOB1481</t>
  </si>
  <si>
    <t>ETL|Airflow|Feature Stores|dbt|Problem Solving|Research|Cloud</t>
  </si>
  <si>
    <t>AIJOB1482</t>
  </si>
  <si>
    <t>Data Analysis|Stakeholder Mgmt|Agile|AI Literacy|Leadership|Git|Agile</t>
  </si>
  <si>
    <t>AIJOB1483</t>
  </si>
  <si>
    <t>Python|Prompt Engineering|RAG|Vector DBs|Fine-tuning|Statistics|Communication</t>
  </si>
  <si>
    <t>AIJOB1484</t>
  </si>
  <si>
    <t>Kubernetes|PyTorch|SQL|Python|TensorFlow|Problem Solving|Cloud</t>
  </si>
  <si>
    <t>AIJOB1485</t>
  </si>
  <si>
    <t>OpenCV|PyTorch|CNNs|Image Processing|Python|Statistics</t>
  </si>
  <si>
    <t>AIJOB1486</t>
  </si>
  <si>
    <t>Simulation|C++|Control Systems|Python|Computer Vision|ROS|Agile</t>
  </si>
  <si>
    <t>AIJOB1487</t>
  </si>
  <si>
    <t>APIs|PyTorch|Fine-tuning|Agile</t>
  </si>
  <si>
    <t>AIJOB1488</t>
  </si>
  <si>
    <t>Embeddings|LLMs|Search Systems|Vector DBs|LangChain|Python|Agile|Git</t>
  </si>
  <si>
    <t>AIJOB1489</t>
  </si>
  <si>
    <t>Networking|Distributed Systems|CUDA|Storage|Problem Solving</t>
  </si>
  <si>
    <t>AIJOB1490</t>
  </si>
  <si>
    <t>Cybersecurity|Risk Analysis|ML Security|Python|Cloud|Linux|Leadership</t>
  </si>
  <si>
    <t>AIJOB1491</t>
  </si>
  <si>
    <t>Prompt Design|NLP|Documentation|Testing|Linux|Research|Agile</t>
  </si>
  <si>
    <t>AIJOB1492</t>
  </si>
  <si>
    <t>Distributed Systems|Kubernetes|Cloud|Networking|CUDA|Git|Communication|SQL</t>
  </si>
  <si>
    <t>AIJOB1493</t>
  </si>
  <si>
    <t>Testing|NLP|Documentation|Prompt Design|LLM APIs|Statistics|Agile</t>
  </si>
  <si>
    <t>AIJOB1494</t>
  </si>
  <si>
    <t>ML|Deep Learning|Causal Inference|Python|Leadership|Leadership|Agile|Research</t>
  </si>
  <si>
    <t>AIJOB1495</t>
  </si>
  <si>
    <t>Python|Computer Vision|Control Systems|Cloud|Agile|Linux</t>
  </si>
  <si>
    <t>AIJOB1496</t>
  </si>
  <si>
    <t>Python|Vision-Language Models|Fine-tuning|PyTorch|Research|Problem Solving|Communication</t>
  </si>
  <si>
    <t>AIJOB1497</t>
  </si>
  <si>
    <t>Transformers|Text Processing|LLMs|Hugging Face|SQL|Problem Solving|Agile</t>
  </si>
  <si>
    <t>AIJOB1498</t>
  </si>
  <si>
    <t>Documentation|Risk Management|Legal Knowledge|Linux</t>
  </si>
  <si>
    <t>AIJOB1499</t>
  </si>
  <si>
    <t>LLMs|Hugging Face|Python|Transformers|BERT|Text Processing|Research|Communication</t>
  </si>
  <si>
    <t>AIJOB1500</t>
  </si>
  <si>
    <t>Cybersecurity|ML Security|Red Teaming|Python|Risk Analysis|Research|Problem Solving|SQL</t>
  </si>
  <si>
    <t>Row Labels</t>
  </si>
  <si>
    <t>Grand Total</t>
  </si>
  <si>
    <t>Count of Job_Id</t>
  </si>
  <si>
    <t>Total Jobs</t>
  </si>
  <si>
    <t>Average of Annual_Salary_Usd</t>
  </si>
  <si>
    <t>Average Salary</t>
  </si>
  <si>
    <t>Remote vs Non Remote</t>
  </si>
  <si>
    <t>Job Type</t>
  </si>
  <si>
    <t>%</t>
  </si>
  <si>
    <t>AI /LLM Role VS Non-Ai Role</t>
  </si>
  <si>
    <t>Jobs</t>
  </si>
  <si>
    <t>Average of Demand_Score</t>
  </si>
  <si>
    <t>Average Demand Score</t>
  </si>
  <si>
    <t>Job Category Distribution</t>
  </si>
  <si>
    <t>Experience Level Distribution</t>
  </si>
  <si>
    <t>Average Salary By Job Category</t>
  </si>
  <si>
    <t>AI/LLM JOBS vs NON AI JOBS</t>
  </si>
  <si>
    <t>Remote VS Non Remote Jobs</t>
  </si>
  <si>
    <t>Average of Demand_Growth_Yoy_Pct</t>
  </si>
  <si>
    <t>Average Demand Growth YOY Pct</t>
  </si>
  <si>
    <t>Column Labels</t>
  </si>
  <si>
    <t>Grand total</t>
  </si>
  <si>
    <t>Job Demand by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</si>
</sst>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
  </numFmts>
  <fonts count="3" x14ac:knownFonts="1">
    <font>
      <sz val="11"/>
      <color theme="1"/>
      <name val="Aptos Narrow"/>
      <family val="2"/>
      <scheme val="minor"/>
    </font>
    <font>
      <sz val="11"/>
      <color theme="1"/>
      <name val="Aptos Narrow"/>
      <family val="2"/>
      <scheme val="minor"/>
    </font>
    <font>
      <b/>
      <sz val="11"/>
      <color indexed="8"/>
      <name val="Aptos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2" fillId="0" borderId="0" xfId="0" applyFont="1"/>
    <xf numFmtId="0" fontId="0" fillId="0" borderId="0" xfId="0" pivotButton="1"/>
    <xf numFmtId="0" fontId="0" fillId="0" borderId="0" xfId="0" applyAlignment="1">
      <alignment horizontal="left"/>
    </xf>
    <xf numFmtId="10" fontId="0" fillId="0" borderId="0" xfId="1" applyNumberFormat="1" applyFont="1"/>
    <xf numFmtId="0" fontId="0" fillId="2" borderId="0" xfId="0" applyFill="1"/>
    <xf numFmtId="2" fontId="0" fillId="0" borderId="0" xfId="0" applyNumberFormat="1"/>
    <xf numFmtId="1" fontId="0" fillId="0" borderId="0" xfId="0" applyNumberFormat="1"/>
    <xf numFmtId="164" fontId="0" fillId="0" borderId="0" xfId="0" applyNumberFormat="1"/>
  </cellXfs>
  <cellStyles count="2">
    <cellStyle name="Normal" xfId="0" builtinId="0"/>
    <cellStyle name="Percent" xfId="1" builtinId="5"/>
  </cellStyles>
  <dxfs count="6">
    <dxf>
      <numFmt numFmtId="1" formatCode="0"/>
    </dxf>
    <dxf>
      <numFmt numFmtId="2" formatCode="0.00"/>
    </dxf>
    <dxf>
      <numFmt numFmtId="164" formatCode="&quot;$&quot;\ #,#00"/>
    </dxf>
    <dxf>
      <numFmt numFmtId="2" formatCode="0.00"/>
    </dxf>
    <dxf>
      <font>
        <color theme="6" tint="0.59996337778862885"/>
      </font>
      <fill>
        <patternFill>
          <bgColor theme="0" tint="-0.34998626667073579"/>
        </patternFill>
      </fill>
    </dxf>
    <dxf>
      <font>
        <b/>
        <i val="0"/>
      </font>
      <fill>
        <patternFill>
          <bgColor theme="0" tint="-0.499984740745262"/>
        </patternFill>
      </fill>
      <border diagonalUp="0" diagonalDown="0">
        <left/>
        <right/>
        <top/>
        <bottom/>
        <vertical/>
        <horizontal/>
      </border>
    </dxf>
  </dxfs>
  <tableStyles count="1" defaultTableStyle="TableStyleMedium2" defaultPivotStyle="PivotStyleLight16">
    <tableStyle name="Slicer Style 1" pivot="0" table="0" count="7" xr9:uid="{41A5FD1C-2E9C-4A90-A8BF-0C4FD57C7434}">
      <tableStyleElement type="wholeTable" dxfId="5"/>
      <tableStyleElement type="headerRow" dxfId="4"/>
    </tableStyle>
  </tableStyles>
  <extLst>
    <ext xmlns:x14="http://schemas.microsoft.com/office/spreadsheetml/2009/9/main" uri="{46F421CA-312F-682f-3DD2-61675219B42D}">
      <x14:dxfs count="5">
        <dxf>
          <fill>
            <patternFill>
              <bgColor theme="5" tint="0.39994506668294322"/>
            </patternFill>
          </fill>
        </dxf>
        <dxf>
          <fill>
            <patternFill>
              <bgColor theme="3" tint="0.499984740745262"/>
            </patternFill>
          </fill>
        </dxf>
        <dxf>
          <fill>
            <patternFill>
              <bgColor theme="5" tint="0.39994506668294322"/>
            </patternFill>
          </fill>
        </dxf>
        <dxf>
          <fill>
            <patternFill>
              <bgColor theme="3" tint="0.49998474074526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jobs analytics.xlsx]Charts!PivotTable10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Charts!$L$3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Charts!$K$4:$K$16</c:f>
              <c:strCache>
                <c:ptCount val="12"/>
                <c:pt idx="0">
                  <c:v>AI Engineering</c:v>
                </c:pt>
                <c:pt idx="1">
                  <c:v>Architecture</c:v>
                </c:pt>
                <c:pt idx="2">
                  <c:v>Business</c:v>
                </c:pt>
                <c:pt idx="3">
                  <c:v>Data Engineering</c:v>
                </c:pt>
                <c:pt idx="4">
                  <c:v>Data Science</c:v>
                </c:pt>
                <c:pt idx="5">
                  <c:v>Governance</c:v>
                </c:pt>
                <c:pt idx="6">
                  <c:v>Infrastructure</c:v>
                </c:pt>
                <c:pt idx="7">
                  <c:v>ML Operations</c:v>
                </c:pt>
                <c:pt idx="8">
                  <c:v>Product</c:v>
                </c:pt>
                <c:pt idx="9">
                  <c:v>Research</c:v>
                </c:pt>
                <c:pt idx="10">
                  <c:v>Robotics</c:v>
                </c:pt>
                <c:pt idx="11">
                  <c:v>Security</c:v>
                </c:pt>
              </c:strCache>
            </c:strRef>
          </c:cat>
          <c:val>
            <c:numRef>
              <c:f>Charts!$L$4:$L$16</c:f>
              <c:numCache>
                <c:formatCode>0</c:formatCode>
                <c:ptCount val="12"/>
                <c:pt idx="0">
                  <c:v>207982.33695652173</c:v>
                </c:pt>
                <c:pt idx="1">
                  <c:v>251576.92307692306</c:v>
                </c:pt>
                <c:pt idx="2">
                  <c:v>134145.16129032258</c:v>
                </c:pt>
                <c:pt idx="3">
                  <c:v>176156.86274509804</c:v>
                </c:pt>
                <c:pt idx="4">
                  <c:v>181275.59055118111</c:v>
                </c:pt>
                <c:pt idx="5">
                  <c:v>152516.39344262294</c:v>
                </c:pt>
                <c:pt idx="6">
                  <c:v>203527.27272727274</c:v>
                </c:pt>
                <c:pt idx="7">
                  <c:v>199215.68627450979</c:v>
                </c:pt>
                <c:pt idx="8">
                  <c:v>194571.42857142858</c:v>
                </c:pt>
                <c:pt idx="9">
                  <c:v>192280</c:v>
                </c:pt>
                <c:pt idx="10">
                  <c:v>170851.35135135136</c:v>
                </c:pt>
                <c:pt idx="11">
                  <c:v>200400</c:v>
                </c:pt>
              </c:numCache>
            </c:numRef>
          </c:val>
          <c:extLst>
            <c:ext xmlns:c16="http://schemas.microsoft.com/office/drawing/2014/chart" uri="{C3380CC4-5D6E-409C-BE32-E72D297353CC}">
              <c16:uniqueId val="{00000000-2731-4DCC-B745-D37B64DDF85F}"/>
            </c:ext>
          </c:extLst>
        </c:ser>
        <c:dLbls>
          <c:dLblPos val="outEnd"/>
          <c:showLegendKey val="0"/>
          <c:showVal val="1"/>
          <c:showCatName val="0"/>
          <c:showSerName val="0"/>
          <c:showPercent val="0"/>
          <c:showBubbleSize val="0"/>
        </c:dLbls>
        <c:gapWidth val="182"/>
        <c:axId val="1579516784"/>
        <c:axId val="1579517264"/>
      </c:barChart>
      <c:catAx>
        <c:axId val="1579516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579517264"/>
        <c:crosses val="autoZero"/>
        <c:auto val="1"/>
        <c:lblAlgn val="ctr"/>
        <c:lblOffset val="100"/>
        <c:noMultiLvlLbl val="0"/>
      </c:catAx>
      <c:valAx>
        <c:axId val="1579517264"/>
        <c:scaling>
          <c:orientation val="minMax"/>
        </c:scaling>
        <c:delete val="1"/>
        <c:axPos val="b"/>
        <c:numFmt formatCode="0" sourceLinked="1"/>
        <c:majorTickMark val="out"/>
        <c:minorTickMark val="none"/>
        <c:tickLblPos val="nextTo"/>
        <c:crossAx val="157951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AD1C-49AA-AAD8-A376362656E7}"/>
              </c:ext>
            </c:extLst>
          </c:dPt>
          <c:dPt>
            <c:idx val="1"/>
            <c:bubble3D val="0"/>
            <c:spPr>
              <a:solidFill>
                <a:schemeClr val="accent2"/>
              </a:solidFill>
              <a:ln w="19050">
                <a:noFill/>
              </a:ln>
              <a:effectLst/>
            </c:spPr>
            <c:extLst>
              <c:ext xmlns:c16="http://schemas.microsoft.com/office/drawing/2014/chart" uri="{C3380CC4-5D6E-409C-BE32-E72D297353CC}">
                <c16:uniqueId val="{00000003-AD1C-49AA-AAD8-A376362656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Charts!$D$22:$D$23</c:f>
              <c:strCache>
                <c:ptCount val="2"/>
                <c:pt idx="0">
                  <c:v>AI /LLM Role</c:v>
                </c:pt>
                <c:pt idx="1">
                  <c:v>Non-Ai Role</c:v>
                </c:pt>
              </c:strCache>
            </c:strRef>
          </c:cat>
          <c:val>
            <c:numRef>
              <c:f>Charts!$E$22:$E$23</c:f>
              <c:numCache>
                <c:formatCode>0.00%</c:formatCode>
                <c:ptCount val="2"/>
                <c:pt idx="0">
                  <c:v>0.218</c:v>
                </c:pt>
                <c:pt idx="1">
                  <c:v>0.78200000000000003</c:v>
                </c:pt>
              </c:numCache>
            </c:numRef>
          </c:val>
          <c:extLst>
            <c:ext xmlns:c16="http://schemas.microsoft.com/office/drawing/2014/chart" uri="{C3380CC4-5D6E-409C-BE32-E72D297353CC}">
              <c16:uniqueId val="{00000004-AD1C-49AA-AAD8-A376362656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jobs analytics.xlsx]Charts!PivotTable8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79731558978862"/>
          <c:y val="6.0446022536347142E-2"/>
          <c:w val="0.61903291824204798"/>
          <c:h val="0.81512605042016806"/>
        </c:manualLayout>
      </c:layout>
      <c:barChart>
        <c:barDir val="bar"/>
        <c:grouping val="clustered"/>
        <c:varyColors val="0"/>
        <c:ser>
          <c:idx val="0"/>
          <c:order val="0"/>
          <c:tx>
            <c:strRef>
              <c:f>Charts!$B$3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Charts!$A$4:$A$16</c:f>
              <c:strCache>
                <c:ptCount val="12"/>
                <c:pt idx="0">
                  <c:v>Security</c:v>
                </c:pt>
                <c:pt idx="1">
                  <c:v>Research</c:v>
                </c:pt>
                <c:pt idx="2">
                  <c:v>Data Engineering</c:v>
                </c:pt>
                <c:pt idx="3">
                  <c:v>ML Operations</c:v>
                </c:pt>
                <c:pt idx="4">
                  <c:v>Architecture</c:v>
                </c:pt>
                <c:pt idx="5">
                  <c:v>Infrastructure</c:v>
                </c:pt>
                <c:pt idx="6">
                  <c:v>Business</c:v>
                </c:pt>
                <c:pt idx="7">
                  <c:v>Product</c:v>
                </c:pt>
                <c:pt idx="8">
                  <c:v>Robotics</c:v>
                </c:pt>
                <c:pt idx="9">
                  <c:v>Governance</c:v>
                </c:pt>
                <c:pt idx="10">
                  <c:v>Data Science</c:v>
                </c:pt>
                <c:pt idx="11">
                  <c:v>AI Engineering</c:v>
                </c:pt>
              </c:strCache>
            </c:strRef>
          </c:cat>
          <c:val>
            <c:numRef>
              <c:f>Charts!$B$4:$B$16</c:f>
              <c:numCache>
                <c:formatCode>General</c:formatCode>
                <c:ptCount val="12"/>
                <c:pt idx="0">
                  <c:v>50</c:v>
                </c:pt>
                <c:pt idx="1">
                  <c:v>50</c:v>
                </c:pt>
                <c:pt idx="2">
                  <c:v>51</c:v>
                </c:pt>
                <c:pt idx="3">
                  <c:v>51</c:v>
                </c:pt>
                <c:pt idx="4">
                  <c:v>52</c:v>
                </c:pt>
                <c:pt idx="5">
                  <c:v>55</c:v>
                </c:pt>
                <c:pt idx="6">
                  <c:v>62</c:v>
                </c:pt>
                <c:pt idx="7">
                  <c:v>70</c:v>
                </c:pt>
                <c:pt idx="8">
                  <c:v>74</c:v>
                </c:pt>
                <c:pt idx="9">
                  <c:v>122</c:v>
                </c:pt>
                <c:pt idx="10">
                  <c:v>127</c:v>
                </c:pt>
                <c:pt idx="11">
                  <c:v>736</c:v>
                </c:pt>
              </c:numCache>
            </c:numRef>
          </c:val>
          <c:extLst>
            <c:ext xmlns:c16="http://schemas.microsoft.com/office/drawing/2014/chart" uri="{C3380CC4-5D6E-409C-BE32-E72D297353CC}">
              <c16:uniqueId val="{00000000-52E4-4A57-BCD8-253F9C2E5D69}"/>
            </c:ext>
          </c:extLst>
        </c:ser>
        <c:dLbls>
          <c:dLblPos val="outEnd"/>
          <c:showLegendKey val="0"/>
          <c:showVal val="1"/>
          <c:showCatName val="0"/>
          <c:showSerName val="0"/>
          <c:showPercent val="0"/>
          <c:showBubbleSize val="0"/>
        </c:dLbls>
        <c:gapWidth val="182"/>
        <c:axId val="1579487024"/>
        <c:axId val="1579496144"/>
      </c:barChart>
      <c:catAx>
        <c:axId val="15794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579496144"/>
        <c:crosses val="autoZero"/>
        <c:auto val="1"/>
        <c:lblAlgn val="ctr"/>
        <c:lblOffset val="100"/>
        <c:noMultiLvlLbl val="0"/>
      </c:catAx>
      <c:valAx>
        <c:axId val="1579496144"/>
        <c:scaling>
          <c:orientation val="minMax"/>
        </c:scaling>
        <c:delete val="1"/>
        <c:axPos val="b"/>
        <c:numFmt formatCode="General" sourceLinked="1"/>
        <c:majorTickMark val="none"/>
        <c:minorTickMark val="none"/>
        <c:tickLblPos val="nextTo"/>
        <c:crossAx val="157948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Charts!$H$39</c:f>
              <c:strCache>
                <c:ptCount val="1"/>
                <c:pt idx="0">
                  <c:v>2025</c:v>
                </c:pt>
              </c:strCache>
            </c:strRef>
          </c:tx>
          <c:spPr>
            <a:solidFill>
              <a:schemeClr val="accent3">
                <a:lumMod val="60000"/>
                <a:lumOff val="40000"/>
              </a:schemeClr>
            </a:solidFill>
            <a:ln>
              <a:noFill/>
            </a:ln>
            <a:effectLst/>
          </c:spPr>
          <c:invertIfNegative val="0"/>
          <c:cat>
            <c:strRef>
              <c:f>Charts!$G$40:$G$51</c:f>
              <c:strCache>
                <c:ptCount val="12"/>
                <c:pt idx="0">
                  <c:v>Automotive</c:v>
                </c:pt>
                <c:pt idx="1">
                  <c:v>Consulting</c:v>
                </c:pt>
                <c:pt idx="2">
                  <c:v>Education</c:v>
                </c:pt>
                <c:pt idx="3">
                  <c:v>Energy</c:v>
                </c:pt>
                <c:pt idx="4">
                  <c:v>Finance</c:v>
                </c:pt>
                <c:pt idx="5">
                  <c:v>Government</c:v>
                </c:pt>
                <c:pt idx="6">
                  <c:v>Healthcare</c:v>
                </c:pt>
                <c:pt idx="7">
                  <c:v>Manufacturing</c:v>
                </c:pt>
                <c:pt idx="8">
                  <c:v>Media</c:v>
                </c:pt>
                <c:pt idx="9">
                  <c:v>Research</c:v>
                </c:pt>
                <c:pt idx="10">
                  <c:v>Retail</c:v>
                </c:pt>
                <c:pt idx="11">
                  <c:v>Technology</c:v>
                </c:pt>
              </c:strCache>
            </c:strRef>
          </c:cat>
          <c:val>
            <c:numRef>
              <c:f>Charts!$H$40:$H$51</c:f>
              <c:numCache>
                <c:formatCode>0.00%</c:formatCode>
                <c:ptCount val="12"/>
                <c:pt idx="0">
                  <c:v>0.32013559322033908</c:v>
                </c:pt>
                <c:pt idx="1">
                  <c:v>0.25862499999999999</c:v>
                </c:pt>
                <c:pt idx="2">
                  <c:v>0.33738888888888879</c:v>
                </c:pt>
                <c:pt idx="3">
                  <c:v>0.31895555555555544</c:v>
                </c:pt>
                <c:pt idx="4">
                  <c:v>0.29486538461538464</c:v>
                </c:pt>
                <c:pt idx="5">
                  <c:v>0.31677358490566043</c:v>
                </c:pt>
                <c:pt idx="6">
                  <c:v>0.24856140350877187</c:v>
                </c:pt>
                <c:pt idx="7">
                  <c:v>0.33589583333333328</c:v>
                </c:pt>
                <c:pt idx="8">
                  <c:v>0.27595348837209299</c:v>
                </c:pt>
                <c:pt idx="9">
                  <c:v>0.27848148148148144</c:v>
                </c:pt>
                <c:pt idx="10">
                  <c:v>0.28494339622641512</c:v>
                </c:pt>
                <c:pt idx="11">
                  <c:v>0.28297619047619049</c:v>
                </c:pt>
              </c:numCache>
            </c:numRef>
          </c:val>
          <c:extLst>
            <c:ext xmlns:c16="http://schemas.microsoft.com/office/drawing/2014/chart" uri="{C3380CC4-5D6E-409C-BE32-E72D297353CC}">
              <c16:uniqueId val="{00000000-4CB2-4D34-9896-CDB391F9167B}"/>
            </c:ext>
          </c:extLst>
        </c:ser>
        <c:ser>
          <c:idx val="1"/>
          <c:order val="1"/>
          <c:tx>
            <c:strRef>
              <c:f>Charts!$I$39</c:f>
              <c:strCache>
                <c:ptCount val="1"/>
                <c:pt idx="0">
                  <c:v>2026</c:v>
                </c:pt>
              </c:strCache>
            </c:strRef>
          </c:tx>
          <c:spPr>
            <a:solidFill>
              <a:schemeClr val="accent2"/>
            </a:solidFill>
            <a:ln>
              <a:noFill/>
            </a:ln>
            <a:effectLst/>
          </c:spPr>
          <c:invertIfNegative val="0"/>
          <c:cat>
            <c:strRef>
              <c:f>Charts!$G$40:$G$51</c:f>
              <c:strCache>
                <c:ptCount val="12"/>
                <c:pt idx="0">
                  <c:v>Automotive</c:v>
                </c:pt>
                <c:pt idx="1">
                  <c:v>Consulting</c:v>
                </c:pt>
                <c:pt idx="2">
                  <c:v>Education</c:v>
                </c:pt>
                <c:pt idx="3">
                  <c:v>Energy</c:v>
                </c:pt>
                <c:pt idx="4">
                  <c:v>Finance</c:v>
                </c:pt>
                <c:pt idx="5">
                  <c:v>Government</c:v>
                </c:pt>
                <c:pt idx="6">
                  <c:v>Healthcare</c:v>
                </c:pt>
                <c:pt idx="7">
                  <c:v>Manufacturing</c:v>
                </c:pt>
                <c:pt idx="8">
                  <c:v>Media</c:v>
                </c:pt>
                <c:pt idx="9">
                  <c:v>Research</c:v>
                </c:pt>
                <c:pt idx="10">
                  <c:v>Retail</c:v>
                </c:pt>
                <c:pt idx="11">
                  <c:v>Technology</c:v>
                </c:pt>
              </c:strCache>
            </c:strRef>
          </c:cat>
          <c:val>
            <c:numRef>
              <c:f>Charts!$I$40:$I$51</c:f>
              <c:numCache>
                <c:formatCode>0.00%</c:formatCode>
                <c:ptCount val="12"/>
                <c:pt idx="0">
                  <c:v>0.3094050632911392</c:v>
                </c:pt>
                <c:pt idx="1">
                  <c:v>0.26170967741935486</c:v>
                </c:pt>
                <c:pt idx="2">
                  <c:v>0.31601515151515142</c:v>
                </c:pt>
                <c:pt idx="3">
                  <c:v>0.3446823529411765</c:v>
                </c:pt>
                <c:pt idx="4">
                  <c:v>0.34524050632911413</c:v>
                </c:pt>
                <c:pt idx="5">
                  <c:v>0.36391566265060232</c:v>
                </c:pt>
                <c:pt idx="6">
                  <c:v>0.29172839506172837</c:v>
                </c:pt>
                <c:pt idx="7">
                  <c:v>0.29309090909090912</c:v>
                </c:pt>
                <c:pt idx="8">
                  <c:v>0.33027272727272705</c:v>
                </c:pt>
                <c:pt idx="9">
                  <c:v>0.36125000000000007</c:v>
                </c:pt>
                <c:pt idx="10">
                  <c:v>0.30478205128205116</c:v>
                </c:pt>
                <c:pt idx="11">
                  <c:v>0.33934375000000006</c:v>
                </c:pt>
              </c:numCache>
            </c:numRef>
          </c:val>
          <c:extLst>
            <c:ext xmlns:c16="http://schemas.microsoft.com/office/drawing/2014/chart" uri="{C3380CC4-5D6E-409C-BE32-E72D297353CC}">
              <c16:uniqueId val="{00000001-4CB2-4D34-9896-CDB391F9167B}"/>
            </c:ext>
          </c:extLst>
        </c:ser>
        <c:dLbls>
          <c:showLegendKey val="0"/>
          <c:showVal val="0"/>
          <c:showCatName val="0"/>
          <c:showSerName val="0"/>
          <c:showPercent val="0"/>
          <c:showBubbleSize val="0"/>
        </c:dLbls>
        <c:gapWidth val="219"/>
        <c:overlap val="-27"/>
        <c:axId val="1778452912"/>
        <c:axId val="1778451952"/>
      </c:barChart>
      <c:catAx>
        <c:axId val="177845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778451952"/>
        <c:crosses val="autoZero"/>
        <c:auto val="1"/>
        <c:lblAlgn val="ctr"/>
        <c:lblOffset val="100"/>
        <c:noMultiLvlLbl val="0"/>
      </c:catAx>
      <c:valAx>
        <c:axId val="17784519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778452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002060"/>
              </a:solidFill>
              <a:ln w="19050">
                <a:noFill/>
              </a:ln>
              <a:effectLst/>
            </c:spPr>
            <c:extLst>
              <c:ext xmlns:c16="http://schemas.microsoft.com/office/drawing/2014/chart" uri="{C3380CC4-5D6E-409C-BE32-E72D297353CC}">
                <c16:uniqueId val="{00000001-5A5C-4CEF-9451-6C991AE74F02}"/>
              </c:ext>
            </c:extLst>
          </c:dPt>
          <c:dPt>
            <c:idx val="1"/>
            <c:bubble3D val="0"/>
            <c:spPr>
              <a:solidFill>
                <a:srgbClr val="FFC000"/>
              </a:solidFill>
              <a:ln w="19050">
                <a:noFill/>
              </a:ln>
              <a:effectLst/>
            </c:spPr>
            <c:extLst>
              <c:ext xmlns:c16="http://schemas.microsoft.com/office/drawing/2014/chart" uri="{C3380CC4-5D6E-409C-BE32-E72D297353CC}">
                <c16:uniqueId val="{00000003-5A5C-4CEF-9451-6C991AE74F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Charts!$K$22:$K$23</c:f>
              <c:strCache>
                <c:ptCount val="2"/>
                <c:pt idx="0">
                  <c:v>Non-Remote</c:v>
                </c:pt>
                <c:pt idx="1">
                  <c:v>Remote</c:v>
                </c:pt>
              </c:strCache>
            </c:strRef>
          </c:cat>
          <c:val>
            <c:numRef>
              <c:f>Charts!$L$22:$L$23</c:f>
              <c:numCache>
                <c:formatCode>0.00%</c:formatCode>
                <c:ptCount val="2"/>
                <c:pt idx="0">
                  <c:v>0.246</c:v>
                </c:pt>
                <c:pt idx="1">
                  <c:v>0.754</c:v>
                </c:pt>
              </c:numCache>
            </c:numRef>
          </c:val>
          <c:extLst>
            <c:ext xmlns:c16="http://schemas.microsoft.com/office/drawing/2014/chart" uri="{C3380CC4-5D6E-409C-BE32-E72D297353CC}">
              <c16:uniqueId val="{00000004-5A5C-4CEF-9451-6C991AE74F0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jobs analytics.xlsx]Charts!PivotTable18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Charts!$B$57</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Charts!$A$58:$A$70</c:f>
              <c:strCache>
                <c:ptCount val="12"/>
                <c:pt idx="0">
                  <c:v>Automotive</c:v>
                </c:pt>
                <c:pt idx="1">
                  <c:v>Consulting</c:v>
                </c:pt>
                <c:pt idx="2">
                  <c:v>Education</c:v>
                </c:pt>
                <c:pt idx="3">
                  <c:v>Energy</c:v>
                </c:pt>
                <c:pt idx="4">
                  <c:v>Finance</c:v>
                </c:pt>
                <c:pt idx="5">
                  <c:v>Government</c:v>
                </c:pt>
                <c:pt idx="6">
                  <c:v>Healthcare</c:v>
                </c:pt>
                <c:pt idx="7">
                  <c:v>Manufacturing</c:v>
                </c:pt>
                <c:pt idx="8">
                  <c:v>Media</c:v>
                </c:pt>
                <c:pt idx="9">
                  <c:v>Research</c:v>
                </c:pt>
                <c:pt idx="10">
                  <c:v>Retail</c:v>
                </c:pt>
                <c:pt idx="11">
                  <c:v>Technology</c:v>
                </c:pt>
              </c:strCache>
            </c:strRef>
          </c:cat>
          <c:val>
            <c:numRef>
              <c:f>Charts!$B$58:$B$70</c:f>
              <c:numCache>
                <c:formatCode>General</c:formatCode>
                <c:ptCount val="12"/>
                <c:pt idx="0">
                  <c:v>138</c:v>
                </c:pt>
                <c:pt idx="1">
                  <c:v>126</c:v>
                </c:pt>
                <c:pt idx="2">
                  <c:v>120</c:v>
                </c:pt>
                <c:pt idx="3">
                  <c:v>130</c:v>
                </c:pt>
                <c:pt idx="4">
                  <c:v>131</c:v>
                </c:pt>
                <c:pt idx="5">
                  <c:v>136</c:v>
                </c:pt>
                <c:pt idx="6">
                  <c:v>138</c:v>
                </c:pt>
                <c:pt idx="7">
                  <c:v>114</c:v>
                </c:pt>
                <c:pt idx="8">
                  <c:v>120</c:v>
                </c:pt>
                <c:pt idx="9">
                  <c:v>110</c:v>
                </c:pt>
                <c:pt idx="10">
                  <c:v>131</c:v>
                </c:pt>
                <c:pt idx="11">
                  <c:v>106</c:v>
                </c:pt>
              </c:numCache>
            </c:numRef>
          </c:val>
          <c:extLst>
            <c:ext xmlns:c16="http://schemas.microsoft.com/office/drawing/2014/chart" uri="{C3380CC4-5D6E-409C-BE32-E72D297353CC}">
              <c16:uniqueId val="{00000000-B5F0-465E-9075-F4F05F2DB90E}"/>
            </c:ext>
          </c:extLst>
        </c:ser>
        <c:dLbls>
          <c:dLblPos val="outEnd"/>
          <c:showLegendKey val="0"/>
          <c:showVal val="1"/>
          <c:showCatName val="0"/>
          <c:showSerName val="0"/>
          <c:showPercent val="0"/>
          <c:showBubbleSize val="0"/>
        </c:dLbls>
        <c:gapWidth val="182"/>
        <c:axId val="1762169440"/>
        <c:axId val="1762174240"/>
      </c:barChart>
      <c:catAx>
        <c:axId val="176216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762174240"/>
        <c:crosses val="autoZero"/>
        <c:auto val="1"/>
        <c:lblAlgn val="ctr"/>
        <c:lblOffset val="100"/>
        <c:noMultiLvlLbl val="0"/>
      </c:catAx>
      <c:valAx>
        <c:axId val="1762174240"/>
        <c:scaling>
          <c:orientation val="minMax"/>
        </c:scaling>
        <c:delete val="1"/>
        <c:axPos val="b"/>
        <c:numFmt formatCode="General" sourceLinked="1"/>
        <c:majorTickMark val="none"/>
        <c:minorTickMark val="none"/>
        <c:tickLblPos val="nextTo"/>
        <c:crossAx val="176216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jobs analytics.xlsx]Charts!PivotTable8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Charts!$A$4:$A$16</c:f>
              <c:strCache>
                <c:ptCount val="12"/>
                <c:pt idx="0">
                  <c:v>Security</c:v>
                </c:pt>
                <c:pt idx="1">
                  <c:v>Research</c:v>
                </c:pt>
                <c:pt idx="2">
                  <c:v>Data Engineering</c:v>
                </c:pt>
                <c:pt idx="3">
                  <c:v>ML Operations</c:v>
                </c:pt>
                <c:pt idx="4">
                  <c:v>Architecture</c:v>
                </c:pt>
                <c:pt idx="5">
                  <c:v>Infrastructure</c:v>
                </c:pt>
                <c:pt idx="6">
                  <c:v>Business</c:v>
                </c:pt>
                <c:pt idx="7">
                  <c:v>Product</c:v>
                </c:pt>
                <c:pt idx="8">
                  <c:v>Robotics</c:v>
                </c:pt>
                <c:pt idx="9">
                  <c:v>Governance</c:v>
                </c:pt>
                <c:pt idx="10">
                  <c:v>Data Science</c:v>
                </c:pt>
                <c:pt idx="11">
                  <c:v>AI Engineering</c:v>
                </c:pt>
              </c:strCache>
            </c:strRef>
          </c:cat>
          <c:val>
            <c:numRef>
              <c:f>Charts!$B$4:$B$16</c:f>
              <c:numCache>
                <c:formatCode>General</c:formatCode>
                <c:ptCount val="12"/>
                <c:pt idx="0">
                  <c:v>50</c:v>
                </c:pt>
                <c:pt idx="1">
                  <c:v>50</c:v>
                </c:pt>
                <c:pt idx="2">
                  <c:v>51</c:v>
                </c:pt>
                <c:pt idx="3">
                  <c:v>51</c:v>
                </c:pt>
                <c:pt idx="4">
                  <c:v>52</c:v>
                </c:pt>
                <c:pt idx="5">
                  <c:v>55</c:v>
                </c:pt>
                <c:pt idx="6">
                  <c:v>62</c:v>
                </c:pt>
                <c:pt idx="7">
                  <c:v>70</c:v>
                </c:pt>
                <c:pt idx="8">
                  <c:v>74</c:v>
                </c:pt>
                <c:pt idx="9">
                  <c:v>122</c:v>
                </c:pt>
                <c:pt idx="10">
                  <c:v>127</c:v>
                </c:pt>
                <c:pt idx="11">
                  <c:v>736</c:v>
                </c:pt>
              </c:numCache>
            </c:numRef>
          </c:val>
          <c:extLst>
            <c:ext xmlns:c16="http://schemas.microsoft.com/office/drawing/2014/chart" uri="{C3380CC4-5D6E-409C-BE32-E72D297353CC}">
              <c16:uniqueId val="{00000000-AB2B-4AE7-AA2C-50B48338C10F}"/>
            </c:ext>
          </c:extLst>
        </c:ser>
        <c:dLbls>
          <c:dLblPos val="outEnd"/>
          <c:showLegendKey val="0"/>
          <c:showVal val="1"/>
          <c:showCatName val="0"/>
          <c:showSerName val="0"/>
          <c:showPercent val="0"/>
          <c:showBubbleSize val="0"/>
        </c:dLbls>
        <c:gapWidth val="182"/>
        <c:axId val="1579487024"/>
        <c:axId val="1579496144"/>
      </c:barChart>
      <c:catAx>
        <c:axId val="15794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496144"/>
        <c:crosses val="autoZero"/>
        <c:auto val="1"/>
        <c:lblAlgn val="ctr"/>
        <c:lblOffset val="100"/>
        <c:noMultiLvlLbl val="0"/>
      </c:catAx>
      <c:valAx>
        <c:axId val="1579496144"/>
        <c:scaling>
          <c:orientation val="minMax"/>
        </c:scaling>
        <c:delete val="1"/>
        <c:axPos val="b"/>
        <c:numFmt formatCode="General" sourceLinked="1"/>
        <c:majorTickMark val="none"/>
        <c:minorTickMark val="none"/>
        <c:tickLblPos val="nextTo"/>
        <c:crossAx val="157948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jobs analytics.xlsx]Charts!PivotTable10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Charts!$L$3</c:f>
              <c:strCache>
                <c:ptCount val="1"/>
                <c:pt idx="0">
                  <c:v>Total</c:v>
                </c:pt>
              </c:strCache>
            </c:strRef>
          </c:tx>
          <c:spPr>
            <a:solidFill>
              <a:schemeClr val="accent1"/>
            </a:solidFill>
            <a:ln>
              <a:noFill/>
            </a:ln>
            <a:effectLst/>
          </c:spPr>
          <c:invertIfNegative val="0"/>
          <c:cat>
            <c:strRef>
              <c:f>Charts!$K$4:$K$16</c:f>
              <c:strCache>
                <c:ptCount val="12"/>
                <c:pt idx="0">
                  <c:v>AI Engineering</c:v>
                </c:pt>
                <c:pt idx="1">
                  <c:v>Architecture</c:v>
                </c:pt>
                <c:pt idx="2">
                  <c:v>Business</c:v>
                </c:pt>
                <c:pt idx="3">
                  <c:v>Data Engineering</c:v>
                </c:pt>
                <c:pt idx="4">
                  <c:v>Data Science</c:v>
                </c:pt>
                <c:pt idx="5">
                  <c:v>Governance</c:v>
                </c:pt>
                <c:pt idx="6">
                  <c:v>Infrastructure</c:v>
                </c:pt>
                <c:pt idx="7">
                  <c:v>ML Operations</c:v>
                </c:pt>
                <c:pt idx="8">
                  <c:v>Product</c:v>
                </c:pt>
                <c:pt idx="9">
                  <c:v>Research</c:v>
                </c:pt>
                <c:pt idx="10">
                  <c:v>Robotics</c:v>
                </c:pt>
                <c:pt idx="11">
                  <c:v>Security</c:v>
                </c:pt>
              </c:strCache>
            </c:strRef>
          </c:cat>
          <c:val>
            <c:numRef>
              <c:f>Charts!$L$4:$L$16</c:f>
              <c:numCache>
                <c:formatCode>0</c:formatCode>
                <c:ptCount val="12"/>
                <c:pt idx="0">
                  <c:v>207982.33695652173</c:v>
                </c:pt>
                <c:pt idx="1">
                  <c:v>251576.92307692306</c:v>
                </c:pt>
                <c:pt idx="2">
                  <c:v>134145.16129032258</c:v>
                </c:pt>
                <c:pt idx="3">
                  <c:v>176156.86274509804</c:v>
                </c:pt>
                <c:pt idx="4">
                  <c:v>181275.59055118111</c:v>
                </c:pt>
                <c:pt idx="5">
                  <c:v>152516.39344262294</c:v>
                </c:pt>
                <c:pt idx="6">
                  <c:v>203527.27272727274</c:v>
                </c:pt>
                <c:pt idx="7">
                  <c:v>199215.68627450979</c:v>
                </c:pt>
                <c:pt idx="8">
                  <c:v>194571.42857142858</c:v>
                </c:pt>
                <c:pt idx="9">
                  <c:v>192280</c:v>
                </c:pt>
                <c:pt idx="10">
                  <c:v>170851.35135135136</c:v>
                </c:pt>
                <c:pt idx="11">
                  <c:v>200400</c:v>
                </c:pt>
              </c:numCache>
            </c:numRef>
          </c:val>
          <c:extLst>
            <c:ext xmlns:c16="http://schemas.microsoft.com/office/drawing/2014/chart" uri="{C3380CC4-5D6E-409C-BE32-E72D297353CC}">
              <c16:uniqueId val="{00000000-FBF0-4432-B881-0D9CDD40BFDD}"/>
            </c:ext>
          </c:extLst>
        </c:ser>
        <c:dLbls>
          <c:showLegendKey val="0"/>
          <c:showVal val="0"/>
          <c:showCatName val="0"/>
          <c:showSerName val="0"/>
          <c:showPercent val="0"/>
          <c:showBubbleSize val="0"/>
        </c:dLbls>
        <c:gapWidth val="182"/>
        <c:axId val="1579516784"/>
        <c:axId val="1579517264"/>
      </c:barChart>
      <c:catAx>
        <c:axId val="157951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17264"/>
        <c:crosses val="autoZero"/>
        <c:auto val="1"/>
        <c:lblAlgn val="ctr"/>
        <c:lblOffset val="100"/>
        <c:noMultiLvlLbl val="0"/>
      </c:catAx>
      <c:valAx>
        <c:axId val="15795172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1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04-4750-B1FB-D3FD3A856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04-4750-B1FB-D3FD3A8566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Charts!$D$22:$D$23</c:f>
              <c:strCache>
                <c:ptCount val="2"/>
                <c:pt idx="0">
                  <c:v>AI /LLM Role</c:v>
                </c:pt>
                <c:pt idx="1">
                  <c:v>Non-Ai Role</c:v>
                </c:pt>
              </c:strCache>
            </c:strRef>
          </c:cat>
          <c:val>
            <c:numRef>
              <c:f>Charts!$E$22:$E$23</c:f>
              <c:numCache>
                <c:formatCode>0.00%</c:formatCode>
                <c:ptCount val="2"/>
                <c:pt idx="0">
                  <c:v>0.218</c:v>
                </c:pt>
                <c:pt idx="1">
                  <c:v>0.78200000000000003</c:v>
                </c:pt>
              </c:numCache>
            </c:numRef>
          </c:val>
          <c:extLst>
            <c:ext xmlns:c16="http://schemas.microsoft.com/office/drawing/2014/chart" uri="{C3380CC4-5D6E-409C-BE32-E72D297353CC}">
              <c16:uniqueId val="{00000000-7186-4C72-8CF0-3C0F07BC48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94-44CE-AD3E-B16D8B2F81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94-44CE-AD3E-B16D8B2F81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Charts!$K$22:$K$23</c:f>
              <c:strCache>
                <c:ptCount val="2"/>
                <c:pt idx="0">
                  <c:v>Non-Remote</c:v>
                </c:pt>
                <c:pt idx="1">
                  <c:v>Remote</c:v>
                </c:pt>
              </c:strCache>
            </c:strRef>
          </c:cat>
          <c:val>
            <c:numRef>
              <c:f>Charts!$L$22:$L$23</c:f>
              <c:numCache>
                <c:formatCode>0.00%</c:formatCode>
                <c:ptCount val="2"/>
                <c:pt idx="0">
                  <c:v>0.246</c:v>
                </c:pt>
                <c:pt idx="1">
                  <c:v>0.754</c:v>
                </c:pt>
              </c:numCache>
            </c:numRef>
          </c:val>
          <c:extLst>
            <c:ext xmlns:c16="http://schemas.microsoft.com/office/drawing/2014/chart" uri="{C3380CC4-5D6E-409C-BE32-E72D297353CC}">
              <c16:uniqueId val="{00000000-0046-4AB8-8E2C-F9A58177E39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Charts!$H$39</c:f>
              <c:strCache>
                <c:ptCount val="1"/>
                <c:pt idx="0">
                  <c:v>2025</c:v>
                </c:pt>
              </c:strCache>
            </c:strRef>
          </c:tx>
          <c:spPr>
            <a:solidFill>
              <a:schemeClr val="accent1"/>
            </a:solidFill>
            <a:ln>
              <a:noFill/>
            </a:ln>
            <a:effectLst/>
          </c:spPr>
          <c:invertIfNegative val="0"/>
          <c:cat>
            <c:strRef>
              <c:f>Charts!$G$40:$G$51</c:f>
              <c:strCache>
                <c:ptCount val="12"/>
                <c:pt idx="0">
                  <c:v>Automotive</c:v>
                </c:pt>
                <c:pt idx="1">
                  <c:v>Consulting</c:v>
                </c:pt>
                <c:pt idx="2">
                  <c:v>Education</c:v>
                </c:pt>
                <c:pt idx="3">
                  <c:v>Energy</c:v>
                </c:pt>
                <c:pt idx="4">
                  <c:v>Finance</c:v>
                </c:pt>
                <c:pt idx="5">
                  <c:v>Government</c:v>
                </c:pt>
                <c:pt idx="6">
                  <c:v>Healthcare</c:v>
                </c:pt>
                <c:pt idx="7">
                  <c:v>Manufacturing</c:v>
                </c:pt>
                <c:pt idx="8">
                  <c:v>Media</c:v>
                </c:pt>
                <c:pt idx="9">
                  <c:v>Research</c:v>
                </c:pt>
                <c:pt idx="10">
                  <c:v>Retail</c:v>
                </c:pt>
                <c:pt idx="11">
                  <c:v>Technology</c:v>
                </c:pt>
              </c:strCache>
            </c:strRef>
          </c:cat>
          <c:val>
            <c:numRef>
              <c:f>Charts!$H$40:$H$51</c:f>
              <c:numCache>
                <c:formatCode>0.00%</c:formatCode>
                <c:ptCount val="12"/>
                <c:pt idx="0">
                  <c:v>0.32013559322033908</c:v>
                </c:pt>
                <c:pt idx="1">
                  <c:v>0.25862499999999999</c:v>
                </c:pt>
                <c:pt idx="2">
                  <c:v>0.33738888888888879</c:v>
                </c:pt>
                <c:pt idx="3">
                  <c:v>0.31895555555555544</c:v>
                </c:pt>
                <c:pt idx="4">
                  <c:v>0.29486538461538464</c:v>
                </c:pt>
                <c:pt idx="5">
                  <c:v>0.31677358490566043</c:v>
                </c:pt>
                <c:pt idx="6">
                  <c:v>0.24856140350877187</c:v>
                </c:pt>
                <c:pt idx="7">
                  <c:v>0.33589583333333328</c:v>
                </c:pt>
                <c:pt idx="8">
                  <c:v>0.27595348837209299</c:v>
                </c:pt>
                <c:pt idx="9">
                  <c:v>0.27848148148148144</c:v>
                </c:pt>
                <c:pt idx="10">
                  <c:v>0.28494339622641512</c:v>
                </c:pt>
                <c:pt idx="11">
                  <c:v>0.28297619047619049</c:v>
                </c:pt>
              </c:numCache>
            </c:numRef>
          </c:val>
          <c:extLst>
            <c:ext xmlns:c16="http://schemas.microsoft.com/office/drawing/2014/chart" uri="{C3380CC4-5D6E-409C-BE32-E72D297353CC}">
              <c16:uniqueId val="{00000000-F2D5-45C9-B70C-F443E26427DD}"/>
            </c:ext>
          </c:extLst>
        </c:ser>
        <c:ser>
          <c:idx val="1"/>
          <c:order val="1"/>
          <c:tx>
            <c:strRef>
              <c:f>Charts!$I$39</c:f>
              <c:strCache>
                <c:ptCount val="1"/>
                <c:pt idx="0">
                  <c:v>2026</c:v>
                </c:pt>
              </c:strCache>
            </c:strRef>
          </c:tx>
          <c:spPr>
            <a:solidFill>
              <a:schemeClr val="accent2"/>
            </a:solidFill>
            <a:ln>
              <a:noFill/>
            </a:ln>
            <a:effectLst/>
          </c:spPr>
          <c:invertIfNegative val="0"/>
          <c:cat>
            <c:strRef>
              <c:f>Charts!$G$40:$G$51</c:f>
              <c:strCache>
                <c:ptCount val="12"/>
                <c:pt idx="0">
                  <c:v>Automotive</c:v>
                </c:pt>
                <c:pt idx="1">
                  <c:v>Consulting</c:v>
                </c:pt>
                <c:pt idx="2">
                  <c:v>Education</c:v>
                </c:pt>
                <c:pt idx="3">
                  <c:v>Energy</c:v>
                </c:pt>
                <c:pt idx="4">
                  <c:v>Finance</c:v>
                </c:pt>
                <c:pt idx="5">
                  <c:v>Government</c:v>
                </c:pt>
                <c:pt idx="6">
                  <c:v>Healthcare</c:v>
                </c:pt>
                <c:pt idx="7">
                  <c:v>Manufacturing</c:v>
                </c:pt>
                <c:pt idx="8">
                  <c:v>Media</c:v>
                </c:pt>
                <c:pt idx="9">
                  <c:v>Research</c:v>
                </c:pt>
                <c:pt idx="10">
                  <c:v>Retail</c:v>
                </c:pt>
                <c:pt idx="11">
                  <c:v>Technology</c:v>
                </c:pt>
              </c:strCache>
            </c:strRef>
          </c:cat>
          <c:val>
            <c:numRef>
              <c:f>Charts!$I$40:$I$51</c:f>
              <c:numCache>
                <c:formatCode>0.00%</c:formatCode>
                <c:ptCount val="12"/>
                <c:pt idx="0">
                  <c:v>0.3094050632911392</c:v>
                </c:pt>
                <c:pt idx="1">
                  <c:v>0.26170967741935486</c:v>
                </c:pt>
                <c:pt idx="2">
                  <c:v>0.31601515151515142</c:v>
                </c:pt>
                <c:pt idx="3">
                  <c:v>0.3446823529411765</c:v>
                </c:pt>
                <c:pt idx="4">
                  <c:v>0.34524050632911413</c:v>
                </c:pt>
                <c:pt idx="5">
                  <c:v>0.36391566265060232</c:v>
                </c:pt>
                <c:pt idx="6">
                  <c:v>0.29172839506172837</c:v>
                </c:pt>
                <c:pt idx="7">
                  <c:v>0.29309090909090912</c:v>
                </c:pt>
                <c:pt idx="8">
                  <c:v>0.33027272727272705</c:v>
                </c:pt>
                <c:pt idx="9">
                  <c:v>0.36125000000000007</c:v>
                </c:pt>
                <c:pt idx="10">
                  <c:v>0.30478205128205116</c:v>
                </c:pt>
                <c:pt idx="11">
                  <c:v>0.33934375000000006</c:v>
                </c:pt>
              </c:numCache>
            </c:numRef>
          </c:val>
          <c:extLst>
            <c:ext xmlns:c16="http://schemas.microsoft.com/office/drawing/2014/chart" uri="{C3380CC4-5D6E-409C-BE32-E72D297353CC}">
              <c16:uniqueId val="{00000001-F2D5-45C9-B70C-F443E26427DD}"/>
            </c:ext>
          </c:extLst>
        </c:ser>
        <c:dLbls>
          <c:showLegendKey val="0"/>
          <c:showVal val="0"/>
          <c:showCatName val="0"/>
          <c:showSerName val="0"/>
          <c:showPercent val="0"/>
          <c:showBubbleSize val="0"/>
        </c:dLbls>
        <c:gapWidth val="219"/>
        <c:overlap val="-27"/>
        <c:axId val="1778452912"/>
        <c:axId val="1778451952"/>
      </c:barChart>
      <c:catAx>
        <c:axId val="177845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451952"/>
        <c:crosses val="autoZero"/>
        <c:auto val="1"/>
        <c:lblAlgn val="ctr"/>
        <c:lblOffset val="100"/>
        <c:noMultiLvlLbl val="0"/>
      </c:catAx>
      <c:valAx>
        <c:axId val="17784519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452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jobs analytics.xlsx]Charts!PivotTable18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Charts!$A$58:$A$70</c:f>
              <c:strCache>
                <c:ptCount val="12"/>
                <c:pt idx="0">
                  <c:v>Automotive</c:v>
                </c:pt>
                <c:pt idx="1">
                  <c:v>Consulting</c:v>
                </c:pt>
                <c:pt idx="2">
                  <c:v>Education</c:v>
                </c:pt>
                <c:pt idx="3">
                  <c:v>Energy</c:v>
                </c:pt>
                <c:pt idx="4">
                  <c:v>Finance</c:v>
                </c:pt>
                <c:pt idx="5">
                  <c:v>Government</c:v>
                </c:pt>
                <c:pt idx="6">
                  <c:v>Healthcare</c:v>
                </c:pt>
                <c:pt idx="7">
                  <c:v>Manufacturing</c:v>
                </c:pt>
                <c:pt idx="8">
                  <c:v>Media</c:v>
                </c:pt>
                <c:pt idx="9">
                  <c:v>Research</c:v>
                </c:pt>
                <c:pt idx="10">
                  <c:v>Retail</c:v>
                </c:pt>
                <c:pt idx="11">
                  <c:v>Technology</c:v>
                </c:pt>
              </c:strCache>
            </c:strRef>
          </c:cat>
          <c:val>
            <c:numRef>
              <c:f>Charts!$B$58:$B$70</c:f>
              <c:numCache>
                <c:formatCode>General</c:formatCode>
                <c:ptCount val="12"/>
                <c:pt idx="0">
                  <c:v>138</c:v>
                </c:pt>
                <c:pt idx="1">
                  <c:v>126</c:v>
                </c:pt>
                <c:pt idx="2">
                  <c:v>120</c:v>
                </c:pt>
                <c:pt idx="3">
                  <c:v>130</c:v>
                </c:pt>
                <c:pt idx="4">
                  <c:v>131</c:v>
                </c:pt>
                <c:pt idx="5">
                  <c:v>136</c:v>
                </c:pt>
                <c:pt idx="6">
                  <c:v>138</c:v>
                </c:pt>
                <c:pt idx="7">
                  <c:v>114</c:v>
                </c:pt>
                <c:pt idx="8">
                  <c:v>120</c:v>
                </c:pt>
                <c:pt idx="9">
                  <c:v>110</c:v>
                </c:pt>
                <c:pt idx="10">
                  <c:v>131</c:v>
                </c:pt>
                <c:pt idx="11">
                  <c:v>106</c:v>
                </c:pt>
              </c:numCache>
            </c:numRef>
          </c:val>
          <c:extLst>
            <c:ext xmlns:c16="http://schemas.microsoft.com/office/drawing/2014/chart" uri="{C3380CC4-5D6E-409C-BE32-E72D297353CC}">
              <c16:uniqueId val="{00000000-B613-4C78-8AFA-BB68A2957074}"/>
            </c:ext>
          </c:extLst>
        </c:ser>
        <c:dLbls>
          <c:dLblPos val="outEnd"/>
          <c:showLegendKey val="0"/>
          <c:showVal val="1"/>
          <c:showCatName val="0"/>
          <c:showSerName val="0"/>
          <c:showPercent val="0"/>
          <c:showBubbleSize val="0"/>
        </c:dLbls>
        <c:gapWidth val="182"/>
        <c:axId val="1762169440"/>
        <c:axId val="1762174240"/>
      </c:barChart>
      <c:catAx>
        <c:axId val="176216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174240"/>
        <c:crosses val="autoZero"/>
        <c:auto val="1"/>
        <c:lblAlgn val="ctr"/>
        <c:lblOffset val="100"/>
        <c:noMultiLvlLbl val="0"/>
      </c:catAx>
      <c:valAx>
        <c:axId val="1762174240"/>
        <c:scaling>
          <c:orientation val="minMax"/>
        </c:scaling>
        <c:delete val="1"/>
        <c:axPos val="b"/>
        <c:numFmt formatCode="General" sourceLinked="1"/>
        <c:majorTickMark val="none"/>
        <c:minorTickMark val="none"/>
        <c:tickLblPos val="nextTo"/>
        <c:crossAx val="176216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45357</xdr:colOff>
      <xdr:row>0</xdr:row>
      <xdr:rowOff>172358</xdr:rowOff>
    </xdr:from>
    <xdr:to>
      <xdr:col>18</xdr:col>
      <xdr:colOff>451184</xdr:colOff>
      <xdr:row>3</xdr:row>
      <xdr:rowOff>166915</xdr:rowOff>
    </xdr:to>
    <xdr:sp macro="" textlink="">
      <xdr:nvSpPr>
        <xdr:cNvPr id="38" name="Rectangle: Rounded Corners 2">
          <a:extLst>
            <a:ext uri="{FF2B5EF4-FFF2-40B4-BE49-F238E27FC236}">
              <a16:creationId xmlns:a16="http://schemas.microsoft.com/office/drawing/2014/main" id="{B9F71898-A120-438C-8E0C-056E1CA5F558}"/>
            </a:ext>
          </a:extLst>
        </xdr:cNvPr>
        <xdr:cNvSpPr>
          <a:spLocks noChangeArrowheads="1"/>
        </xdr:cNvSpPr>
      </xdr:nvSpPr>
      <xdr:spPr bwMode="auto">
        <a:xfrm>
          <a:off x="45357" y="172358"/>
          <a:ext cx="11384643" cy="546004"/>
        </a:xfrm>
        <a:prstGeom prst="roundRect">
          <a:avLst>
            <a:gd name="adj" fmla="val 16667"/>
          </a:avLst>
        </a:pr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txBody>
        <a:bodyPr vertOverflow="clip" wrap="square" lIns="109728" tIns="82296" rIns="109728" bIns="82296" anchor="ctr" upright="1"/>
        <a:lstStyle/>
        <a:p>
          <a:pPr algn="ctr" rtl="0">
            <a:defRPr sz="1000"/>
          </a:pPr>
          <a:r>
            <a:rPr lang="en-IN" sz="3600" b="1" i="0" u="none" strike="noStrike" baseline="0">
              <a:solidFill>
                <a:srgbClr val="FFFFFF"/>
              </a:solidFill>
              <a:latin typeface="Cambria"/>
              <a:ea typeface="Cambria"/>
            </a:rPr>
            <a:t>AI Jobs Analytics Dashboard</a:t>
          </a:r>
        </a:p>
      </xdr:txBody>
    </xdr:sp>
    <xdr:clientData/>
  </xdr:twoCellAnchor>
  <xdr:twoCellAnchor>
    <xdr:from>
      <xdr:col>0</xdr:col>
      <xdr:colOff>95250</xdr:colOff>
      <xdr:row>8</xdr:row>
      <xdr:rowOff>130629</xdr:rowOff>
    </xdr:from>
    <xdr:to>
      <xdr:col>5</xdr:col>
      <xdr:colOff>3629</xdr:colOff>
      <xdr:row>22</xdr:row>
      <xdr:rowOff>0</xdr:rowOff>
    </xdr:to>
    <xdr:sp macro="" textlink="">
      <xdr:nvSpPr>
        <xdr:cNvPr id="54" name="Rectangle: Rounded Corners 21">
          <a:extLst>
            <a:ext uri="{FF2B5EF4-FFF2-40B4-BE49-F238E27FC236}">
              <a16:creationId xmlns:a16="http://schemas.microsoft.com/office/drawing/2014/main" id="{797172C9-E38A-4281-BA88-4BEAC550BA82}"/>
            </a:ext>
          </a:extLst>
        </xdr:cNvPr>
        <xdr:cNvSpPr>
          <a:spLocks/>
        </xdr:cNvSpPr>
      </xdr:nvSpPr>
      <xdr:spPr bwMode="auto">
        <a:xfrm>
          <a:off x="95250" y="1603829"/>
          <a:ext cx="2956379" cy="2447471"/>
        </a:xfrm>
        <a:custGeom>
          <a:avLst/>
          <a:gdLst>
            <a:gd name="T0" fmla="*/ 2287 w 16384"/>
            <a:gd name="T1" fmla="*/ 0 h 16384"/>
            <a:gd name="T2" fmla="*/ 1829 w 16384"/>
            <a:gd name="T3" fmla="*/ 55 h 16384"/>
            <a:gd name="T4" fmla="*/ 1396 w 16384"/>
            <a:gd name="T5" fmla="*/ 219 h 16384"/>
            <a:gd name="T6" fmla="*/ 1009 w 16384"/>
            <a:gd name="T7" fmla="*/ 470 h 16384"/>
            <a:gd name="T8" fmla="*/ 675 w 16384"/>
            <a:gd name="T9" fmla="*/ 806 h 16384"/>
            <a:gd name="T10" fmla="*/ 394 w 16384"/>
            <a:gd name="T11" fmla="*/ 1205 h 16384"/>
            <a:gd name="T12" fmla="*/ 183 w 16384"/>
            <a:gd name="T13" fmla="*/ 1666 h 16384"/>
            <a:gd name="T14" fmla="*/ 46 w 16384"/>
            <a:gd name="T15" fmla="*/ 2183 h 16384"/>
            <a:gd name="T16" fmla="*/ 0 w 16384"/>
            <a:gd name="T17" fmla="*/ 2730 h 16384"/>
            <a:gd name="T18" fmla="*/ 0 w 16384"/>
            <a:gd name="T19" fmla="*/ 13654 h 16384"/>
            <a:gd name="T20" fmla="*/ 46 w 16384"/>
            <a:gd name="T21" fmla="*/ 14201 h 16384"/>
            <a:gd name="T22" fmla="*/ 183 w 16384"/>
            <a:gd name="T23" fmla="*/ 14718 h 16384"/>
            <a:gd name="T24" fmla="*/ 394 w 16384"/>
            <a:gd name="T25" fmla="*/ 15179 h 16384"/>
            <a:gd name="T26" fmla="*/ 675 w 16384"/>
            <a:gd name="T27" fmla="*/ 15586 h 16384"/>
            <a:gd name="T28" fmla="*/ 1009 w 16384"/>
            <a:gd name="T29" fmla="*/ 15915 h 16384"/>
            <a:gd name="T30" fmla="*/ 1396 w 16384"/>
            <a:gd name="T31" fmla="*/ 16165 h 16384"/>
            <a:gd name="T32" fmla="*/ 1829 w 16384"/>
            <a:gd name="T33" fmla="*/ 16329 h 16384"/>
            <a:gd name="T34" fmla="*/ 2287 w 16384"/>
            <a:gd name="T35" fmla="*/ 16384 h 16384"/>
            <a:gd name="T36" fmla="*/ 14103 w 16384"/>
            <a:gd name="T37" fmla="*/ 16384 h 16384"/>
            <a:gd name="T38" fmla="*/ 14562 w 16384"/>
            <a:gd name="T39" fmla="*/ 16329 h 16384"/>
            <a:gd name="T40" fmla="*/ 14988 w 16384"/>
            <a:gd name="T41" fmla="*/ 16165 h 16384"/>
            <a:gd name="T42" fmla="*/ 15375 w 16384"/>
            <a:gd name="T43" fmla="*/ 15915 h 16384"/>
            <a:gd name="T44" fmla="*/ 15716 w 16384"/>
            <a:gd name="T45" fmla="*/ 15586 h 16384"/>
            <a:gd name="T46" fmla="*/ 15997 w 16384"/>
            <a:gd name="T47" fmla="*/ 15179 h 16384"/>
            <a:gd name="T48" fmla="*/ 16207 w 16384"/>
            <a:gd name="T49" fmla="*/ 14718 h 16384"/>
            <a:gd name="T50" fmla="*/ 16339 w 16384"/>
            <a:gd name="T51" fmla="*/ 14201 h 16384"/>
            <a:gd name="T52" fmla="*/ 16384 w 16384"/>
            <a:gd name="T53" fmla="*/ 13654 h 16384"/>
            <a:gd name="T54" fmla="*/ 16384 w 16384"/>
            <a:gd name="T55" fmla="*/ 2730 h 16384"/>
            <a:gd name="T56" fmla="*/ 16339 w 16384"/>
            <a:gd name="T57" fmla="*/ 2183 h 16384"/>
            <a:gd name="T58" fmla="*/ 16207 w 16384"/>
            <a:gd name="T59" fmla="*/ 1666 h 16384"/>
            <a:gd name="T60" fmla="*/ 15997 w 16384"/>
            <a:gd name="T61" fmla="*/ 1205 h 16384"/>
            <a:gd name="T62" fmla="*/ 15716 w 16384"/>
            <a:gd name="T63" fmla="*/ 806 h 16384"/>
            <a:gd name="T64" fmla="*/ 15375 w 16384"/>
            <a:gd name="T65" fmla="*/ 470 h 16384"/>
            <a:gd name="T66" fmla="*/ 14988 w 16384"/>
            <a:gd name="T67" fmla="*/ 219 h 16384"/>
            <a:gd name="T68" fmla="*/ 14562 w 16384"/>
            <a:gd name="T69" fmla="*/ 55 h 16384"/>
            <a:gd name="T70" fmla="*/ 14103 w 16384"/>
            <a:gd name="T71" fmla="*/ 0 h 16384"/>
            <a:gd name="T72" fmla="*/ 2287 w 16384"/>
            <a:gd name="T73" fmla="*/ 0 h 163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6384" h="16384">
              <a:moveTo>
                <a:pt x="2287" y="0"/>
              </a:moveTo>
              <a:lnTo>
                <a:pt x="1829" y="55"/>
              </a:lnTo>
              <a:lnTo>
                <a:pt x="1396" y="219"/>
              </a:lnTo>
              <a:lnTo>
                <a:pt x="1009" y="470"/>
              </a:lnTo>
              <a:lnTo>
                <a:pt x="675" y="806"/>
              </a:lnTo>
              <a:lnTo>
                <a:pt x="394" y="1205"/>
              </a:lnTo>
              <a:lnTo>
                <a:pt x="183" y="1666"/>
              </a:lnTo>
              <a:lnTo>
                <a:pt x="46" y="2183"/>
              </a:lnTo>
              <a:lnTo>
                <a:pt x="0" y="2730"/>
              </a:lnTo>
              <a:lnTo>
                <a:pt x="0" y="13654"/>
              </a:lnTo>
              <a:lnTo>
                <a:pt x="46" y="14201"/>
              </a:lnTo>
              <a:lnTo>
                <a:pt x="183" y="14718"/>
              </a:lnTo>
              <a:lnTo>
                <a:pt x="394" y="15179"/>
              </a:lnTo>
              <a:lnTo>
                <a:pt x="675" y="15586"/>
              </a:lnTo>
              <a:lnTo>
                <a:pt x="1009" y="15915"/>
              </a:lnTo>
              <a:lnTo>
                <a:pt x="1396" y="16165"/>
              </a:lnTo>
              <a:lnTo>
                <a:pt x="1829" y="16329"/>
              </a:lnTo>
              <a:lnTo>
                <a:pt x="2287" y="16384"/>
              </a:lnTo>
              <a:lnTo>
                <a:pt x="14103" y="16384"/>
              </a:lnTo>
              <a:lnTo>
                <a:pt x="14562" y="16329"/>
              </a:lnTo>
              <a:lnTo>
                <a:pt x="14988" y="16165"/>
              </a:lnTo>
              <a:lnTo>
                <a:pt x="15375" y="15915"/>
              </a:lnTo>
              <a:lnTo>
                <a:pt x="15716" y="15586"/>
              </a:lnTo>
              <a:lnTo>
                <a:pt x="15997" y="15179"/>
              </a:lnTo>
              <a:lnTo>
                <a:pt x="16207" y="14718"/>
              </a:lnTo>
              <a:lnTo>
                <a:pt x="16339" y="14201"/>
              </a:lnTo>
              <a:lnTo>
                <a:pt x="16384" y="13654"/>
              </a:lnTo>
              <a:lnTo>
                <a:pt x="16384" y="2730"/>
              </a:lnTo>
              <a:lnTo>
                <a:pt x="16339" y="2183"/>
              </a:lnTo>
              <a:lnTo>
                <a:pt x="16207" y="1666"/>
              </a:lnTo>
              <a:lnTo>
                <a:pt x="15997" y="1205"/>
              </a:lnTo>
              <a:lnTo>
                <a:pt x="15716" y="806"/>
              </a:lnTo>
              <a:lnTo>
                <a:pt x="15375" y="470"/>
              </a:lnTo>
              <a:lnTo>
                <a:pt x="14988" y="219"/>
              </a:lnTo>
              <a:lnTo>
                <a:pt x="14562" y="55"/>
              </a:lnTo>
              <a:lnTo>
                <a:pt x="14103" y="0"/>
              </a:lnTo>
              <a:lnTo>
                <a:pt x="2287" y="0"/>
              </a:lnTo>
              <a:close/>
            </a:path>
          </a:pathLst>
        </a:cu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sp>
    <xdr:clientData/>
  </xdr:twoCellAnchor>
  <xdr:twoCellAnchor>
    <xdr:from>
      <xdr:col>5</xdr:col>
      <xdr:colOff>86179</xdr:colOff>
      <xdr:row>8</xdr:row>
      <xdr:rowOff>130629</xdr:rowOff>
    </xdr:from>
    <xdr:to>
      <xdr:col>9</xdr:col>
      <xdr:colOff>604157</xdr:colOff>
      <xdr:row>22</xdr:row>
      <xdr:rowOff>0</xdr:rowOff>
    </xdr:to>
    <xdr:sp macro="" textlink="">
      <xdr:nvSpPr>
        <xdr:cNvPr id="57" name="Rectangle: Rounded Corners 24">
          <a:extLst>
            <a:ext uri="{FF2B5EF4-FFF2-40B4-BE49-F238E27FC236}">
              <a16:creationId xmlns:a16="http://schemas.microsoft.com/office/drawing/2014/main" id="{0C89B419-C9AD-4C0A-8AB4-E7F51BD621B3}"/>
            </a:ext>
          </a:extLst>
        </xdr:cNvPr>
        <xdr:cNvSpPr>
          <a:spLocks/>
        </xdr:cNvSpPr>
      </xdr:nvSpPr>
      <xdr:spPr bwMode="auto">
        <a:xfrm>
          <a:off x="3134179" y="1603829"/>
          <a:ext cx="2956378" cy="2447471"/>
        </a:xfrm>
        <a:custGeom>
          <a:avLst/>
          <a:gdLst>
            <a:gd name="T0" fmla="*/ 2287 w 16384"/>
            <a:gd name="T1" fmla="*/ 0 h 16384"/>
            <a:gd name="T2" fmla="*/ 1829 w 16384"/>
            <a:gd name="T3" fmla="*/ 55 h 16384"/>
            <a:gd name="T4" fmla="*/ 1396 w 16384"/>
            <a:gd name="T5" fmla="*/ 219 h 16384"/>
            <a:gd name="T6" fmla="*/ 1009 w 16384"/>
            <a:gd name="T7" fmla="*/ 470 h 16384"/>
            <a:gd name="T8" fmla="*/ 675 w 16384"/>
            <a:gd name="T9" fmla="*/ 806 h 16384"/>
            <a:gd name="T10" fmla="*/ 394 w 16384"/>
            <a:gd name="T11" fmla="*/ 1205 h 16384"/>
            <a:gd name="T12" fmla="*/ 183 w 16384"/>
            <a:gd name="T13" fmla="*/ 1666 h 16384"/>
            <a:gd name="T14" fmla="*/ 46 w 16384"/>
            <a:gd name="T15" fmla="*/ 2183 h 16384"/>
            <a:gd name="T16" fmla="*/ 0 w 16384"/>
            <a:gd name="T17" fmla="*/ 2730 h 16384"/>
            <a:gd name="T18" fmla="*/ 0 w 16384"/>
            <a:gd name="T19" fmla="*/ 13654 h 16384"/>
            <a:gd name="T20" fmla="*/ 46 w 16384"/>
            <a:gd name="T21" fmla="*/ 14201 h 16384"/>
            <a:gd name="T22" fmla="*/ 183 w 16384"/>
            <a:gd name="T23" fmla="*/ 14718 h 16384"/>
            <a:gd name="T24" fmla="*/ 394 w 16384"/>
            <a:gd name="T25" fmla="*/ 15179 h 16384"/>
            <a:gd name="T26" fmla="*/ 675 w 16384"/>
            <a:gd name="T27" fmla="*/ 15586 h 16384"/>
            <a:gd name="T28" fmla="*/ 1009 w 16384"/>
            <a:gd name="T29" fmla="*/ 15915 h 16384"/>
            <a:gd name="T30" fmla="*/ 1396 w 16384"/>
            <a:gd name="T31" fmla="*/ 16165 h 16384"/>
            <a:gd name="T32" fmla="*/ 1829 w 16384"/>
            <a:gd name="T33" fmla="*/ 16329 h 16384"/>
            <a:gd name="T34" fmla="*/ 2287 w 16384"/>
            <a:gd name="T35" fmla="*/ 16384 h 16384"/>
            <a:gd name="T36" fmla="*/ 14103 w 16384"/>
            <a:gd name="T37" fmla="*/ 16384 h 16384"/>
            <a:gd name="T38" fmla="*/ 14562 w 16384"/>
            <a:gd name="T39" fmla="*/ 16329 h 16384"/>
            <a:gd name="T40" fmla="*/ 14988 w 16384"/>
            <a:gd name="T41" fmla="*/ 16165 h 16384"/>
            <a:gd name="T42" fmla="*/ 15375 w 16384"/>
            <a:gd name="T43" fmla="*/ 15915 h 16384"/>
            <a:gd name="T44" fmla="*/ 15716 w 16384"/>
            <a:gd name="T45" fmla="*/ 15586 h 16384"/>
            <a:gd name="T46" fmla="*/ 15997 w 16384"/>
            <a:gd name="T47" fmla="*/ 15179 h 16384"/>
            <a:gd name="T48" fmla="*/ 16207 w 16384"/>
            <a:gd name="T49" fmla="*/ 14718 h 16384"/>
            <a:gd name="T50" fmla="*/ 16339 w 16384"/>
            <a:gd name="T51" fmla="*/ 14201 h 16384"/>
            <a:gd name="T52" fmla="*/ 16384 w 16384"/>
            <a:gd name="T53" fmla="*/ 13654 h 16384"/>
            <a:gd name="T54" fmla="*/ 16384 w 16384"/>
            <a:gd name="T55" fmla="*/ 2730 h 16384"/>
            <a:gd name="T56" fmla="*/ 16339 w 16384"/>
            <a:gd name="T57" fmla="*/ 2183 h 16384"/>
            <a:gd name="T58" fmla="*/ 16207 w 16384"/>
            <a:gd name="T59" fmla="*/ 1666 h 16384"/>
            <a:gd name="T60" fmla="*/ 15997 w 16384"/>
            <a:gd name="T61" fmla="*/ 1205 h 16384"/>
            <a:gd name="T62" fmla="*/ 15716 w 16384"/>
            <a:gd name="T63" fmla="*/ 806 h 16384"/>
            <a:gd name="T64" fmla="*/ 15375 w 16384"/>
            <a:gd name="T65" fmla="*/ 470 h 16384"/>
            <a:gd name="T66" fmla="*/ 14988 w 16384"/>
            <a:gd name="T67" fmla="*/ 219 h 16384"/>
            <a:gd name="T68" fmla="*/ 14562 w 16384"/>
            <a:gd name="T69" fmla="*/ 55 h 16384"/>
            <a:gd name="T70" fmla="*/ 14103 w 16384"/>
            <a:gd name="T71" fmla="*/ 0 h 16384"/>
            <a:gd name="T72" fmla="*/ 2287 w 16384"/>
            <a:gd name="T73" fmla="*/ 0 h 163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6384" h="16384">
              <a:moveTo>
                <a:pt x="2287" y="0"/>
              </a:moveTo>
              <a:lnTo>
                <a:pt x="1829" y="55"/>
              </a:lnTo>
              <a:lnTo>
                <a:pt x="1396" y="219"/>
              </a:lnTo>
              <a:lnTo>
                <a:pt x="1009" y="470"/>
              </a:lnTo>
              <a:lnTo>
                <a:pt x="675" y="806"/>
              </a:lnTo>
              <a:lnTo>
                <a:pt x="394" y="1205"/>
              </a:lnTo>
              <a:lnTo>
                <a:pt x="183" y="1666"/>
              </a:lnTo>
              <a:lnTo>
                <a:pt x="46" y="2183"/>
              </a:lnTo>
              <a:lnTo>
                <a:pt x="0" y="2730"/>
              </a:lnTo>
              <a:lnTo>
                <a:pt x="0" y="13654"/>
              </a:lnTo>
              <a:lnTo>
                <a:pt x="46" y="14201"/>
              </a:lnTo>
              <a:lnTo>
                <a:pt x="183" y="14718"/>
              </a:lnTo>
              <a:lnTo>
                <a:pt x="394" y="15179"/>
              </a:lnTo>
              <a:lnTo>
                <a:pt x="675" y="15586"/>
              </a:lnTo>
              <a:lnTo>
                <a:pt x="1009" y="15915"/>
              </a:lnTo>
              <a:lnTo>
                <a:pt x="1396" y="16165"/>
              </a:lnTo>
              <a:lnTo>
                <a:pt x="1829" y="16329"/>
              </a:lnTo>
              <a:lnTo>
                <a:pt x="2287" y="16384"/>
              </a:lnTo>
              <a:lnTo>
                <a:pt x="14103" y="16384"/>
              </a:lnTo>
              <a:lnTo>
                <a:pt x="14562" y="16329"/>
              </a:lnTo>
              <a:lnTo>
                <a:pt x="14988" y="16165"/>
              </a:lnTo>
              <a:lnTo>
                <a:pt x="15375" y="15915"/>
              </a:lnTo>
              <a:lnTo>
                <a:pt x="15716" y="15586"/>
              </a:lnTo>
              <a:lnTo>
                <a:pt x="15997" y="15179"/>
              </a:lnTo>
              <a:lnTo>
                <a:pt x="16207" y="14718"/>
              </a:lnTo>
              <a:lnTo>
                <a:pt x="16339" y="14201"/>
              </a:lnTo>
              <a:lnTo>
                <a:pt x="16384" y="13654"/>
              </a:lnTo>
              <a:lnTo>
                <a:pt x="16384" y="2730"/>
              </a:lnTo>
              <a:lnTo>
                <a:pt x="16339" y="2183"/>
              </a:lnTo>
              <a:lnTo>
                <a:pt x="16207" y="1666"/>
              </a:lnTo>
              <a:lnTo>
                <a:pt x="15997" y="1205"/>
              </a:lnTo>
              <a:lnTo>
                <a:pt x="15716" y="806"/>
              </a:lnTo>
              <a:lnTo>
                <a:pt x="15375" y="470"/>
              </a:lnTo>
              <a:lnTo>
                <a:pt x="14988" y="219"/>
              </a:lnTo>
              <a:lnTo>
                <a:pt x="14562" y="55"/>
              </a:lnTo>
              <a:lnTo>
                <a:pt x="14103" y="0"/>
              </a:lnTo>
              <a:lnTo>
                <a:pt x="2287" y="0"/>
              </a:lnTo>
              <a:close/>
            </a:path>
          </a:pathLst>
        </a:cu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sp>
    <xdr:clientData/>
  </xdr:twoCellAnchor>
  <xdr:twoCellAnchor>
    <xdr:from>
      <xdr:col>5</xdr:col>
      <xdr:colOff>359229</xdr:colOff>
      <xdr:row>9</xdr:row>
      <xdr:rowOff>3629</xdr:rowOff>
    </xdr:from>
    <xdr:to>
      <xdr:col>9</xdr:col>
      <xdr:colOff>396421</xdr:colOff>
      <xdr:row>10</xdr:row>
      <xdr:rowOff>131536</xdr:rowOff>
    </xdr:to>
    <xdr:sp macro="" textlink="">
      <xdr:nvSpPr>
        <xdr:cNvPr id="58" name="Rectangle: Rounded Corners 26">
          <a:extLst>
            <a:ext uri="{FF2B5EF4-FFF2-40B4-BE49-F238E27FC236}">
              <a16:creationId xmlns:a16="http://schemas.microsoft.com/office/drawing/2014/main" id="{FDEF52BF-2CA3-4F63-B2CD-A7266717C67F}"/>
            </a:ext>
          </a:extLst>
        </xdr:cNvPr>
        <xdr:cNvSpPr>
          <a:spLocks noChangeArrowheads="1"/>
        </xdr:cNvSpPr>
      </xdr:nvSpPr>
      <xdr:spPr bwMode="auto">
        <a:xfrm>
          <a:off x="3407229" y="1660979"/>
          <a:ext cx="2475592" cy="312057"/>
        </a:xfrm>
        <a:prstGeom prst="roundRect">
          <a:avLst>
            <a:gd name="adj" fmla="val 16667"/>
          </a:avLst>
        </a:prstGeom>
        <a:solidFill>
          <a:srgbClr xmlns:mc="http://schemas.openxmlformats.org/markup-compatibility/2006" xmlns:a14="http://schemas.microsoft.com/office/drawing/2010/main" val="008080" mc:Ignorable="a14" a14:legacySpreadsheetColorIndex="21"/>
        </a:solidFill>
        <a:ln>
          <a:noFill/>
        </a:ln>
        <a:extLst>
          <a:ext uri="{91240B29-F687-4F45-9708-019B960494DF}">
            <a14:hiddenLine xmlns:a14="http://schemas.microsoft.com/office/drawing/2010/main" w="17145">
              <a:solidFill>
                <a:srgbClr xmlns:mc="http://schemas.openxmlformats.org/markup-compatibility/2006" val="000000" mc:Ignorable="a14" a14:legacySpreadsheetColorIndex="8"/>
              </a:solidFill>
              <a:round/>
              <a:headEnd/>
              <a:tailEnd/>
            </a14:hiddenLine>
          </a:ext>
        </a:extLst>
      </xdr:spPr>
      <xdr:txBody>
        <a:bodyPr vertOverflow="clip" wrap="square" lIns="36576" tIns="36576" rIns="36576" bIns="36576" anchor="ctr" upright="1"/>
        <a:lstStyle/>
        <a:p>
          <a:pPr algn="ctr" rtl="0">
            <a:defRPr sz="1000"/>
          </a:pPr>
          <a:endParaRPr lang="en-IN" sz="1100" b="1" i="0" u="none" strike="noStrike" baseline="0">
            <a:solidFill>
              <a:schemeClr val="bg2"/>
            </a:solidFill>
            <a:latin typeface="Aptos Narrow"/>
          </a:endParaRPr>
        </a:p>
      </xdr:txBody>
    </xdr:sp>
    <xdr:clientData/>
  </xdr:twoCellAnchor>
  <xdr:twoCellAnchor>
    <xdr:from>
      <xdr:col>10</xdr:col>
      <xdr:colOff>77107</xdr:colOff>
      <xdr:row>8</xdr:row>
      <xdr:rowOff>156029</xdr:rowOff>
    </xdr:from>
    <xdr:to>
      <xdr:col>14</xdr:col>
      <xdr:colOff>595086</xdr:colOff>
      <xdr:row>22</xdr:row>
      <xdr:rowOff>25400</xdr:rowOff>
    </xdr:to>
    <xdr:sp macro="" textlink="">
      <xdr:nvSpPr>
        <xdr:cNvPr id="59" name="Rectangle: Rounded Corners 27">
          <a:extLst>
            <a:ext uri="{FF2B5EF4-FFF2-40B4-BE49-F238E27FC236}">
              <a16:creationId xmlns:a16="http://schemas.microsoft.com/office/drawing/2014/main" id="{FE607F99-62DF-47AE-8A60-9066871FDD92}"/>
            </a:ext>
          </a:extLst>
        </xdr:cNvPr>
        <xdr:cNvSpPr>
          <a:spLocks/>
        </xdr:cNvSpPr>
      </xdr:nvSpPr>
      <xdr:spPr bwMode="auto">
        <a:xfrm>
          <a:off x="6173107" y="1629229"/>
          <a:ext cx="2956379" cy="2447471"/>
        </a:xfrm>
        <a:custGeom>
          <a:avLst/>
          <a:gdLst>
            <a:gd name="T0" fmla="*/ 2287 w 16384"/>
            <a:gd name="T1" fmla="*/ 0 h 16384"/>
            <a:gd name="T2" fmla="*/ 1829 w 16384"/>
            <a:gd name="T3" fmla="*/ 55 h 16384"/>
            <a:gd name="T4" fmla="*/ 1396 w 16384"/>
            <a:gd name="T5" fmla="*/ 219 h 16384"/>
            <a:gd name="T6" fmla="*/ 1009 w 16384"/>
            <a:gd name="T7" fmla="*/ 470 h 16384"/>
            <a:gd name="T8" fmla="*/ 675 w 16384"/>
            <a:gd name="T9" fmla="*/ 806 h 16384"/>
            <a:gd name="T10" fmla="*/ 394 w 16384"/>
            <a:gd name="T11" fmla="*/ 1205 h 16384"/>
            <a:gd name="T12" fmla="*/ 183 w 16384"/>
            <a:gd name="T13" fmla="*/ 1666 h 16384"/>
            <a:gd name="T14" fmla="*/ 46 w 16384"/>
            <a:gd name="T15" fmla="*/ 2183 h 16384"/>
            <a:gd name="T16" fmla="*/ 0 w 16384"/>
            <a:gd name="T17" fmla="*/ 2730 h 16384"/>
            <a:gd name="T18" fmla="*/ 0 w 16384"/>
            <a:gd name="T19" fmla="*/ 13654 h 16384"/>
            <a:gd name="T20" fmla="*/ 46 w 16384"/>
            <a:gd name="T21" fmla="*/ 14201 h 16384"/>
            <a:gd name="T22" fmla="*/ 183 w 16384"/>
            <a:gd name="T23" fmla="*/ 14718 h 16384"/>
            <a:gd name="T24" fmla="*/ 394 w 16384"/>
            <a:gd name="T25" fmla="*/ 15179 h 16384"/>
            <a:gd name="T26" fmla="*/ 675 w 16384"/>
            <a:gd name="T27" fmla="*/ 15586 h 16384"/>
            <a:gd name="T28" fmla="*/ 1009 w 16384"/>
            <a:gd name="T29" fmla="*/ 15915 h 16384"/>
            <a:gd name="T30" fmla="*/ 1396 w 16384"/>
            <a:gd name="T31" fmla="*/ 16165 h 16384"/>
            <a:gd name="T32" fmla="*/ 1829 w 16384"/>
            <a:gd name="T33" fmla="*/ 16329 h 16384"/>
            <a:gd name="T34" fmla="*/ 2287 w 16384"/>
            <a:gd name="T35" fmla="*/ 16384 h 16384"/>
            <a:gd name="T36" fmla="*/ 14103 w 16384"/>
            <a:gd name="T37" fmla="*/ 16384 h 16384"/>
            <a:gd name="T38" fmla="*/ 14562 w 16384"/>
            <a:gd name="T39" fmla="*/ 16329 h 16384"/>
            <a:gd name="T40" fmla="*/ 14988 w 16384"/>
            <a:gd name="T41" fmla="*/ 16165 h 16384"/>
            <a:gd name="T42" fmla="*/ 15375 w 16384"/>
            <a:gd name="T43" fmla="*/ 15915 h 16384"/>
            <a:gd name="T44" fmla="*/ 15716 w 16384"/>
            <a:gd name="T45" fmla="*/ 15586 h 16384"/>
            <a:gd name="T46" fmla="*/ 15997 w 16384"/>
            <a:gd name="T47" fmla="*/ 15179 h 16384"/>
            <a:gd name="T48" fmla="*/ 16207 w 16384"/>
            <a:gd name="T49" fmla="*/ 14718 h 16384"/>
            <a:gd name="T50" fmla="*/ 16339 w 16384"/>
            <a:gd name="T51" fmla="*/ 14201 h 16384"/>
            <a:gd name="T52" fmla="*/ 16384 w 16384"/>
            <a:gd name="T53" fmla="*/ 13654 h 16384"/>
            <a:gd name="T54" fmla="*/ 16384 w 16384"/>
            <a:gd name="T55" fmla="*/ 2730 h 16384"/>
            <a:gd name="T56" fmla="*/ 16339 w 16384"/>
            <a:gd name="T57" fmla="*/ 2183 h 16384"/>
            <a:gd name="T58" fmla="*/ 16207 w 16384"/>
            <a:gd name="T59" fmla="*/ 1666 h 16384"/>
            <a:gd name="T60" fmla="*/ 15997 w 16384"/>
            <a:gd name="T61" fmla="*/ 1205 h 16384"/>
            <a:gd name="T62" fmla="*/ 15716 w 16384"/>
            <a:gd name="T63" fmla="*/ 806 h 16384"/>
            <a:gd name="T64" fmla="*/ 15375 w 16384"/>
            <a:gd name="T65" fmla="*/ 470 h 16384"/>
            <a:gd name="T66" fmla="*/ 14988 w 16384"/>
            <a:gd name="T67" fmla="*/ 219 h 16384"/>
            <a:gd name="T68" fmla="*/ 14562 w 16384"/>
            <a:gd name="T69" fmla="*/ 55 h 16384"/>
            <a:gd name="T70" fmla="*/ 14103 w 16384"/>
            <a:gd name="T71" fmla="*/ 0 h 16384"/>
            <a:gd name="T72" fmla="*/ 2287 w 16384"/>
            <a:gd name="T73" fmla="*/ 0 h 163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6384" h="16384">
              <a:moveTo>
                <a:pt x="2287" y="0"/>
              </a:moveTo>
              <a:lnTo>
                <a:pt x="1829" y="55"/>
              </a:lnTo>
              <a:lnTo>
                <a:pt x="1396" y="219"/>
              </a:lnTo>
              <a:lnTo>
                <a:pt x="1009" y="470"/>
              </a:lnTo>
              <a:lnTo>
                <a:pt x="675" y="806"/>
              </a:lnTo>
              <a:lnTo>
                <a:pt x="394" y="1205"/>
              </a:lnTo>
              <a:lnTo>
                <a:pt x="183" y="1666"/>
              </a:lnTo>
              <a:lnTo>
                <a:pt x="46" y="2183"/>
              </a:lnTo>
              <a:lnTo>
                <a:pt x="0" y="2730"/>
              </a:lnTo>
              <a:lnTo>
                <a:pt x="0" y="13654"/>
              </a:lnTo>
              <a:lnTo>
                <a:pt x="46" y="14201"/>
              </a:lnTo>
              <a:lnTo>
                <a:pt x="183" y="14718"/>
              </a:lnTo>
              <a:lnTo>
                <a:pt x="394" y="15179"/>
              </a:lnTo>
              <a:lnTo>
                <a:pt x="675" y="15586"/>
              </a:lnTo>
              <a:lnTo>
                <a:pt x="1009" y="15915"/>
              </a:lnTo>
              <a:lnTo>
                <a:pt x="1396" y="16165"/>
              </a:lnTo>
              <a:lnTo>
                <a:pt x="1829" y="16329"/>
              </a:lnTo>
              <a:lnTo>
                <a:pt x="2287" y="16384"/>
              </a:lnTo>
              <a:lnTo>
                <a:pt x="14103" y="16384"/>
              </a:lnTo>
              <a:lnTo>
                <a:pt x="14562" y="16329"/>
              </a:lnTo>
              <a:lnTo>
                <a:pt x="14988" y="16165"/>
              </a:lnTo>
              <a:lnTo>
                <a:pt x="15375" y="15915"/>
              </a:lnTo>
              <a:lnTo>
                <a:pt x="15716" y="15586"/>
              </a:lnTo>
              <a:lnTo>
                <a:pt x="15997" y="15179"/>
              </a:lnTo>
              <a:lnTo>
                <a:pt x="16207" y="14718"/>
              </a:lnTo>
              <a:lnTo>
                <a:pt x="16339" y="14201"/>
              </a:lnTo>
              <a:lnTo>
                <a:pt x="16384" y="13654"/>
              </a:lnTo>
              <a:lnTo>
                <a:pt x="16384" y="2730"/>
              </a:lnTo>
              <a:lnTo>
                <a:pt x="16339" y="2183"/>
              </a:lnTo>
              <a:lnTo>
                <a:pt x="16207" y="1666"/>
              </a:lnTo>
              <a:lnTo>
                <a:pt x="15997" y="1205"/>
              </a:lnTo>
              <a:lnTo>
                <a:pt x="15716" y="806"/>
              </a:lnTo>
              <a:lnTo>
                <a:pt x="15375" y="470"/>
              </a:lnTo>
              <a:lnTo>
                <a:pt x="14988" y="219"/>
              </a:lnTo>
              <a:lnTo>
                <a:pt x="14562" y="55"/>
              </a:lnTo>
              <a:lnTo>
                <a:pt x="14103" y="0"/>
              </a:lnTo>
              <a:lnTo>
                <a:pt x="2287" y="0"/>
              </a:lnTo>
              <a:close/>
            </a:path>
          </a:pathLst>
        </a:cu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sp>
    <xdr:clientData/>
  </xdr:twoCellAnchor>
  <xdr:twoCellAnchor>
    <xdr:from>
      <xdr:col>10</xdr:col>
      <xdr:colOff>356507</xdr:colOff>
      <xdr:row>9</xdr:row>
      <xdr:rowOff>22679</xdr:rowOff>
    </xdr:from>
    <xdr:to>
      <xdr:col>14</xdr:col>
      <xdr:colOff>368300</xdr:colOff>
      <xdr:row>10</xdr:row>
      <xdr:rowOff>175986</xdr:rowOff>
    </xdr:to>
    <xdr:sp macro="" textlink="">
      <xdr:nvSpPr>
        <xdr:cNvPr id="60" name="Rectangle: Rounded Corners 29">
          <a:extLst>
            <a:ext uri="{FF2B5EF4-FFF2-40B4-BE49-F238E27FC236}">
              <a16:creationId xmlns:a16="http://schemas.microsoft.com/office/drawing/2014/main" id="{3318290E-CDA6-4D69-B9F8-69F105DCA486}"/>
            </a:ext>
          </a:extLst>
        </xdr:cNvPr>
        <xdr:cNvSpPr>
          <a:spLocks noChangeArrowheads="1"/>
        </xdr:cNvSpPr>
      </xdr:nvSpPr>
      <xdr:spPr bwMode="auto">
        <a:xfrm>
          <a:off x="6452507" y="1680029"/>
          <a:ext cx="2450193" cy="337457"/>
        </a:xfrm>
        <a:prstGeom prst="roundRect">
          <a:avLst>
            <a:gd name="adj" fmla="val 16667"/>
          </a:avLst>
        </a:prstGeom>
        <a:solidFill>
          <a:srgbClr xmlns:mc="http://schemas.openxmlformats.org/markup-compatibility/2006" xmlns:a14="http://schemas.microsoft.com/office/drawing/2010/main" val="008080" mc:Ignorable="a14" a14:legacySpreadsheetColorIndex="21"/>
        </a:solidFill>
        <a:ln>
          <a:noFill/>
        </a:ln>
        <a:extLst>
          <a:ext uri="{91240B29-F687-4F45-9708-019B960494DF}">
            <a14:hiddenLine xmlns:a14="http://schemas.microsoft.com/office/drawing/2010/main" w="17145">
              <a:solidFill>
                <a:srgbClr xmlns:mc="http://schemas.openxmlformats.org/markup-compatibility/2006" val="000000" mc:Ignorable="a14" a14:legacySpreadsheetColorIndex="8"/>
              </a:solidFill>
              <a:round/>
              <a:headEnd/>
              <a:tailEnd/>
            </a14:hiddenLine>
          </a:ext>
        </a:extLst>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YoY% Demand Growth by Job Category</a:t>
          </a:r>
        </a:p>
      </xdr:txBody>
    </xdr:sp>
    <xdr:clientData/>
  </xdr:twoCellAnchor>
  <xdr:twoCellAnchor>
    <xdr:from>
      <xdr:col>0</xdr:col>
      <xdr:colOff>101600</xdr:colOff>
      <xdr:row>22</xdr:row>
      <xdr:rowOff>60779</xdr:rowOff>
    </xdr:from>
    <xdr:to>
      <xdr:col>5</xdr:col>
      <xdr:colOff>9979</xdr:colOff>
      <xdr:row>37</xdr:row>
      <xdr:rowOff>38100</xdr:rowOff>
    </xdr:to>
    <xdr:sp macro="" textlink="">
      <xdr:nvSpPr>
        <xdr:cNvPr id="62" name="Rectangle: Rounded Corners 34">
          <a:extLst>
            <a:ext uri="{FF2B5EF4-FFF2-40B4-BE49-F238E27FC236}">
              <a16:creationId xmlns:a16="http://schemas.microsoft.com/office/drawing/2014/main" id="{3F130DE2-20F1-45A9-A6C4-A38185507143}"/>
            </a:ext>
          </a:extLst>
        </xdr:cNvPr>
        <xdr:cNvSpPr>
          <a:spLocks/>
        </xdr:cNvSpPr>
      </xdr:nvSpPr>
      <xdr:spPr bwMode="auto">
        <a:xfrm>
          <a:off x="101600" y="4112079"/>
          <a:ext cx="2956379" cy="2739571"/>
        </a:xfrm>
        <a:custGeom>
          <a:avLst/>
          <a:gdLst>
            <a:gd name="T0" fmla="*/ 2287 w 16384"/>
            <a:gd name="T1" fmla="*/ 0 h 16384"/>
            <a:gd name="T2" fmla="*/ 1829 w 16384"/>
            <a:gd name="T3" fmla="*/ 55 h 16384"/>
            <a:gd name="T4" fmla="*/ 1396 w 16384"/>
            <a:gd name="T5" fmla="*/ 219 h 16384"/>
            <a:gd name="T6" fmla="*/ 1009 w 16384"/>
            <a:gd name="T7" fmla="*/ 470 h 16384"/>
            <a:gd name="T8" fmla="*/ 675 w 16384"/>
            <a:gd name="T9" fmla="*/ 806 h 16384"/>
            <a:gd name="T10" fmla="*/ 394 w 16384"/>
            <a:gd name="T11" fmla="*/ 1205 h 16384"/>
            <a:gd name="T12" fmla="*/ 183 w 16384"/>
            <a:gd name="T13" fmla="*/ 1666 h 16384"/>
            <a:gd name="T14" fmla="*/ 46 w 16384"/>
            <a:gd name="T15" fmla="*/ 2183 h 16384"/>
            <a:gd name="T16" fmla="*/ 0 w 16384"/>
            <a:gd name="T17" fmla="*/ 2730 h 16384"/>
            <a:gd name="T18" fmla="*/ 0 w 16384"/>
            <a:gd name="T19" fmla="*/ 13654 h 16384"/>
            <a:gd name="T20" fmla="*/ 46 w 16384"/>
            <a:gd name="T21" fmla="*/ 14201 h 16384"/>
            <a:gd name="T22" fmla="*/ 183 w 16384"/>
            <a:gd name="T23" fmla="*/ 14718 h 16384"/>
            <a:gd name="T24" fmla="*/ 394 w 16384"/>
            <a:gd name="T25" fmla="*/ 15179 h 16384"/>
            <a:gd name="T26" fmla="*/ 675 w 16384"/>
            <a:gd name="T27" fmla="*/ 15586 h 16384"/>
            <a:gd name="T28" fmla="*/ 1009 w 16384"/>
            <a:gd name="T29" fmla="*/ 15915 h 16384"/>
            <a:gd name="T30" fmla="*/ 1396 w 16384"/>
            <a:gd name="T31" fmla="*/ 16165 h 16384"/>
            <a:gd name="T32" fmla="*/ 1829 w 16384"/>
            <a:gd name="T33" fmla="*/ 16329 h 16384"/>
            <a:gd name="T34" fmla="*/ 2287 w 16384"/>
            <a:gd name="T35" fmla="*/ 16384 h 16384"/>
            <a:gd name="T36" fmla="*/ 14103 w 16384"/>
            <a:gd name="T37" fmla="*/ 16384 h 16384"/>
            <a:gd name="T38" fmla="*/ 14562 w 16384"/>
            <a:gd name="T39" fmla="*/ 16329 h 16384"/>
            <a:gd name="T40" fmla="*/ 14988 w 16384"/>
            <a:gd name="T41" fmla="*/ 16165 h 16384"/>
            <a:gd name="T42" fmla="*/ 15375 w 16384"/>
            <a:gd name="T43" fmla="*/ 15915 h 16384"/>
            <a:gd name="T44" fmla="*/ 15716 w 16384"/>
            <a:gd name="T45" fmla="*/ 15586 h 16384"/>
            <a:gd name="T46" fmla="*/ 15997 w 16384"/>
            <a:gd name="T47" fmla="*/ 15179 h 16384"/>
            <a:gd name="T48" fmla="*/ 16207 w 16384"/>
            <a:gd name="T49" fmla="*/ 14718 h 16384"/>
            <a:gd name="T50" fmla="*/ 16339 w 16384"/>
            <a:gd name="T51" fmla="*/ 14201 h 16384"/>
            <a:gd name="T52" fmla="*/ 16384 w 16384"/>
            <a:gd name="T53" fmla="*/ 13654 h 16384"/>
            <a:gd name="T54" fmla="*/ 16384 w 16384"/>
            <a:gd name="T55" fmla="*/ 2730 h 16384"/>
            <a:gd name="T56" fmla="*/ 16339 w 16384"/>
            <a:gd name="T57" fmla="*/ 2183 h 16384"/>
            <a:gd name="T58" fmla="*/ 16207 w 16384"/>
            <a:gd name="T59" fmla="*/ 1666 h 16384"/>
            <a:gd name="T60" fmla="*/ 15997 w 16384"/>
            <a:gd name="T61" fmla="*/ 1205 h 16384"/>
            <a:gd name="T62" fmla="*/ 15716 w 16384"/>
            <a:gd name="T63" fmla="*/ 806 h 16384"/>
            <a:gd name="T64" fmla="*/ 15375 w 16384"/>
            <a:gd name="T65" fmla="*/ 470 h 16384"/>
            <a:gd name="T66" fmla="*/ 14988 w 16384"/>
            <a:gd name="T67" fmla="*/ 219 h 16384"/>
            <a:gd name="T68" fmla="*/ 14562 w 16384"/>
            <a:gd name="T69" fmla="*/ 55 h 16384"/>
            <a:gd name="T70" fmla="*/ 14103 w 16384"/>
            <a:gd name="T71" fmla="*/ 0 h 16384"/>
            <a:gd name="T72" fmla="*/ 2287 w 16384"/>
            <a:gd name="T73" fmla="*/ 0 h 163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6384" h="16384">
              <a:moveTo>
                <a:pt x="2287" y="0"/>
              </a:moveTo>
              <a:lnTo>
                <a:pt x="1829" y="55"/>
              </a:lnTo>
              <a:lnTo>
                <a:pt x="1396" y="219"/>
              </a:lnTo>
              <a:lnTo>
                <a:pt x="1009" y="470"/>
              </a:lnTo>
              <a:lnTo>
                <a:pt x="675" y="806"/>
              </a:lnTo>
              <a:lnTo>
                <a:pt x="394" y="1205"/>
              </a:lnTo>
              <a:lnTo>
                <a:pt x="183" y="1666"/>
              </a:lnTo>
              <a:lnTo>
                <a:pt x="46" y="2183"/>
              </a:lnTo>
              <a:lnTo>
                <a:pt x="0" y="2730"/>
              </a:lnTo>
              <a:lnTo>
                <a:pt x="0" y="13654"/>
              </a:lnTo>
              <a:lnTo>
                <a:pt x="46" y="14201"/>
              </a:lnTo>
              <a:lnTo>
                <a:pt x="183" y="14718"/>
              </a:lnTo>
              <a:lnTo>
                <a:pt x="394" y="15179"/>
              </a:lnTo>
              <a:lnTo>
                <a:pt x="675" y="15586"/>
              </a:lnTo>
              <a:lnTo>
                <a:pt x="1009" y="15915"/>
              </a:lnTo>
              <a:lnTo>
                <a:pt x="1396" y="16165"/>
              </a:lnTo>
              <a:lnTo>
                <a:pt x="1829" y="16329"/>
              </a:lnTo>
              <a:lnTo>
                <a:pt x="2287" y="16384"/>
              </a:lnTo>
              <a:lnTo>
                <a:pt x="14103" y="16384"/>
              </a:lnTo>
              <a:lnTo>
                <a:pt x="14562" y="16329"/>
              </a:lnTo>
              <a:lnTo>
                <a:pt x="14988" y="16165"/>
              </a:lnTo>
              <a:lnTo>
                <a:pt x="15375" y="15915"/>
              </a:lnTo>
              <a:lnTo>
                <a:pt x="15716" y="15586"/>
              </a:lnTo>
              <a:lnTo>
                <a:pt x="15997" y="15179"/>
              </a:lnTo>
              <a:lnTo>
                <a:pt x="16207" y="14718"/>
              </a:lnTo>
              <a:lnTo>
                <a:pt x="16339" y="14201"/>
              </a:lnTo>
              <a:lnTo>
                <a:pt x="16384" y="13654"/>
              </a:lnTo>
              <a:lnTo>
                <a:pt x="16384" y="2730"/>
              </a:lnTo>
              <a:lnTo>
                <a:pt x="16339" y="2183"/>
              </a:lnTo>
              <a:lnTo>
                <a:pt x="16207" y="1666"/>
              </a:lnTo>
              <a:lnTo>
                <a:pt x="15997" y="1205"/>
              </a:lnTo>
              <a:lnTo>
                <a:pt x="15716" y="806"/>
              </a:lnTo>
              <a:lnTo>
                <a:pt x="15375" y="470"/>
              </a:lnTo>
              <a:lnTo>
                <a:pt x="14988" y="219"/>
              </a:lnTo>
              <a:lnTo>
                <a:pt x="14562" y="55"/>
              </a:lnTo>
              <a:lnTo>
                <a:pt x="14103" y="0"/>
              </a:lnTo>
              <a:lnTo>
                <a:pt x="2287" y="0"/>
              </a:lnTo>
              <a:close/>
            </a:path>
          </a:pathLst>
        </a:cu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sp>
    <xdr:clientData/>
  </xdr:twoCellAnchor>
  <xdr:twoCellAnchor>
    <xdr:from>
      <xdr:col>5</xdr:col>
      <xdr:colOff>117929</xdr:colOff>
      <xdr:row>22</xdr:row>
      <xdr:rowOff>60779</xdr:rowOff>
    </xdr:from>
    <xdr:to>
      <xdr:col>10</xdr:col>
      <xdr:colOff>26307</xdr:colOff>
      <xdr:row>37</xdr:row>
      <xdr:rowOff>82550</xdr:rowOff>
    </xdr:to>
    <xdr:sp macro="" textlink="">
      <xdr:nvSpPr>
        <xdr:cNvPr id="63" name="Rectangle: Rounded Corners 35">
          <a:extLst>
            <a:ext uri="{FF2B5EF4-FFF2-40B4-BE49-F238E27FC236}">
              <a16:creationId xmlns:a16="http://schemas.microsoft.com/office/drawing/2014/main" id="{86426731-6748-40D2-AC3E-5F558AFD12B0}"/>
            </a:ext>
          </a:extLst>
        </xdr:cNvPr>
        <xdr:cNvSpPr>
          <a:spLocks/>
        </xdr:cNvSpPr>
      </xdr:nvSpPr>
      <xdr:spPr bwMode="auto">
        <a:xfrm>
          <a:off x="3165929" y="4112079"/>
          <a:ext cx="2956378" cy="2784021"/>
        </a:xfrm>
        <a:custGeom>
          <a:avLst/>
          <a:gdLst>
            <a:gd name="T0" fmla="*/ 2287 w 16384"/>
            <a:gd name="T1" fmla="*/ 0 h 16384"/>
            <a:gd name="T2" fmla="*/ 1829 w 16384"/>
            <a:gd name="T3" fmla="*/ 55 h 16384"/>
            <a:gd name="T4" fmla="*/ 1396 w 16384"/>
            <a:gd name="T5" fmla="*/ 219 h 16384"/>
            <a:gd name="T6" fmla="*/ 1009 w 16384"/>
            <a:gd name="T7" fmla="*/ 470 h 16384"/>
            <a:gd name="T8" fmla="*/ 675 w 16384"/>
            <a:gd name="T9" fmla="*/ 806 h 16384"/>
            <a:gd name="T10" fmla="*/ 394 w 16384"/>
            <a:gd name="T11" fmla="*/ 1205 h 16384"/>
            <a:gd name="T12" fmla="*/ 183 w 16384"/>
            <a:gd name="T13" fmla="*/ 1666 h 16384"/>
            <a:gd name="T14" fmla="*/ 46 w 16384"/>
            <a:gd name="T15" fmla="*/ 2183 h 16384"/>
            <a:gd name="T16" fmla="*/ 0 w 16384"/>
            <a:gd name="T17" fmla="*/ 2730 h 16384"/>
            <a:gd name="T18" fmla="*/ 0 w 16384"/>
            <a:gd name="T19" fmla="*/ 13654 h 16384"/>
            <a:gd name="T20" fmla="*/ 46 w 16384"/>
            <a:gd name="T21" fmla="*/ 14201 h 16384"/>
            <a:gd name="T22" fmla="*/ 183 w 16384"/>
            <a:gd name="T23" fmla="*/ 14718 h 16384"/>
            <a:gd name="T24" fmla="*/ 394 w 16384"/>
            <a:gd name="T25" fmla="*/ 15179 h 16384"/>
            <a:gd name="T26" fmla="*/ 675 w 16384"/>
            <a:gd name="T27" fmla="*/ 15586 h 16384"/>
            <a:gd name="T28" fmla="*/ 1009 w 16384"/>
            <a:gd name="T29" fmla="*/ 15915 h 16384"/>
            <a:gd name="T30" fmla="*/ 1396 w 16384"/>
            <a:gd name="T31" fmla="*/ 16165 h 16384"/>
            <a:gd name="T32" fmla="*/ 1829 w 16384"/>
            <a:gd name="T33" fmla="*/ 16329 h 16384"/>
            <a:gd name="T34" fmla="*/ 2287 w 16384"/>
            <a:gd name="T35" fmla="*/ 16384 h 16384"/>
            <a:gd name="T36" fmla="*/ 14103 w 16384"/>
            <a:gd name="T37" fmla="*/ 16384 h 16384"/>
            <a:gd name="T38" fmla="*/ 14562 w 16384"/>
            <a:gd name="T39" fmla="*/ 16329 h 16384"/>
            <a:gd name="T40" fmla="*/ 14988 w 16384"/>
            <a:gd name="T41" fmla="*/ 16165 h 16384"/>
            <a:gd name="T42" fmla="*/ 15375 w 16384"/>
            <a:gd name="T43" fmla="*/ 15915 h 16384"/>
            <a:gd name="T44" fmla="*/ 15716 w 16384"/>
            <a:gd name="T45" fmla="*/ 15586 h 16384"/>
            <a:gd name="T46" fmla="*/ 15997 w 16384"/>
            <a:gd name="T47" fmla="*/ 15179 h 16384"/>
            <a:gd name="T48" fmla="*/ 16207 w 16384"/>
            <a:gd name="T49" fmla="*/ 14718 h 16384"/>
            <a:gd name="T50" fmla="*/ 16339 w 16384"/>
            <a:gd name="T51" fmla="*/ 14201 h 16384"/>
            <a:gd name="T52" fmla="*/ 16384 w 16384"/>
            <a:gd name="T53" fmla="*/ 13654 h 16384"/>
            <a:gd name="T54" fmla="*/ 16384 w 16384"/>
            <a:gd name="T55" fmla="*/ 2730 h 16384"/>
            <a:gd name="T56" fmla="*/ 16339 w 16384"/>
            <a:gd name="T57" fmla="*/ 2183 h 16384"/>
            <a:gd name="T58" fmla="*/ 16207 w 16384"/>
            <a:gd name="T59" fmla="*/ 1666 h 16384"/>
            <a:gd name="T60" fmla="*/ 15997 w 16384"/>
            <a:gd name="T61" fmla="*/ 1205 h 16384"/>
            <a:gd name="T62" fmla="*/ 15716 w 16384"/>
            <a:gd name="T63" fmla="*/ 806 h 16384"/>
            <a:gd name="T64" fmla="*/ 15375 w 16384"/>
            <a:gd name="T65" fmla="*/ 470 h 16384"/>
            <a:gd name="T66" fmla="*/ 14988 w 16384"/>
            <a:gd name="T67" fmla="*/ 219 h 16384"/>
            <a:gd name="T68" fmla="*/ 14562 w 16384"/>
            <a:gd name="T69" fmla="*/ 55 h 16384"/>
            <a:gd name="T70" fmla="*/ 14103 w 16384"/>
            <a:gd name="T71" fmla="*/ 0 h 16384"/>
            <a:gd name="T72" fmla="*/ 2287 w 16384"/>
            <a:gd name="T73" fmla="*/ 0 h 163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6384" h="16384">
              <a:moveTo>
                <a:pt x="2287" y="0"/>
              </a:moveTo>
              <a:lnTo>
                <a:pt x="1829" y="55"/>
              </a:lnTo>
              <a:lnTo>
                <a:pt x="1396" y="219"/>
              </a:lnTo>
              <a:lnTo>
                <a:pt x="1009" y="470"/>
              </a:lnTo>
              <a:lnTo>
                <a:pt x="675" y="806"/>
              </a:lnTo>
              <a:lnTo>
                <a:pt x="394" y="1205"/>
              </a:lnTo>
              <a:lnTo>
                <a:pt x="183" y="1666"/>
              </a:lnTo>
              <a:lnTo>
                <a:pt x="46" y="2183"/>
              </a:lnTo>
              <a:lnTo>
                <a:pt x="0" y="2730"/>
              </a:lnTo>
              <a:lnTo>
                <a:pt x="0" y="13654"/>
              </a:lnTo>
              <a:lnTo>
                <a:pt x="46" y="14201"/>
              </a:lnTo>
              <a:lnTo>
                <a:pt x="183" y="14718"/>
              </a:lnTo>
              <a:lnTo>
                <a:pt x="394" y="15179"/>
              </a:lnTo>
              <a:lnTo>
                <a:pt x="675" y="15586"/>
              </a:lnTo>
              <a:lnTo>
                <a:pt x="1009" y="15915"/>
              </a:lnTo>
              <a:lnTo>
                <a:pt x="1396" y="16165"/>
              </a:lnTo>
              <a:lnTo>
                <a:pt x="1829" y="16329"/>
              </a:lnTo>
              <a:lnTo>
                <a:pt x="2287" y="16384"/>
              </a:lnTo>
              <a:lnTo>
                <a:pt x="14103" y="16384"/>
              </a:lnTo>
              <a:lnTo>
                <a:pt x="14562" y="16329"/>
              </a:lnTo>
              <a:lnTo>
                <a:pt x="14988" y="16165"/>
              </a:lnTo>
              <a:lnTo>
                <a:pt x="15375" y="15915"/>
              </a:lnTo>
              <a:lnTo>
                <a:pt x="15716" y="15586"/>
              </a:lnTo>
              <a:lnTo>
                <a:pt x="15997" y="15179"/>
              </a:lnTo>
              <a:lnTo>
                <a:pt x="16207" y="14718"/>
              </a:lnTo>
              <a:lnTo>
                <a:pt x="16339" y="14201"/>
              </a:lnTo>
              <a:lnTo>
                <a:pt x="16384" y="13654"/>
              </a:lnTo>
              <a:lnTo>
                <a:pt x="16384" y="2730"/>
              </a:lnTo>
              <a:lnTo>
                <a:pt x="16339" y="2183"/>
              </a:lnTo>
              <a:lnTo>
                <a:pt x="16207" y="1666"/>
              </a:lnTo>
              <a:lnTo>
                <a:pt x="15997" y="1205"/>
              </a:lnTo>
              <a:lnTo>
                <a:pt x="15716" y="806"/>
              </a:lnTo>
              <a:lnTo>
                <a:pt x="15375" y="470"/>
              </a:lnTo>
              <a:lnTo>
                <a:pt x="14988" y="219"/>
              </a:lnTo>
              <a:lnTo>
                <a:pt x="14562" y="55"/>
              </a:lnTo>
              <a:lnTo>
                <a:pt x="14103" y="0"/>
              </a:lnTo>
              <a:lnTo>
                <a:pt x="2287" y="0"/>
              </a:lnTo>
              <a:close/>
            </a:path>
          </a:pathLst>
        </a:cu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sp>
    <xdr:clientData/>
  </xdr:twoCellAnchor>
  <xdr:twoCellAnchor>
    <xdr:from>
      <xdr:col>10</xdr:col>
      <xdr:colOff>102507</xdr:colOff>
      <xdr:row>22</xdr:row>
      <xdr:rowOff>60779</xdr:rowOff>
    </xdr:from>
    <xdr:to>
      <xdr:col>15</xdr:col>
      <xdr:colOff>10886</xdr:colOff>
      <xdr:row>37</xdr:row>
      <xdr:rowOff>88900</xdr:rowOff>
    </xdr:to>
    <xdr:sp macro="" textlink="">
      <xdr:nvSpPr>
        <xdr:cNvPr id="64" name="Rectangle: Rounded Corners 36">
          <a:extLst>
            <a:ext uri="{FF2B5EF4-FFF2-40B4-BE49-F238E27FC236}">
              <a16:creationId xmlns:a16="http://schemas.microsoft.com/office/drawing/2014/main" id="{248297C5-C390-45E9-9EF7-C861BC96B76C}"/>
            </a:ext>
          </a:extLst>
        </xdr:cNvPr>
        <xdr:cNvSpPr>
          <a:spLocks/>
        </xdr:cNvSpPr>
      </xdr:nvSpPr>
      <xdr:spPr bwMode="auto">
        <a:xfrm>
          <a:off x="6198507" y="4112079"/>
          <a:ext cx="2956379" cy="2790371"/>
        </a:xfrm>
        <a:custGeom>
          <a:avLst/>
          <a:gdLst>
            <a:gd name="T0" fmla="*/ 2287 w 16384"/>
            <a:gd name="T1" fmla="*/ 0 h 16384"/>
            <a:gd name="T2" fmla="*/ 1829 w 16384"/>
            <a:gd name="T3" fmla="*/ 55 h 16384"/>
            <a:gd name="T4" fmla="*/ 1396 w 16384"/>
            <a:gd name="T5" fmla="*/ 219 h 16384"/>
            <a:gd name="T6" fmla="*/ 1009 w 16384"/>
            <a:gd name="T7" fmla="*/ 470 h 16384"/>
            <a:gd name="T8" fmla="*/ 675 w 16384"/>
            <a:gd name="T9" fmla="*/ 806 h 16384"/>
            <a:gd name="T10" fmla="*/ 394 w 16384"/>
            <a:gd name="T11" fmla="*/ 1205 h 16384"/>
            <a:gd name="T12" fmla="*/ 183 w 16384"/>
            <a:gd name="T13" fmla="*/ 1666 h 16384"/>
            <a:gd name="T14" fmla="*/ 46 w 16384"/>
            <a:gd name="T15" fmla="*/ 2183 h 16384"/>
            <a:gd name="T16" fmla="*/ 0 w 16384"/>
            <a:gd name="T17" fmla="*/ 2730 h 16384"/>
            <a:gd name="T18" fmla="*/ 0 w 16384"/>
            <a:gd name="T19" fmla="*/ 13654 h 16384"/>
            <a:gd name="T20" fmla="*/ 46 w 16384"/>
            <a:gd name="T21" fmla="*/ 14201 h 16384"/>
            <a:gd name="T22" fmla="*/ 183 w 16384"/>
            <a:gd name="T23" fmla="*/ 14718 h 16384"/>
            <a:gd name="T24" fmla="*/ 394 w 16384"/>
            <a:gd name="T25" fmla="*/ 15179 h 16384"/>
            <a:gd name="T26" fmla="*/ 675 w 16384"/>
            <a:gd name="T27" fmla="*/ 15586 h 16384"/>
            <a:gd name="T28" fmla="*/ 1009 w 16384"/>
            <a:gd name="T29" fmla="*/ 15915 h 16384"/>
            <a:gd name="T30" fmla="*/ 1396 w 16384"/>
            <a:gd name="T31" fmla="*/ 16165 h 16384"/>
            <a:gd name="T32" fmla="*/ 1829 w 16384"/>
            <a:gd name="T33" fmla="*/ 16329 h 16384"/>
            <a:gd name="T34" fmla="*/ 2287 w 16384"/>
            <a:gd name="T35" fmla="*/ 16384 h 16384"/>
            <a:gd name="T36" fmla="*/ 14103 w 16384"/>
            <a:gd name="T37" fmla="*/ 16384 h 16384"/>
            <a:gd name="T38" fmla="*/ 14562 w 16384"/>
            <a:gd name="T39" fmla="*/ 16329 h 16384"/>
            <a:gd name="T40" fmla="*/ 14988 w 16384"/>
            <a:gd name="T41" fmla="*/ 16165 h 16384"/>
            <a:gd name="T42" fmla="*/ 15375 w 16384"/>
            <a:gd name="T43" fmla="*/ 15915 h 16384"/>
            <a:gd name="T44" fmla="*/ 15716 w 16384"/>
            <a:gd name="T45" fmla="*/ 15586 h 16384"/>
            <a:gd name="T46" fmla="*/ 15997 w 16384"/>
            <a:gd name="T47" fmla="*/ 15179 h 16384"/>
            <a:gd name="T48" fmla="*/ 16207 w 16384"/>
            <a:gd name="T49" fmla="*/ 14718 h 16384"/>
            <a:gd name="T50" fmla="*/ 16339 w 16384"/>
            <a:gd name="T51" fmla="*/ 14201 h 16384"/>
            <a:gd name="T52" fmla="*/ 16384 w 16384"/>
            <a:gd name="T53" fmla="*/ 13654 h 16384"/>
            <a:gd name="T54" fmla="*/ 16384 w 16384"/>
            <a:gd name="T55" fmla="*/ 2730 h 16384"/>
            <a:gd name="T56" fmla="*/ 16339 w 16384"/>
            <a:gd name="T57" fmla="*/ 2183 h 16384"/>
            <a:gd name="T58" fmla="*/ 16207 w 16384"/>
            <a:gd name="T59" fmla="*/ 1666 h 16384"/>
            <a:gd name="T60" fmla="*/ 15997 w 16384"/>
            <a:gd name="T61" fmla="*/ 1205 h 16384"/>
            <a:gd name="T62" fmla="*/ 15716 w 16384"/>
            <a:gd name="T63" fmla="*/ 806 h 16384"/>
            <a:gd name="T64" fmla="*/ 15375 w 16384"/>
            <a:gd name="T65" fmla="*/ 470 h 16384"/>
            <a:gd name="T66" fmla="*/ 14988 w 16384"/>
            <a:gd name="T67" fmla="*/ 219 h 16384"/>
            <a:gd name="T68" fmla="*/ 14562 w 16384"/>
            <a:gd name="T69" fmla="*/ 55 h 16384"/>
            <a:gd name="T70" fmla="*/ 14103 w 16384"/>
            <a:gd name="T71" fmla="*/ 0 h 16384"/>
            <a:gd name="T72" fmla="*/ 2287 w 16384"/>
            <a:gd name="T73" fmla="*/ 0 h 163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6384" h="16384">
              <a:moveTo>
                <a:pt x="2287" y="0"/>
              </a:moveTo>
              <a:lnTo>
                <a:pt x="1829" y="55"/>
              </a:lnTo>
              <a:lnTo>
                <a:pt x="1396" y="219"/>
              </a:lnTo>
              <a:lnTo>
                <a:pt x="1009" y="470"/>
              </a:lnTo>
              <a:lnTo>
                <a:pt x="675" y="806"/>
              </a:lnTo>
              <a:lnTo>
                <a:pt x="394" y="1205"/>
              </a:lnTo>
              <a:lnTo>
                <a:pt x="183" y="1666"/>
              </a:lnTo>
              <a:lnTo>
                <a:pt x="46" y="2183"/>
              </a:lnTo>
              <a:lnTo>
                <a:pt x="0" y="2730"/>
              </a:lnTo>
              <a:lnTo>
                <a:pt x="0" y="13654"/>
              </a:lnTo>
              <a:lnTo>
                <a:pt x="46" y="14201"/>
              </a:lnTo>
              <a:lnTo>
                <a:pt x="183" y="14718"/>
              </a:lnTo>
              <a:lnTo>
                <a:pt x="394" y="15179"/>
              </a:lnTo>
              <a:lnTo>
                <a:pt x="675" y="15586"/>
              </a:lnTo>
              <a:lnTo>
                <a:pt x="1009" y="15915"/>
              </a:lnTo>
              <a:lnTo>
                <a:pt x="1396" y="16165"/>
              </a:lnTo>
              <a:lnTo>
                <a:pt x="1829" y="16329"/>
              </a:lnTo>
              <a:lnTo>
                <a:pt x="2287" y="16384"/>
              </a:lnTo>
              <a:lnTo>
                <a:pt x="14103" y="16384"/>
              </a:lnTo>
              <a:lnTo>
                <a:pt x="14562" y="16329"/>
              </a:lnTo>
              <a:lnTo>
                <a:pt x="14988" y="16165"/>
              </a:lnTo>
              <a:lnTo>
                <a:pt x="15375" y="15915"/>
              </a:lnTo>
              <a:lnTo>
                <a:pt x="15716" y="15586"/>
              </a:lnTo>
              <a:lnTo>
                <a:pt x="15997" y="15179"/>
              </a:lnTo>
              <a:lnTo>
                <a:pt x="16207" y="14718"/>
              </a:lnTo>
              <a:lnTo>
                <a:pt x="16339" y="14201"/>
              </a:lnTo>
              <a:lnTo>
                <a:pt x="16384" y="13654"/>
              </a:lnTo>
              <a:lnTo>
                <a:pt x="16384" y="2730"/>
              </a:lnTo>
              <a:lnTo>
                <a:pt x="16339" y="2183"/>
              </a:lnTo>
              <a:lnTo>
                <a:pt x="16207" y="1666"/>
              </a:lnTo>
              <a:lnTo>
                <a:pt x="15997" y="1205"/>
              </a:lnTo>
              <a:lnTo>
                <a:pt x="15716" y="806"/>
              </a:lnTo>
              <a:lnTo>
                <a:pt x="15375" y="470"/>
              </a:lnTo>
              <a:lnTo>
                <a:pt x="14988" y="219"/>
              </a:lnTo>
              <a:lnTo>
                <a:pt x="14562" y="55"/>
              </a:lnTo>
              <a:lnTo>
                <a:pt x="14103" y="0"/>
              </a:lnTo>
              <a:lnTo>
                <a:pt x="2287" y="0"/>
              </a:lnTo>
              <a:close/>
            </a:path>
          </a:pathLst>
        </a:cu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sp>
    <xdr:clientData/>
  </xdr:twoCellAnchor>
  <xdr:twoCellAnchor>
    <xdr:from>
      <xdr:col>0</xdr:col>
      <xdr:colOff>425450</xdr:colOff>
      <xdr:row>23</xdr:row>
      <xdr:rowOff>9979</xdr:rowOff>
    </xdr:from>
    <xdr:to>
      <xdr:col>4</xdr:col>
      <xdr:colOff>424543</xdr:colOff>
      <xdr:row>24</xdr:row>
      <xdr:rowOff>125186</xdr:rowOff>
    </xdr:to>
    <xdr:sp macro="" textlink="">
      <xdr:nvSpPr>
        <xdr:cNvPr id="67" name="Rectangle: Rounded Corners 39">
          <a:extLst>
            <a:ext uri="{FF2B5EF4-FFF2-40B4-BE49-F238E27FC236}">
              <a16:creationId xmlns:a16="http://schemas.microsoft.com/office/drawing/2014/main" id="{E4986CDD-E884-4D7E-9D3D-6D5666D4E35C}"/>
            </a:ext>
          </a:extLst>
        </xdr:cNvPr>
        <xdr:cNvSpPr>
          <a:spLocks noChangeArrowheads="1"/>
        </xdr:cNvSpPr>
      </xdr:nvSpPr>
      <xdr:spPr bwMode="auto">
        <a:xfrm>
          <a:off x="425450" y="4245429"/>
          <a:ext cx="2437493" cy="299357"/>
        </a:xfrm>
        <a:prstGeom prst="roundRect">
          <a:avLst>
            <a:gd name="adj" fmla="val 16667"/>
          </a:avLst>
        </a:prstGeom>
        <a:solidFill>
          <a:srgbClr xmlns:mc="http://schemas.openxmlformats.org/markup-compatibility/2006" xmlns:a14="http://schemas.microsoft.com/office/drawing/2010/main" val="008080" mc:Ignorable="a14" a14:legacySpreadsheetColorIndex="21"/>
        </a:solidFill>
        <a:ln>
          <a:noFill/>
        </a:ln>
        <a:extLst>
          <a:ext uri="{91240B29-F687-4F45-9708-019B960494DF}">
            <a14:hiddenLine xmlns:a14="http://schemas.microsoft.com/office/drawing/2010/main" w="17145">
              <a:solidFill>
                <a:srgbClr xmlns:mc="http://schemas.openxmlformats.org/markup-compatibility/2006" val="000000" mc:Ignorable="a14" a14:legacySpreadsheetColorIndex="8"/>
              </a:solidFill>
              <a:round/>
              <a:headEnd/>
              <a:tailEnd/>
            </a14:hiddenLine>
          </a:ext>
        </a:extLst>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AI / LLM vs Non-AI Jobs </a:t>
          </a:r>
        </a:p>
      </xdr:txBody>
    </xdr:sp>
    <xdr:clientData/>
  </xdr:twoCellAnchor>
  <xdr:twoCellAnchor>
    <xdr:from>
      <xdr:col>5</xdr:col>
      <xdr:colOff>346529</xdr:colOff>
      <xdr:row>23</xdr:row>
      <xdr:rowOff>9979</xdr:rowOff>
    </xdr:from>
    <xdr:to>
      <xdr:col>9</xdr:col>
      <xdr:colOff>345621</xdr:colOff>
      <xdr:row>24</xdr:row>
      <xdr:rowOff>125186</xdr:rowOff>
    </xdr:to>
    <xdr:sp macro="" textlink="">
      <xdr:nvSpPr>
        <xdr:cNvPr id="68" name="Rectangle: Rounded Corners 40">
          <a:extLst>
            <a:ext uri="{FF2B5EF4-FFF2-40B4-BE49-F238E27FC236}">
              <a16:creationId xmlns:a16="http://schemas.microsoft.com/office/drawing/2014/main" id="{07FE1DA6-BAFA-405C-9DF9-D0BCAEFB574F}"/>
            </a:ext>
          </a:extLst>
        </xdr:cNvPr>
        <xdr:cNvSpPr>
          <a:spLocks noChangeArrowheads="1"/>
        </xdr:cNvSpPr>
      </xdr:nvSpPr>
      <xdr:spPr bwMode="auto">
        <a:xfrm>
          <a:off x="3394529" y="4245429"/>
          <a:ext cx="2437492" cy="299357"/>
        </a:xfrm>
        <a:prstGeom prst="roundRect">
          <a:avLst>
            <a:gd name="adj" fmla="val 16667"/>
          </a:avLst>
        </a:prstGeom>
        <a:solidFill>
          <a:srgbClr xmlns:mc="http://schemas.openxmlformats.org/markup-compatibility/2006" xmlns:a14="http://schemas.microsoft.com/office/drawing/2010/main" val="008080" mc:Ignorable="a14" a14:legacySpreadsheetColorIndex="21"/>
        </a:solidFill>
        <a:ln>
          <a:noFill/>
        </a:ln>
        <a:extLst>
          <a:ext uri="{91240B29-F687-4F45-9708-019B960494DF}">
            <a14:hiddenLine xmlns:a14="http://schemas.microsoft.com/office/drawing/2010/main" w="17145">
              <a:solidFill>
                <a:srgbClr xmlns:mc="http://schemas.openxmlformats.org/markup-compatibility/2006" val="000000" mc:Ignorable="a14" a14:legacySpreadsheetColorIndex="8"/>
              </a:solidFill>
              <a:round/>
              <a:headEnd/>
              <a:tailEnd/>
            </a14:hiddenLine>
          </a:ext>
        </a:extLst>
      </xdr:spPr>
      <xdr:txBody>
        <a:bodyPr vertOverflow="clip" wrap="square" lIns="36576" tIns="36576" rIns="36576" bIns="36576" anchor="ctr" upright="1"/>
        <a:lstStyle/>
        <a:p>
          <a:pPr algn="ctr" rtl="0">
            <a:defRPr sz="1000"/>
          </a:pPr>
          <a:r>
            <a:rPr lang="en-IN" sz="1100" b="1">
              <a:solidFill>
                <a:schemeClr val="bg2"/>
              </a:solidFill>
            </a:rPr>
            <a:t>Job Demand by Industry</a:t>
          </a:r>
          <a:endParaRPr lang="en-IN" sz="1100" b="1" i="0" u="none" strike="noStrike" baseline="0">
            <a:solidFill>
              <a:schemeClr val="bg2"/>
            </a:solidFill>
            <a:latin typeface="Aptos Narrow"/>
          </a:endParaRPr>
        </a:p>
      </xdr:txBody>
    </xdr:sp>
    <xdr:clientData/>
  </xdr:twoCellAnchor>
  <xdr:twoCellAnchor>
    <xdr:from>
      <xdr:col>10</xdr:col>
      <xdr:colOff>331107</xdr:colOff>
      <xdr:row>23</xdr:row>
      <xdr:rowOff>9979</xdr:rowOff>
    </xdr:from>
    <xdr:to>
      <xdr:col>14</xdr:col>
      <xdr:colOff>330200</xdr:colOff>
      <xdr:row>24</xdr:row>
      <xdr:rowOff>125186</xdr:rowOff>
    </xdr:to>
    <xdr:sp macro="" textlink="">
      <xdr:nvSpPr>
        <xdr:cNvPr id="69" name="Rectangle: Rounded Corners 41">
          <a:extLst>
            <a:ext uri="{FF2B5EF4-FFF2-40B4-BE49-F238E27FC236}">
              <a16:creationId xmlns:a16="http://schemas.microsoft.com/office/drawing/2014/main" id="{013613A2-6F0F-4E1E-8352-1D8FB6E85D99}"/>
            </a:ext>
          </a:extLst>
        </xdr:cNvPr>
        <xdr:cNvSpPr>
          <a:spLocks noChangeArrowheads="1"/>
        </xdr:cNvSpPr>
      </xdr:nvSpPr>
      <xdr:spPr bwMode="auto">
        <a:xfrm>
          <a:off x="6427107" y="4245429"/>
          <a:ext cx="2437493" cy="299357"/>
        </a:xfrm>
        <a:prstGeom prst="roundRect">
          <a:avLst>
            <a:gd name="adj" fmla="val 16667"/>
          </a:avLst>
        </a:prstGeom>
        <a:solidFill>
          <a:srgbClr xmlns:mc="http://schemas.openxmlformats.org/markup-compatibility/2006" xmlns:a14="http://schemas.microsoft.com/office/drawing/2010/main" val="008080" mc:Ignorable="a14" a14:legacySpreadsheetColorIndex="21"/>
        </a:solidFill>
        <a:ln>
          <a:noFill/>
        </a:ln>
        <a:extLst>
          <a:ext uri="{91240B29-F687-4F45-9708-019B960494DF}">
            <a14:hiddenLine xmlns:a14="http://schemas.microsoft.com/office/drawing/2010/main" w="17145">
              <a:solidFill>
                <a:srgbClr xmlns:mc="http://schemas.openxmlformats.org/markup-compatibility/2006" val="000000" mc:Ignorable="a14" a14:legacySpreadsheetColorIndex="8"/>
              </a:solidFill>
              <a:round/>
              <a:headEnd/>
              <a:tailEnd/>
            </a14:hiddenLine>
          </a:ext>
        </a:extLst>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Avg Salary by Job Category </a:t>
          </a:r>
        </a:p>
      </xdr:txBody>
    </xdr:sp>
    <xdr:clientData/>
  </xdr:twoCellAnchor>
  <xdr:twoCellAnchor>
    <xdr:from>
      <xdr:col>15</xdr:col>
      <xdr:colOff>48986</xdr:colOff>
      <xdr:row>9</xdr:row>
      <xdr:rowOff>16328</xdr:rowOff>
    </xdr:from>
    <xdr:to>
      <xdr:col>18</xdr:col>
      <xdr:colOff>399143</xdr:colOff>
      <xdr:row>21</xdr:row>
      <xdr:rowOff>9070</xdr:rowOff>
    </xdr:to>
    <xdr:sp macro="" textlink="">
      <xdr:nvSpPr>
        <xdr:cNvPr id="71" name="Rectangle: Rounded Corners 43">
          <a:extLst>
            <a:ext uri="{FF2B5EF4-FFF2-40B4-BE49-F238E27FC236}">
              <a16:creationId xmlns:a16="http://schemas.microsoft.com/office/drawing/2014/main" id="{18C70190-47CC-4B2A-B505-4395BAD737DC}"/>
            </a:ext>
          </a:extLst>
        </xdr:cNvPr>
        <xdr:cNvSpPr>
          <a:spLocks/>
        </xdr:cNvSpPr>
      </xdr:nvSpPr>
      <xdr:spPr bwMode="auto">
        <a:xfrm>
          <a:off x="9165772" y="1649185"/>
          <a:ext cx="2173514" cy="2169885"/>
        </a:xfrm>
        <a:custGeom>
          <a:avLst/>
          <a:gdLst>
            <a:gd name="T0" fmla="*/ 2602 w 16384"/>
            <a:gd name="T1" fmla="*/ 0 h 16384"/>
            <a:gd name="T2" fmla="*/ 2077 w 16384"/>
            <a:gd name="T3" fmla="*/ 55 h 16384"/>
            <a:gd name="T4" fmla="*/ 1593 w 16384"/>
            <a:gd name="T5" fmla="*/ 214 h 16384"/>
            <a:gd name="T6" fmla="*/ 1147 w 16384"/>
            <a:gd name="T7" fmla="*/ 469 h 16384"/>
            <a:gd name="T8" fmla="*/ 760 w 16384"/>
            <a:gd name="T9" fmla="*/ 799 h 16384"/>
            <a:gd name="T10" fmla="*/ 446 w 16384"/>
            <a:gd name="T11" fmla="*/ 1207 h 16384"/>
            <a:gd name="T12" fmla="*/ 203 w 16384"/>
            <a:gd name="T13" fmla="*/ 1676 h 16384"/>
            <a:gd name="T14" fmla="*/ 52 w 16384"/>
            <a:gd name="T15" fmla="*/ 2184 h 16384"/>
            <a:gd name="T16" fmla="*/ 0 w 16384"/>
            <a:gd name="T17" fmla="*/ 2736 h 16384"/>
            <a:gd name="T18" fmla="*/ 0 w 16384"/>
            <a:gd name="T19" fmla="*/ 13655 h 16384"/>
            <a:gd name="T20" fmla="*/ 52 w 16384"/>
            <a:gd name="T21" fmla="*/ 14206 h 16384"/>
            <a:gd name="T22" fmla="*/ 203 w 16384"/>
            <a:gd name="T23" fmla="*/ 14715 h 16384"/>
            <a:gd name="T24" fmla="*/ 446 w 16384"/>
            <a:gd name="T25" fmla="*/ 15185 h 16384"/>
            <a:gd name="T26" fmla="*/ 760 w 16384"/>
            <a:gd name="T27" fmla="*/ 15584 h 16384"/>
            <a:gd name="T28" fmla="*/ 1147 w 16384"/>
            <a:gd name="T29" fmla="*/ 15915 h 16384"/>
            <a:gd name="T30" fmla="*/ 1593 w 16384"/>
            <a:gd name="T31" fmla="*/ 16170 h 16384"/>
            <a:gd name="T32" fmla="*/ 2077 w 16384"/>
            <a:gd name="T33" fmla="*/ 16328 h 16384"/>
            <a:gd name="T34" fmla="*/ 2602 w 16384"/>
            <a:gd name="T35" fmla="*/ 16384 h 16384"/>
            <a:gd name="T36" fmla="*/ 13789 w 16384"/>
            <a:gd name="T37" fmla="*/ 16384 h 16384"/>
            <a:gd name="T38" fmla="*/ 14313 w 16384"/>
            <a:gd name="T39" fmla="*/ 16328 h 16384"/>
            <a:gd name="T40" fmla="*/ 14798 w 16384"/>
            <a:gd name="T41" fmla="*/ 16170 h 16384"/>
            <a:gd name="T42" fmla="*/ 15243 w 16384"/>
            <a:gd name="T43" fmla="*/ 15915 h 16384"/>
            <a:gd name="T44" fmla="*/ 15624 w 16384"/>
            <a:gd name="T45" fmla="*/ 15584 h 16384"/>
            <a:gd name="T46" fmla="*/ 15938 w 16384"/>
            <a:gd name="T47" fmla="*/ 15185 h 16384"/>
            <a:gd name="T48" fmla="*/ 16181 w 16384"/>
            <a:gd name="T49" fmla="*/ 14715 h 16384"/>
            <a:gd name="T50" fmla="*/ 16331 w 16384"/>
            <a:gd name="T51" fmla="*/ 14206 h 16384"/>
            <a:gd name="T52" fmla="*/ 16384 w 16384"/>
            <a:gd name="T53" fmla="*/ 13655 h 16384"/>
            <a:gd name="T54" fmla="*/ 16384 w 16384"/>
            <a:gd name="T55" fmla="*/ 2736 h 16384"/>
            <a:gd name="T56" fmla="*/ 16331 w 16384"/>
            <a:gd name="T57" fmla="*/ 2184 h 16384"/>
            <a:gd name="T58" fmla="*/ 16181 w 16384"/>
            <a:gd name="T59" fmla="*/ 1676 h 16384"/>
            <a:gd name="T60" fmla="*/ 15938 w 16384"/>
            <a:gd name="T61" fmla="*/ 1207 h 16384"/>
            <a:gd name="T62" fmla="*/ 15624 w 16384"/>
            <a:gd name="T63" fmla="*/ 799 h 16384"/>
            <a:gd name="T64" fmla="*/ 15243 w 16384"/>
            <a:gd name="T65" fmla="*/ 469 h 16384"/>
            <a:gd name="T66" fmla="*/ 14798 w 16384"/>
            <a:gd name="T67" fmla="*/ 214 h 16384"/>
            <a:gd name="T68" fmla="*/ 14313 w 16384"/>
            <a:gd name="T69" fmla="*/ 55 h 16384"/>
            <a:gd name="T70" fmla="*/ 13789 w 16384"/>
            <a:gd name="T71" fmla="*/ 0 h 16384"/>
            <a:gd name="T72" fmla="*/ 2602 w 16384"/>
            <a:gd name="T73" fmla="*/ 0 h 163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6384" h="16384">
              <a:moveTo>
                <a:pt x="2602" y="0"/>
              </a:moveTo>
              <a:lnTo>
                <a:pt x="2077" y="55"/>
              </a:lnTo>
              <a:lnTo>
                <a:pt x="1593" y="214"/>
              </a:lnTo>
              <a:lnTo>
                <a:pt x="1147" y="469"/>
              </a:lnTo>
              <a:lnTo>
                <a:pt x="760" y="799"/>
              </a:lnTo>
              <a:lnTo>
                <a:pt x="446" y="1207"/>
              </a:lnTo>
              <a:lnTo>
                <a:pt x="203" y="1676"/>
              </a:lnTo>
              <a:lnTo>
                <a:pt x="52" y="2184"/>
              </a:lnTo>
              <a:lnTo>
                <a:pt x="0" y="2736"/>
              </a:lnTo>
              <a:lnTo>
                <a:pt x="0" y="13655"/>
              </a:lnTo>
              <a:lnTo>
                <a:pt x="52" y="14206"/>
              </a:lnTo>
              <a:lnTo>
                <a:pt x="203" y="14715"/>
              </a:lnTo>
              <a:lnTo>
                <a:pt x="446" y="15185"/>
              </a:lnTo>
              <a:lnTo>
                <a:pt x="760" y="15584"/>
              </a:lnTo>
              <a:lnTo>
                <a:pt x="1147" y="15915"/>
              </a:lnTo>
              <a:lnTo>
                <a:pt x="1593" y="16170"/>
              </a:lnTo>
              <a:lnTo>
                <a:pt x="2077" y="16328"/>
              </a:lnTo>
              <a:lnTo>
                <a:pt x="2602" y="16384"/>
              </a:lnTo>
              <a:lnTo>
                <a:pt x="13789" y="16384"/>
              </a:lnTo>
              <a:lnTo>
                <a:pt x="14313" y="16328"/>
              </a:lnTo>
              <a:lnTo>
                <a:pt x="14798" y="16170"/>
              </a:lnTo>
              <a:lnTo>
                <a:pt x="15243" y="15915"/>
              </a:lnTo>
              <a:lnTo>
                <a:pt x="15624" y="15584"/>
              </a:lnTo>
              <a:lnTo>
                <a:pt x="15938" y="15185"/>
              </a:lnTo>
              <a:lnTo>
                <a:pt x="16181" y="14715"/>
              </a:lnTo>
              <a:lnTo>
                <a:pt x="16331" y="14206"/>
              </a:lnTo>
              <a:lnTo>
                <a:pt x="16384" y="13655"/>
              </a:lnTo>
              <a:lnTo>
                <a:pt x="16384" y="2736"/>
              </a:lnTo>
              <a:lnTo>
                <a:pt x="16331" y="2184"/>
              </a:lnTo>
              <a:lnTo>
                <a:pt x="16181" y="1676"/>
              </a:lnTo>
              <a:lnTo>
                <a:pt x="15938" y="1207"/>
              </a:lnTo>
              <a:lnTo>
                <a:pt x="15624" y="799"/>
              </a:lnTo>
              <a:lnTo>
                <a:pt x="15243" y="469"/>
              </a:lnTo>
              <a:lnTo>
                <a:pt x="14798" y="214"/>
              </a:lnTo>
              <a:lnTo>
                <a:pt x="14313" y="55"/>
              </a:lnTo>
              <a:lnTo>
                <a:pt x="13789" y="0"/>
              </a:lnTo>
              <a:lnTo>
                <a:pt x="2602" y="0"/>
              </a:lnTo>
              <a:close/>
            </a:path>
          </a:pathLst>
        </a:cu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sp>
    <xdr:clientData/>
  </xdr:twoCellAnchor>
  <xdr:twoCellAnchor>
    <xdr:from>
      <xdr:col>15</xdr:col>
      <xdr:colOff>48986</xdr:colOff>
      <xdr:row>22</xdr:row>
      <xdr:rowOff>36285</xdr:rowOff>
    </xdr:from>
    <xdr:to>
      <xdr:col>18</xdr:col>
      <xdr:colOff>430893</xdr:colOff>
      <xdr:row>37</xdr:row>
      <xdr:rowOff>63499</xdr:rowOff>
    </xdr:to>
    <xdr:sp macro="" textlink="">
      <xdr:nvSpPr>
        <xdr:cNvPr id="72" name="Rectangle: Rounded Corners 46">
          <a:extLst>
            <a:ext uri="{FF2B5EF4-FFF2-40B4-BE49-F238E27FC236}">
              <a16:creationId xmlns:a16="http://schemas.microsoft.com/office/drawing/2014/main" id="{88E4A787-A35E-44EF-9EBE-F81615C025C1}"/>
            </a:ext>
          </a:extLst>
        </xdr:cNvPr>
        <xdr:cNvSpPr>
          <a:spLocks/>
        </xdr:cNvSpPr>
      </xdr:nvSpPr>
      <xdr:spPr bwMode="auto">
        <a:xfrm>
          <a:off x="9165772" y="4027714"/>
          <a:ext cx="2205264" cy="2748642"/>
        </a:xfrm>
        <a:custGeom>
          <a:avLst/>
          <a:gdLst>
            <a:gd name="T0" fmla="*/ 2733 w 16384"/>
            <a:gd name="T1" fmla="*/ 0 h 16384"/>
            <a:gd name="T2" fmla="*/ 2187 w 16384"/>
            <a:gd name="T3" fmla="*/ 46 h 16384"/>
            <a:gd name="T4" fmla="*/ 1674 w 16384"/>
            <a:gd name="T5" fmla="*/ 170 h 16384"/>
            <a:gd name="T6" fmla="*/ 1211 w 16384"/>
            <a:gd name="T7" fmla="*/ 367 h 16384"/>
            <a:gd name="T8" fmla="*/ 799 w 16384"/>
            <a:gd name="T9" fmla="*/ 622 h 16384"/>
            <a:gd name="T10" fmla="*/ 471 w 16384"/>
            <a:gd name="T11" fmla="*/ 943 h 16384"/>
            <a:gd name="T12" fmla="*/ 218 w 16384"/>
            <a:gd name="T13" fmla="*/ 1304 h 16384"/>
            <a:gd name="T14" fmla="*/ 59 w 16384"/>
            <a:gd name="T15" fmla="*/ 1705 h 16384"/>
            <a:gd name="T16" fmla="*/ 0 w 16384"/>
            <a:gd name="T17" fmla="*/ 2130 h 16384"/>
            <a:gd name="T18" fmla="*/ 0 w 16384"/>
            <a:gd name="T19" fmla="*/ 14261 h 16384"/>
            <a:gd name="T20" fmla="*/ 59 w 16384"/>
            <a:gd name="T21" fmla="*/ 14686 h 16384"/>
            <a:gd name="T22" fmla="*/ 218 w 16384"/>
            <a:gd name="T23" fmla="*/ 15087 h 16384"/>
            <a:gd name="T24" fmla="*/ 471 w 16384"/>
            <a:gd name="T25" fmla="*/ 15447 h 16384"/>
            <a:gd name="T26" fmla="*/ 799 w 16384"/>
            <a:gd name="T27" fmla="*/ 15762 h 16384"/>
            <a:gd name="T28" fmla="*/ 1211 w 16384"/>
            <a:gd name="T29" fmla="*/ 16024 h 16384"/>
            <a:gd name="T30" fmla="*/ 1674 w 16384"/>
            <a:gd name="T31" fmla="*/ 16220 h 16384"/>
            <a:gd name="T32" fmla="*/ 2187 w 16384"/>
            <a:gd name="T33" fmla="*/ 16338 h 16384"/>
            <a:gd name="T34" fmla="*/ 2733 w 16384"/>
            <a:gd name="T35" fmla="*/ 16384 h 16384"/>
            <a:gd name="T36" fmla="*/ 13650 w 16384"/>
            <a:gd name="T37" fmla="*/ 16384 h 16384"/>
            <a:gd name="T38" fmla="*/ 14206 w 16384"/>
            <a:gd name="T39" fmla="*/ 16338 h 16384"/>
            <a:gd name="T40" fmla="*/ 14718 w 16384"/>
            <a:gd name="T41" fmla="*/ 16220 h 16384"/>
            <a:gd name="T42" fmla="*/ 15181 w 16384"/>
            <a:gd name="T43" fmla="*/ 16024 h 16384"/>
            <a:gd name="T44" fmla="*/ 15584 w 16384"/>
            <a:gd name="T45" fmla="*/ 15762 h 16384"/>
            <a:gd name="T46" fmla="*/ 15921 w 16384"/>
            <a:gd name="T47" fmla="*/ 15447 h 16384"/>
            <a:gd name="T48" fmla="*/ 16174 w 16384"/>
            <a:gd name="T49" fmla="*/ 15087 h 16384"/>
            <a:gd name="T50" fmla="*/ 16325 w 16384"/>
            <a:gd name="T51" fmla="*/ 14686 h 16384"/>
            <a:gd name="T52" fmla="*/ 16384 w 16384"/>
            <a:gd name="T53" fmla="*/ 14261 h 16384"/>
            <a:gd name="T54" fmla="*/ 16384 w 16384"/>
            <a:gd name="T55" fmla="*/ 2130 h 16384"/>
            <a:gd name="T56" fmla="*/ 16325 w 16384"/>
            <a:gd name="T57" fmla="*/ 1705 h 16384"/>
            <a:gd name="T58" fmla="*/ 16174 w 16384"/>
            <a:gd name="T59" fmla="*/ 1304 h 16384"/>
            <a:gd name="T60" fmla="*/ 15921 w 16384"/>
            <a:gd name="T61" fmla="*/ 943 h 16384"/>
            <a:gd name="T62" fmla="*/ 15584 w 16384"/>
            <a:gd name="T63" fmla="*/ 622 h 16384"/>
            <a:gd name="T64" fmla="*/ 15181 w 16384"/>
            <a:gd name="T65" fmla="*/ 367 h 16384"/>
            <a:gd name="T66" fmla="*/ 14718 w 16384"/>
            <a:gd name="T67" fmla="*/ 170 h 16384"/>
            <a:gd name="T68" fmla="*/ 14206 w 16384"/>
            <a:gd name="T69" fmla="*/ 46 h 16384"/>
            <a:gd name="T70" fmla="*/ 13650 w 16384"/>
            <a:gd name="T71" fmla="*/ 0 h 16384"/>
            <a:gd name="T72" fmla="*/ 2733 w 16384"/>
            <a:gd name="T73" fmla="*/ 0 h 163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16384" h="16384">
              <a:moveTo>
                <a:pt x="2733" y="0"/>
              </a:moveTo>
              <a:lnTo>
                <a:pt x="2187" y="46"/>
              </a:lnTo>
              <a:lnTo>
                <a:pt x="1674" y="170"/>
              </a:lnTo>
              <a:lnTo>
                <a:pt x="1211" y="367"/>
              </a:lnTo>
              <a:lnTo>
                <a:pt x="799" y="622"/>
              </a:lnTo>
              <a:lnTo>
                <a:pt x="471" y="943"/>
              </a:lnTo>
              <a:lnTo>
                <a:pt x="218" y="1304"/>
              </a:lnTo>
              <a:lnTo>
                <a:pt x="59" y="1705"/>
              </a:lnTo>
              <a:lnTo>
                <a:pt x="0" y="2130"/>
              </a:lnTo>
              <a:lnTo>
                <a:pt x="0" y="14261"/>
              </a:lnTo>
              <a:lnTo>
                <a:pt x="59" y="14686"/>
              </a:lnTo>
              <a:lnTo>
                <a:pt x="218" y="15087"/>
              </a:lnTo>
              <a:lnTo>
                <a:pt x="471" y="15447"/>
              </a:lnTo>
              <a:lnTo>
                <a:pt x="799" y="15762"/>
              </a:lnTo>
              <a:lnTo>
                <a:pt x="1211" y="16024"/>
              </a:lnTo>
              <a:lnTo>
                <a:pt x="1674" y="16220"/>
              </a:lnTo>
              <a:lnTo>
                <a:pt x="2187" y="16338"/>
              </a:lnTo>
              <a:lnTo>
                <a:pt x="2733" y="16384"/>
              </a:lnTo>
              <a:lnTo>
                <a:pt x="13650" y="16384"/>
              </a:lnTo>
              <a:lnTo>
                <a:pt x="14206" y="16338"/>
              </a:lnTo>
              <a:lnTo>
                <a:pt x="14718" y="16220"/>
              </a:lnTo>
              <a:lnTo>
                <a:pt x="15181" y="16024"/>
              </a:lnTo>
              <a:lnTo>
                <a:pt x="15584" y="15762"/>
              </a:lnTo>
              <a:lnTo>
                <a:pt x="15921" y="15447"/>
              </a:lnTo>
              <a:lnTo>
                <a:pt x="16174" y="15087"/>
              </a:lnTo>
              <a:lnTo>
                <a:pt x="16325" y="14686"/>
              </a:lnTo>
              <a:lnTo>
                <a:pt x="16384" y="14261"/>
              </a:lnTo>
              <a:lnTo>
                <a:pt x="16384" y="2130"/>
              </a:lnTo>
              <a:lnTo>
                <a:pt x="16325" y="1705"/>
              </a:lnTo>
              <a:lnTo>
                <a:pt x="16174" y="1304"/>
              </a:lnTo>
              <a:lnTo>
                <a:pt x="15921" y="943"/>
              </a:lnTo>
              <a:lnTo>
                <a:pt x="15584" y="622"/>
              </a:lnTo>
              <a:lnTo>
                <a:pt x="15181" y="367"/>
              </a:lnTo>
              <a:lnTo>
                <a:pt x="14718" y="170"/>
              </a:lnTo>
              <a:lnTo>
                <a:pt x="14206" y="46"/>
              </a:lnTo>
              <a:lnTo>
                <a:pt x="13650" y="0"/>
              </a:lnTo>
              <a:lnTo>
                <a:pt x="2733" y="0"/>
              </a:lnTo>
              <a:close/>
            </a:path>
          </a:pathLst>
        </a:custGeom>
        <a:solidFill>
          <a:srgbClr xmlns:mc="http://schemas.openxmlformats.org/markup-compatibility/2006" xmlns:a14="http://schemas.microsoft.com/office/drawing/2010/main" val="008080" mc:Ignorable="a14" a14:legacySpreadsheetColorIndex="21"/>
        </a:solidFill>
        <a:ln w="17145" cap="flat">
          <a:solidFill>
            <a:srgbClr xmlns:mc="http://schemas.openxmlformats.org/markup-compatibility/2006" xmlns:a14="http://schemas.microsoft.com/office/drawing/2010/main" val="333333" mc:Ignorable="a14" a14:legacySpreadsheetColorIndex="63"/>
          </a:solidFill>
          <a:prstDash val="solid"/>
          <a:round/>
          <a:headEnd/>
          <a:tailEnd/>
        </a:ln>
      </xdr:spPr>
    </xdr:sp>
    <xdr:clientData/>
  </xdr:twoCellAnchor>
  <xdr:twoCellAnchor>
    <xdr:from>
      <xdr:col>0</xdr:col>
      <xdr:colOff>44450</xdr:colOff>
      <xdr:row>4</xdr:row>
      <xdr:rowOff>38100</xdr:rowOff>
    </xdr:from>
    <xdr:to>
      <xdr:col>3</xdr:col>
      <xdr:colOff>429650</xdr:colOff>
      <xdr:row>8</xdr:row>
      <xdr:rowOff>43100</xdr:rowOff>
    </xdr:to>
    <xdr:sp macro="" textlink="">
      <xdr:nvSpPr>
        <xdr:cNvPr id="74" name="Rectangle: Rounded Corners 73">
          <a:extLst>
            <a:ext uri="{FF2B5EF4-FFF2-40B4-BE49-F238E27FC236}">
              <a16:creationId xmlns:a16="http://schemas.microsoft.com/office/drawing/2014/main" id="{6DBBACEB-5D2A-9B08-9555-9FA1823D371B}"/>
            </a:ext>
          </a:extLst>
        </xdr:cNvPr>
        <xdr:cNvSpPr/>
      </xdr:nvSpPr>
      <xdr:spPr>
        <a:xfrm>
          <a:off x="44450" y="774700"/>
          <a:ext cx="2214000" cy="74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482600</xdr:colOff>
      <xdr:row>4</xdr:row>
      <xdr:rowOff>38100</xdr:rowOff>
    </xdr:from>
    <xdr:to>
      <xdr:col>7</xdr:col>
      <xdr:colOff>258200</xdr:colOff>
      <xdr:row>8</xdr:row>
      <xdr:rowOff>43100</xdr:rowOff>
    </xdr:to>
    <xdr:sp macro="" textlink="">
      <xdr:nvSpPr>
        <xdr:cNvPr id="75" name="Rectangle: Rounded Corners 74">
          <a:extLst>
            <a:ext uri="{FF2B5EF4-FFF2-40B4-BE49-F238E27FC236}">
              <a16:creationId xmlns:a16="http://schemas.microsoft.com/office/drawing/2014/main" id="{3C148F8A-428D-DAAE-B853-D96AAC1200C5}"/>
            </a:ext>
          </a:extLst>
        </xdr:cNvPr>
        <xdr:cNvSpPr/>
      </xdr:nvSpPr>
      <xdr:spPr>
        <a:xfrm>
          <a:off x="2311400" y="774700"/>
          <a:ext cx="2214000" cy="74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304800</xdr:colOff>
      <xdr:row>4</xdr:row>
      <xdr:rowOff>38100</xdr:rowOff>
    </xdr:from>
    <xdr:to>
      <xdr:col>11</xdr:col>
      <xdr:colOff>80400</xdr:colOff>
      <xdr:row>8</xdr:row>
      <xdr:rowOff>43100</xdr:rowOff>
    </xdr:to>
    <xdr:sp macro="" textlink="">
      <xdr:nvSpPr>
        <xdr:cNvPr id="76" name="Rectangle: Rounded Corners 75">
          <a:extLst>
            <a:ext uri="{FF2B5EF4-FFF2-40B4-BE49-F238E27FC236}">
              <a16:creationId xmlns:a16="http://schemas.microsoft.com/office/drawing/2014/main" id="{E52100E2-FF22-34A0-2D58-2F78C5B8ED96}"/>
            </a:ext>
          </a:extLst>
        </xdr:cNvPr>
        <xdr:cNvSpPr/>
      </xdr:nvSpPr>
      <xdr:spPr>
        <a:xfrm>
          <a:off x="4572000" y="774700"/>
          <a:ext cx="2214000" cy="74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139700</xdr:colOff>
      <xdr:row>4</xdr:row>
      <xdr:rowOff>38100</xdr:rowOff>
    </xdr:from>
    <xdr:to>
      <xdr:col>14</xdr:col>
      <xdr:colOff>524900</xdr:colOff>
      <xdr:row>8</xdr:row>
      <xdr:rowOff>43100</xdr:rowOff>
    </xdr:to>
    <xdr:sp macro="" textlink="">
      <xdr:nvSpPr>
        <xdr:cNvPr id="77" name="Rectangle: Rounded Corners 76">
          <a:extLst>
            <a:ext uri="{FF2B5EF4-FFF2-40B4-BE49-F238E27FC236}">
              <a16:creationId xmlns:a16="http://schemas.microsoft.com/office/drawing/2014/main" id="{C4A5842F-766E-FB67-3804-EB1FFC46A40B}"/>
            </a:ext>
          </a:extLst>
        </xdr:cNvPr>
        <xdr:cNvSpPr/>
      </xdr:nvSpPr>
      <xdr:spPr>
        <a:xfrm>
          <a:off x="6845300" y="774700"/>
          <a:ext cx="2214000" cy="74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577850</xdr:colOff>
      <xdr:row>4</xdr:row>
      <xdr:rowOff>38100</xdr:rowOff>
    </xdr:from>
    <xdr:to>
      <xdr:col>18</xdr:col>
      <xdr:colOff>353450</xdr:colOff>
      <xdr:row>8</xdr:row>
      <xdr:rowOff>43100</xdr:rowOff>
    </xdr:to>
    <xdr:sp macro="" textlink="">
      <xdr:nvSpPr>
        <xdr:cNvPr id="78" name="Rectangle: Rounded Corners 77">
          <a:extLst>
            <a:ext uri="{FF2B5EF4-FFF2-40B4-BE49-F238E27FC236}">
              <a16:creationId xmlns:a16="http://schemas.microsoft.com/office/drawing/2014/main" id="{5EF86B96-A1F7-E241-8957-CAD098077785}"/>
            </a:ext>
          </a:extLst>
        </xdr:cNvPr>
        <xdr:cNvSpPr/>
      </xdr:nvSpPr>
      <xdr:spPr>
        <a:xfrm>
          <a:off x="9112250" y="774700"/>
          <a:ext cx="2214000" cy="74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336550</xdr:colOff>
      <xdr:row>4</xdr:row>
      <xdr:rowOff>69850</xdr:rowOff>
    </xdr:from>
    <xdr:to>
      <xdr:col>3</xdr:col>
      <xdr:colOff>204107</xdr:colOff>
      <xdr:row>6</xdr:row>
      <xdr:rowOff>3629</xdr:rowOff>
    </xdr:to>
    <xdr:sp macro="" textlink="">
      <xdr:nvSpPr>
        <xdr:cNvPr id="79" name="Rectangle: Rounded Corners 8">
          <a:extLst>
            <a:ext uri="{FF2B5EF4-FFF2-40B4-BE49-F238E27FC236}">
              <a16:creationId xmlns:a16="http://schemas.microsoft.com/office/drawing/2014/main" id="{7B436245-A226-4E6D-B6D4-E4EFD9297B7D}"/>
            </a:ext>
          </a:extLst>
        </xdr:cNvPr>
        <xdr:cNvSpPr>
          <a:spLocks noChangeArrowheads="1"/>
        </xdr:cNvSpPr>
      </xdr:nvSpPr>
      <xdr:spPr bwMode="auto">
        <a:xfrm>
          <a:off x="336550" y="80645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Total Jobs</a:t>
          </a:r>
        </a:p>
      </xdr:txBody>
    </xdr:sp>
    <xdr:clientData/>
  </xdr:twoCellAnchor>
  <xdr:twoCellAnchor>
    <xdr:from>
      <xdr:col>4</xdr:col>
      <xdr:colOff>25400</xdr:colOff>
      <xdr:row>4</xdr:row>
      <xdr:rowOff>69850</xdr:rowOff>
    </xdr:from>
    <xdr:to>
      <xdr:col>6</xdr:col>
      <xdr:colOff>502557</xdr:colOff>
      <xdr:row>6</xdr:row>
      <xdr:rowOff>3629</xdr:rowOff>
    </xdr:to>
    <xdr:sp macro="" textlink="">
      <xdr:nvSpPr>
        <xdr:cNvPr id="80" name="Rectangle: Rounded Corners 8">
          <a:extLst>
            <a:ext uri="{FF2B5EF4-FFF2-40B4-BE49-F238E27FC236}">
              <a16:creationId xmlns:a16="http://schemas.microsoft.com/office/drawing/2014/main" id="{2A62E9AA-FCDC-4EA2-84B1-52955FE3FED0}"/>
            </a:ext>
          </a:extLst>
        </xdr:cNvPr>
        <xdr:cNvSpPr>
          <a:spLocks noChangeArrowheads="1"/>
        </xdr:cNvSpPr>
      </xdr:nvSpPr>
      <xdr:spPr bwMode="auto">
        <a:xfrm>
          <a:off x="2463800" y="80645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Average Annual Salary</a:t>
          </a:r>
        </a:p>
      </xdr:txBody>
    </xdr:sp>
    <xdr:clientData/>
  </xdr:twoCellAnchor>
  <xdr:twoCellAnchor>
    <xdr:from>
      <xdr:col>7</xdr:col>
      <xdr:colOff>457200</xdr:colOff>
      <xdr:row>4</xdr:row>
      <xdr:rowOff>69850</xdr:rowOff>
    </xdr:from>
    <xdr:to>
      <xdr:col>10</xdr:col>
      <xdr:colOff>324757</xdr:colOff>
      <xdr:row>6</xdr:row>
      <xdr:rowOff>3629</xdr:rowOff>
    </xdr:to>
    <xdr:sp macro="" textlink="">
      <xdr:nvSpPr>
        <xdr:cNvPr id="81" name="Rectangle: Rounded Corners 8">
          <a:extLst>
            <a:ext uri="{FF2B5EF4-FFF2-40B4-BE49-F238E27FC236}">
              <a16:creationId xmlns:a16="http://schemas.microsoft.com/office/drawing/2014/main" id="{D2282021-3D56-42D9-BAD6-559CF13DA3B5}"/>
            </a:ext>
          </a:extLst>
        </xdr:cNvPr>
        <xdr:cNvSpPr>
          <a:spLocks noChangeArrowheads="1"/>
        </xdr:cNvSpPr>
      </xdr:nvSpPr>
      <xdr:spPr bwMode="auto">
        <a:xfrm>
          <a:off x="4724400" y="80645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Remote Jobs %</a:t>
          </a:r>
        </a:p>
      </xdr:txBody>
    </xdr:sp>
    <xdr:clientData/>
  </xdr:twoCellAnchor>
  <xdr:twoCellAnchor>
    <xdr:from>
      <xdr:col>11</xdr:col>
      <xdr:colOff>488950</xdr:colOff>
      <xdr:row>4</xdr:row>
      <xdr:rowOff>69850</xdr:rowOff>
    </xdr:from>
    <xdr:to>
      <xdr:col>14</xdr:col>
      <xdr:colOff>356507</xdr:colOff>
      <xdr:row>6</xdr:row>
      <xdr:rowOff>3629</xdr:rowOff>
    </xdr:to>
    <xdr:sp macro="" textlink="">
      <xdr:nvSpPr>
        <xdr:cNvPr id="82" name="Rectangle: Rounded Corners 8">
          <a:extLst>
            <a:ext uri="{FF2B5EF4-FFF2-40B4-BE49-F238E27FC236}">
              <a16:creationId xmlns:a16="http://schemas.microsoft.com/office/drawing/2014/main" id="{AB6A403D-8F50-4304-BE72-2309388F8750}"/>
            </a:ext>
          </a:extLst>
        </xdr:cNvPr>
        <xdr:cNvSpPr>
          <a:spLocks noChangeArrowheads="1"/>
        </xdr:cNvSpPr>
      </xdr:nvSpPr>
      <xdr:spPr bwMode="auto">
        <a:xfrm>
          <a:off x="7194550" y="80645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AI / LLM Jobs %</a:t>
          </a:r>
        </a:p>
      </xdr:txBody>
    </xdr:sp>
    <xdr:clientData/>
  </xdr:twoCellAnchor>
  <xdr:twoCellAnchor>
    <xdr:from>
      <xdr:col>0</xdr:col>
      <xdr:colOff>330200</xdr:colOff>
      <xdr:row>6</xdr:row>
      <xdr:rowOff>63500</xdr:rowOff>
    </xdr:from>
    <xdr:to>
      <xdr:col>3</xdr:col>
      <xdr:colOff>197757</xdr:colOff>
      <xdr:row>7</xdr:row>
      <xdr:rowOff>181429</xdr:rowOff>
    </xdr:to>
    <xdr:sp macro="" textlink="Kpis!A4">
      <xdr:nvSpPr>
        <xdr:cNvPr id="84" name="Rectangle: Rounded Corners 8">
          <a:extLst>
            <a:ext uri="{FF2B5EF4-FFF2-40B4-BE49-F238E27FC236}">
              <a16:creationId xmlns:a16="http://schemas.microsoft.com/office/drawing/2014/main" id="{986B5FB2-9E2D-4247-9423-B069BB4599CA}"/>
            </a:ext>
          </a:extLst>
        </xdr:cNvPr>
        <xdr:cNvSpPr>
          <a:spLocks noChangeArrowheads="1"/>
        </xdr:cNvSpPr>
      </xdr:nvSpPr>
      <xdr:spPr bwMode="auto">
        <a:xfrm>
          <a:off x="330200" y="116840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fld id="{560A07AA-B818-4B13-B8B7-72AAEE20A832}" type="TxLink">
            <a:rPr lang="en-US" sz="1100" b="1" i="0" u="none" strike="noStrike" baseline="0">
              <a:solidFill>
                <a:schemeClr val="bg2"/>
              </a:solidFill>
              <a:latin typeface="Aptos Narrow"/>
            </a:rPr>
            <a:pPr algn="ctr" rtl="0">
              <a:defRPr sz="1000"/>
            </a:pPr>
            <a:t>1500</a:t>
          </a:fld>
          <a:endParaRPr lang="en-IN" sz="1100" b="1" i="0" u="none" strike="noStrike" baseline="0">
            <a:solidFill>
              <a:schemeClr val="bg2"/>
            </a:solidFill>
            <a:latin typeface="Aptos Narrow"/>
          </a:endParaRPr>
        </a:p>
      </xdr:txBody>
    </xdr:sp>
    <xdr:clientData/>
  </xdr:twoCellAnchor>
  <xdr:twoCellAnchor>
    <xdr:from>
      <xdr:col>4</xdr:col>
      <xdr:colOff>25400</xdr:colOff>
      <xdr:row>6</xdr:row>
      <xdr:rowOff>63500</xdr:rowOff>
    </xdr:from>
    <xdr:to>
      <xdr:col>6</xdr:col>
      <xdr:colOff>502557</xdr:colOff>
      <xdr:row>7</xdr:row>
      <xdr:rowOff>181429</xdr:rowOff>
    </xdr:to>
    <xdr:sp macro="" textlink="Kpis!D4">
      <xdr:nvSpPr>
        <xdr:cNvPr id="85" name="Rectangle: Rounded Corners 8">
          <a:extLst>
            <a:ext uri="{FF2B5EF4-FFF2-40B4-BE49-F238E27FC236}">
              <a16:creationId xmlns:a16="http://schemas.microsoft.com/office/drawing/2014/main" id="{776483F8-8220-468C-B604-2484BDA27B65}"/>
            </a:ext>
          </a:extLst>
        </xdr:cNvPr>
        <xdr:cNvSpPr>
          <a:spLocks noChangeArrowheads="1"/>
        </xdr:cNvSpPr>
      </xdr:nvSpPr>
      <xdr:spPr bwMode="auto">
        <a:xfrm>
          <a:off x="2463800" y="116840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fld id="{7C6443A2-91B6-44BD-8E7B-470123693351}" type="TxLink">
            <a:rPr lang="en-US" sz="1100" b="1" i="0" u="none" strike="noStrike" baseline="0">
              <a:solidFill>
                <a:schemeClr val="bg2"/>
              </a:solidFill>
              <a:latin typeface="Aptos Narrow"/>
            </a:rPr>
            <a:pPr algn="ctr" rtl="0">
              <a:defRPr sz="1000"/>
            </a:pPr>
            <a:t>$ 1,94,892</a:t>
          </a:fld>
          <a:endParaRPr lang="en-IN" sz="1100" b="1" i="0" u="none" strike="noStrike" baseline="0">
            <a:solidFill>
              <a:schemeClr val="bg2"/>
            </a:solidFill>
            <a:latin typeface="Aptos Narrow"/>
          </a:endParaRPr>
        </a:p>
      </xdr:txBody>
    </xdr:sp>
    <xdr:clientData/>
  </xdr:twoCellAnchor>
  <xdr:twoCellAnchor>
    <xdr:from>
      <xdr:col>7</xdr:col>
      <xdr:colOff>457200</xdr:colOff>
      <xdr:row>6</xdr:row>
      <xdr:rowOff>44450</xdr:rowOff>
    </xdr:from>
    <xdr:to>
      <xdr:col>10</xdr:col>
      <xdr:colOff>324757</xdr:colOff>
      <xdr:row>7</xdr:row>
      <xdr:rowOff>162379</xdr:rowOff>
    </xdr:to>
    <xdr:sp macro="" textlink="Kpis!K5">
      <xdr:nvSpPr>
        <xdr:cNvPr id="86" name="Rectangle: Rounded Corners 8">
          <a:extLst>
            <a:ext uri="{FF2B5EF4-FFF2-40B4-BE49-F238E27FC236}">
              <a16:creationId xmlns:a16="http://schemas.microsoft.com/office/drawing/2014/main" id="{24888E07-F6A9-4715-B7CA-8EA171D10746}"/>
            </a:ext>
          </a:extLst>
        </xdr:cNvPr>
        <xdr:cNvSpPr>
          <a:spLocks noChangeArrowheads="1"/>
        </xdr:cNvSpPr>
      </xdr:nvSpPr>
      <xdr:spPr bwMode="auto">
        <a:xfrm>
          <a:off x="4724400" y="114935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fld id="{33200062-C405-4DE5-8932-355F2A2B4BBB}" type="TxLink">
            <a:rPr lang="en-US" sz="1100" b="1" i="0" u="none" strike="noStrike" baseline="0">
              <a:solidFill>
                <a:schemeClr val="bg2"/>
              </a:solidFill>
              <a:latin typeface="Aptos Narrow"/>
            </a:rPr>
            <a:pPr algn="ctr" rtl="0">
              <a:defRPr sz="1000"/>
            </a:pPr>
            <a:t>75.40%</a:t>
          </a:fld>
          <a:endParaRPr lang="en-IN" sz="1100" b="1" i="0" u="none" strike="noStrike" baseline="0">
            <a:solidFill>
              <a:schemeClr val="bg2"/>
            </a:solidFill>
            <a:latin typeface="Aptos Narrow"/>
          </a:endParaRPr>
        </a:p>
      </xdr:txBody>
    </xdr:sp>
    <xdr:clientData/>
  </xdr:twoCellAnchor>
  <xdr:twoCellAnchor>
    <xdr:from>
      <xdr:col>11</xdr:col>
      <xdr:colOff>488950</xdr:colOff>
      <xdr:row>6</xdr:row>
      <xdr:rowOff>38100</xdr:rowOff>
    </xdr:from>
    <xdr:to>
      <xdr:col>14</xdr:col>
      <xdr:colOff>356507</xdr:colOff>
      <xdr:row>7</xdr:row>
      <xdr:rowOff>156029</xdr:rowOff>
    </xdr:to>
    <xdr:sp macro="" textlink="Kpis!E11">
      <xdr:nvSpPr>
        <xdr:cNvPr id="87" name="Rectangle: Rounded Corners 8">
          <a:extLst>
            <a:ext uri="{FF2B5EF4-FFF2-40B4-BE49-F238E27FC236}">
              <a16:creationId xmlns:a16="http://schemas.microsoft.com/office/drawing/2014/main" id="{30B9FD68-C26C-4B9C-BEA0-A48431F16C3D}"/>
            </a:ext>
          </a:extLst>
        </xdr:cNvPr>
        <xdr:cNvSpPr>
          <a:spLocks noChangeArrowheads="1"/>
        </xdr:cNvSpPr>
      </xdr:nvSpPr>
      <xdr:spPr bwMode="auto">
        <a:xfrm>
          <a:off x="7194550" y="114300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fld id="{19A0BB20-F3C6-49B2-9E01-DA24286FA531}" type="TxLink">
            <a:rPr lang="en-US" sz="1100" b="1" i="0" u="none" strike="noStrike" baseline="0">
              <a:solidFill>
                <a:schemeClr val="bg2"/>
              </a:solidFill>
              <a:latin typeface="Aptos Narrow"/>
            </a:rPr>
            <a:pPr algn="ctr" rtl="0">
              <a:defRPr sz="1000"/>
            </a:pPr>
            <a:t>21.80%</a:t>
          </a:fld>
          <a:endParaRPr lang="en-IN" sz="1100" b="1" i="0" u="none" strike="noStrike" baseline="0">
            <a:solidFill>
              <a:schemeClr val="bg2"/>
            </a:solidFill>
            <a:latin typeface="Aptos Narrow"/>
          </a:endParaRPr>
        </a:p>
      </xdr:txBody>
    </xdr:sp>
    <xdr:clientData/>
  </xdr:twoCellAnchor>
  <xdr:twoCellAnchor>
    <xdr:from>
      <xdr:col>15</xdr:col>
      <xdr:colOff>139700</xdr:colOff>
      <xdr:row>6</xdr:row>
      <xdr:rowOff>44450</xdr:rowOff>
    </xdr:from>
    <xdr:to>
      <xdr:col>18</xdr:col>
      <xdr:colOff>7257</xdr:colOff>
      <xdr:row>7</xdr:row>
      <xdr:rowOff>162379</xdr:rowOff>
    </xdr:to>
    <xdr:sp macro="" textlink="Kpis!J11">
      <xdr:nvSpPr>
        <xdr:cNvPr id="88" name="Rectangle: Rounded Corners 8">
          <a:extLst>
            <a:ext uri="{FF2B5EF4-FFF2-40B4-BE49-F238E27FC236}">
              <a16:creationId xmlns:a16="http://schemas.microsoft.com/office/drawing/2014/main" id="{9F5CCAF5-41CA-433E-9B6F-D34553F1584F}"/>
            </a:ext>
          </a:extLst>
        </xdr:cNvPr>
        <xdr:cNvSpPr>
          <a:spLocks noChangeArrowheads="1"/>
        </xdr:cNvSpPr>
      </xdr:nvSpPr>
      <xdr:spPr bwMode="auto">
        <a:xfrm>
          <a:off x="9283700" y="1149350"/>
          <a:ext cx="1696357" cy="302079"/>
        </a:xfrm>
        <a:prstGeom prst="roundRect">
          <a:avLst>
            <a:gd name="adj" fmla="val 16667"/>
          </a:avLst>
        </a:prstGeom>
        <a:noFill/>
        <a:ln>
          <a:noFill/>
        </a:ln>
      </xdr:spPr>
      <xdr:txBody>
        <a:bodyPr vertOverflow="clip" wrap="square" lIns="36576" tIns="36576" rIns="36576" bIns="36576"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fld id="{E21E3C62-C7FD-47AF-923B-7D4D2F298B4C}" type="TxLink">
            <a:rPr lang="en-US" sz="1100" b="1" i="0" u="none" strike="noStrike">
              <a:solidFill>
                <a:schemeClr val="bg2"/>
              </a:solidFill>
              <a:effectLst/>
              <a:latin typeface="Aptos Narrow"/>
            </a:rPr>
            <a:pPr marL="0" marR="0" lvl="0" indent="0" algn="ctr" defTabSz="914400" rtl="0" eaLnBrk="1" fontAlgn="auto" latinLnBrk="0" hangingPunct="1">
              <a:lnSpc>
                <a:spcPct val="100000"/>
              </a:lnSpc>
              <a:spcBef>
                <a:spcPts val="0"/>
              </a:spcBef>
              <a:spcAft>
                <a:spcPts val="0"/>
              </a:spcAft>
              <a:buClrTx/>
              <a:buSzTx/>
              <a:buFontTx/>
              <a:buNone/>
              <a:tabLst/>
              <a:defRPr sz="1000"/>
            </a:pPr>
            <a:t>8.80</a:t>
          </a:fld>
          <a:endParaRPr lang="en-IN" sz="1100" b="1">
            <a:solidFill>
              <a:schemeClr val="bg2"/>
            </a:solidFill>
            <a:effectLst/>
          </a:endParaRPr>
        </a:p>
      </xdr:txBody>
    </xdr:sp>
    <xdr:clientData/>
  </xdr:twoCellAnchor>
  <xdr:twoCellAnchor>
    <xdr:from>
      <xdr:col>15</xdr:col>
      <xdr:colOff>120650</xdr:colOff>
      <xdr:row>4</xdr:row>
      <xdr:rowOff>69850</xdr:rowOff>
    </xdr:from>
    <xdr:to>
      <xdr:col>17</xdr:col>
      <xdr:colOff>597807</xdr:colOff>
      <xdr:row>6</xdr:row>
      <xdr:rowOff>3629</xdr:rowOff>
    </xdr:to>
    <xdr:sp macro="" textlink="">
      <xdr:nvSpPr>
        <xdr:cNvPr id="89" name="Rectangle: Rounded Corners 8">
          <a:extLst>
            <a:ext uri="{FF2B5EF4-FFF2-40B4-BE49-F238E27FC236}">
              <a16:creationId xmlns:a16="http://schemas.microsoft.com/office/drawing/2014/main" id="{8C493BD2-5D5A-4DB2-B65F-670087688233}"/>
            </a:ext>
          </a:extLst>
        </xdr:cNvPr>
        <xdr:cNvSpPr>
          <a:spLocks noChangeArrowheads="1"/>
        </xdr:cNvSpPr>
      </xdr:nvSpPr>
      <xdr:spPr bwMode="auto">
        <a:xfrm>
          <a:off x="9264650" y="806450"/>
          <a:ext cx="1696357" cy="302079"/>
        </a:xfrm>
        <a:prstGeom prst="roundRect">
          <a:avLst>
            <a:gd name="adj" fmla="val 16667"/>
          </a:avLst>
        </a:prstGeom>
        <a:noFill/>
        <a:ln>
          <a:noFill/>
        </a:ln>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Avg Demand Score</a:t>
          </a:r>
        </a:p>
      </xdr:txBody>
    </xdr:sp>
    <xdr:clientData/>
  </xdr:twoCellAnchor>
  <xdr:twoCellAnchor>
    <xdr:from>
      <xdr:col>10</xdr:col>
      <xdr:colOff>260350</xdr:colOff>
      <xdr:row>24</xdr:row>
      <xdr:rowOff>156028</xdr:rowOff>
    </xdr:from>
    <xdr:to>
      <xdr:col>14</xdr:col>
      <xdr:colOff>469899</xdr:colOff>
      <xdr:row>36</xdr:row>
      <xdr:rowOff>146050</xdr:rowOff>
    </xdr:to>
    <xdr:graphicFrame macro="">
      <xdr:nvGraphicFramePr>
        <xdr:cNvPr id="92" name="Chart 91">
          <a:extLst>
            <a:ext uri="{FF2B5EF4-FFF2-40B4-BE49-F238E27FC236}">
              <a16:creationId xmlns:a16="http://schemas.microsoft.com/office/drawing/2014/main" id="{55061F92-5871-4DCE-B266-03788C1C8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336550</xdr:colOff>
      <xdr:row>10</xdr:row>
      <xdr:rowOff>98879</xdr:rowOff>
    </xdr:from>
    <xdr:to>
      <xdr:col>4</xdr:col>
      <xdr:colOff>311150</xdr:colOff>
      <xdr:row>21</xdr:row>
      <xdr:rowOff>130629</xdr:rowOff>
    </xdr:to>
    <xdr:graphicFrame macro="">
      <xdr:nvGraphicFramePr>
        <xdr:cNvPr id="94" name="Chart 93">
          <a:extLst>
            <a:ext uri="{FF2B5EF4-FFF2-40B4-BE49-F238E27FC236}">
              <a16:creationId xmlns:a16="http://schemas.microsoft.com/office/drawing/2014/main" id="{5E811484-E6D2-4902-B14A-AA0997916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317500</xdr:colOff>
      <xdr:row>9</xdr:row>
      <xdr:rowOff>3629</xdr:rowOff>
    </xdr:from>
    <xdr:to>
      <xdr:col>4</xdr:col>
      <xdr:colOff>316593</xdr:colOff>
      <xdr:row>10</xdr:row>
      <xdr:rowOff>118836</xdr:rowOff>
    </xdr:to>
    <xdr:sp macro="" textlink="">
      <xdr:nvSpPr>
        <xdr:cNvPr id="95" name="Rectangle: Rounded Corners 39">
          <a:extLst>
            <a:ext uri="{FF2B5EF4-FFF2-40B4-BE49-F238E27FC236}">
              <a16:creationId xmlns:a16="http://schemas.microsoft.com/office/drawing/2014/main" id="{FE810BE1-48D1-431C-96A3-26BC5E251926}"/>
            </a:ext>
          </a:extLst>
        </xdr:cNvPr>
        <xdr:cNvSpPr>
          <a:spLocks noChangeArrowheads="1"/>
        </xdr:cNvSpPr>
      </xdr:nvSpPr>
      <xdr:spPr bwMode="auto">
        <a:xfrm>
          <a:off x="317500" y="1660979"/>
          <a:ext cx="2437493" cy="299357"/>
        </a:xfrm>
        <a:prstGeom prst="roundRect">
          <a:avLst>
            <a:gd name="adj" fmla="val 16667"/>
          </a:avLst>
        </a:prstGeom>
        <a:solidFill>
          <a:srgbClr xmlns:mc="http://schemas.openxmlformats.org/markup-compatibility/2006" xmlns:a14="http://schemas.microsoft.com/office/drawing/2010/main" val="008080" mc:Ignorable="a14" a14:legacySpreadsheetColorIndex="21"/>
        </a:solidFill>
        <a:ln>
          <a:noFill/>
        </a:ln>
        <a:extLst>
          <a:ext uri="{91240B29-F687-4F45-9708-019B960494DF}">
            <a14:hiddenLine xmlns:a14="http://schemas.microsoft.com/office/drawing/2010/main" w="17145">
              <a:solidFill>
                <a:srgbClr xmlns:mc="http://schemas.openxmlformats.org/markup-compatibility/2006" val="000000" mc:Ignorable="a14" a14:legacySpreadsheetColorIndex="8"/>
              </a:solidFill>
              <a:round/>
              <a:headEnd/>
              <a:tailEnd/>
            </a14:hiddenLine>
          </a:ext>
        </a:extLst>
      </xdr:spPr>
      <xdr:txBody>
        <a:bodyPr vertOverflow="clip" wrap="square" lIns="36576" tIns="36576" rIns="36576" bIns="36576" anchor="ctr" upright="1"/>
        <a:lstStyle/>
        <a:p>
          <a:pPr algn="ctr" rtl="0">
            <a:defRPr sz="1000"/>
          </a:pPr>
          <a:r>
            <a:rPr lang="en-IN" sz="1100" b="1" i="0" u="none" strike="noStrike" baseline="0">
              <a:solidFill>
                <a:srgbClr val="FFFFFF"/>
              </a:solidFill>
              <a:latin typeface="Aptos Narrow"/>
            </a:rPr>
            <a:t>AI / LLM vs Non-AI Jobs </a:t>
          </a:r>
        </a:p>
      </xdr:txBody>
    </xdr:sp>
    <xdr:clientData/>
  </xdr:twoCellAnchor>
  <xdr:twoCellAnchor>
    <xdr:from>
      <xdr:col>0</xdr:col>
      <xdr:colOff>273050</xdr:colOff>
      <xdr:row>24</xdr:row>
      <xdr:rowOff>175078</xdr:rowOff>
    </xdr:from>
    <xdr:to>
      <xdr:col>4</xdr:col>
      <xdr:colOff>457200</xdr:colOff>
      <xdr:row>36</xdr:row>
      <xdr:rowOff>88900</xdr:rowOff>
    </xdr:to>
    <xdr:graphicFrame macro="">
      <xdr:nvGraphicFramePr>
        <xdr:cNvPr id="96" name="Chart 95">
          <a:extLst>
            <a:ext uri="{FF2B5EF4-FFF2-40B4-BE49-F238E27FC236}">
              <a16:creationId xmlns:a16="http://schemas.microsoft.com/office/drawing/2014/main" id="{381705F8-CFA2-41F6-B3C5-E7A577F94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165099</xdr:colOff>
      <xdr:row>11</xdr:row>
      <xdr:rowOff>12699</xdr:rowOff>
    </xdr:from>
    <xdr:to>
      <xdr:col>14</xdr:col>
      <xdr:colOff>508000</xdr:colOff>
      <xdr:row>21</xdr:row>
      <xdr:rowOff>92528</xdr:rowOff>
    </xdr:to>
    <xdr:graphicFrame macro="">
      <xdr:nvGraphicFramePr>
        <xdr:cNvPr id="97" name="Chart 96">
          <a:extLst>
            <a:ext uri="{FF2B5EF4-FFF2-40B4-BE49-F238E27FC236}">
              <a16:creationId xmlns:a16="http://schemas.microsoft.com/office/drawing/2014/main" id="{630FDE83-AB2E-4411-AC4E-9A084190E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219529</xdr:colOff>
      <xdr:row>10</xdr:row>
      <xdr:rowOff>130629</xdr:rowOff>
    </xdr:from>
    <xdr:to>
      <xdr:col>9</xdr:col>
      <xdr:colOff>486229</xdr:colOff>
      <xdr:row>21</xdr:row>
      <xdr:rowOff>63500</xdr:rowOff>
    </xdr:to>
    <xdr:graphicFrame macro="">
      <xdr:nvGraphicFramePr>
        <xdr:cNvPr id="99" name="Chart 98">
          <a:extLst>
            <a:ext uri="{FF2B5EF4-FFF2-40B4-BE49-F238E27FC236}">
              <a16:creationId xmlns:a16="http://schemas.microsoft.com/office/drawing/2014/main" id="{C2E565FE-F0B0-4836-A57E-42A3EDF2E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213179</xdr:colOff>
      <xdr:row>9</xdr:row>
      <xdr:rowOff>3629</xdr:rowOff>
    </xdr:from>
    <xdr:to>
      <xdr:col>8</xdr:col>
      <xdr:colOff>530304</xdr:colOff>
      <xdr:row>10</xdr:row>
      <xdr:rowOff>118209</xdr:rowOff>
    </xdr:to>
    <xdr:pic>
      <xdr:nvPicPr>
        <xdr:cNvPr id="100" name="Picture 99">
          <a:extLst>
            <a:ext uri="{FF2B5EF4-FFF2-40B4-BE49-F238E27FC236}">
              <a16:creationId xmlns:a16="http://schemas.microsoft.com/office/drawing/2014/main" id="{5C3D8B10-7243-7C48-9737-4063A84317D0}"/>
            </a:ext>
          </a:extLst>
        </xdr:cNvPr>
        <xdr:cNvPicPr>
          <a:picLocks noChangeAspect="1"/>
        </xdr:cNvPicPr>
      </xdr:nvPicPr>
      <xdr:blipFill>
        <a:blip xmlns:r="http://schemas.openxmlformats.org/officeDocument/2006/relationships" r:embed="rId6"/>
        <a:stretch>
          <a:fillRect/>
        </a:stretch>
      </xdr:blipFill>
      <xdr:spPr>
        <a:xfrm>
          <a:off x="3870779" y="1660979"/>
          <a:ext cx="1536325" cy="298730"/>
        </a:xfrm>
        <a:prstGeom prst="rect">
          <a:avLst/>
        </a:prstGeom>
      </xdr:spPr>
    </xdr:pic>
    <xdr:clientData/>
  </xdr:twoCellAnchor>
  <xdr:twoCellAnchor>
    <xdr:from>
      <xdr:col>5</xdr:col>
      <xdr:colOff>336550</xdr:colOff>
      <xdr:row>24</xdr:row>
      <xdr:rowOff>177800</xdr:rowOff>
    </xdr:from>
    <xdr:to>
      <xdr:col>9</xdr:col>
      <xdr:colOff>406399</xdr:colOff>
      <xdr:row>37</xdr:row>
      <xdr:rowOff>6804</xdr:rowOff>
    </xdr:to>
    <xdr:graphicFrame macro="">
      <xdr:nvGraphicFramePr>
        <xdr:cNvPr id="101" name="Chart 100">
          <a:extLst>
            <a:ext uri="{FF2B5EF4-FFF2-40B4-BE49-F238E27FC236}">
              <a16:creationId xmlns:a16="http://schemas.microsoft.com/office/drawing/2014/main" id="{10803270-56AF-4961-A06B-A56DB97A3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263070</xdr:colOff>
      <xdr:row>23</xdr:row>
      <xdr:rowOff>9072</xdr:rowOff>
    </xdr:from>
    <xdr:to>
      <xdr:col>18</xdr:col>
      <xdr:colOff>45356</xdr:colOff>
      <xdr:row>36</xdr:row>
      <xdr:rowOff>179158</xdr:rowOff>
    </xdr:to>
    <mc:AlternateContent xmlns:mc="http://schemas.openxmlformats.org/markup-compatibility/2006" xmlns:a14="http://schemas.microsoft.com/office/drawing/2010/main">
      <mc:Choice Requires="a14">
        <xdr:graphicFrame macro="">
          <xdr:nvGraphicFramePr>
            <xdr:cNvPr id="105" name="Country 1">
              <a:extLst>
                <a:ext uri="{FF2B5EF4-FFF2-40B4-BE49-F238E27FC236}">
                  <a16:creationId xmlns:a16="http://schemas.microsoft.com/office/drawing/2014/main" id="{36654CA2-95DE-4D09-8EF3-2D2390B8508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407070" y="4244522"/>
              <a:ext cx="1611086" cy="2564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226786</xdr:colOff>
      <xdr:row>9</xdr:row>
      <xdr:rowOff>63500</xdr:rowOff>
    </xdr:from>
    <xdr:to>
      <xdr:col>18</xdr:col>
      <xdr:colOff>232229</xdr:colOff>
      <xdr:row>15</xdr:row>
      <xdr:rowOff>9071</xdr:rowOff>
    </xdr:to>
    <mc:AlternateContent xmlns:mc="http://schemas.openxmlformats.org/markup-compatibility/2006" xmlns:a14="http://schemas.microsoft.com/office/drawing/2010/main">
      <mc:Choice Requires="a14">
        <xdr:graphicFrame macro="">
          <xdr:nvGraphicFramePr>
            <xdr:cNvPr id="106" name="Experience_Level 1">
              <a:extLst>
                <a:ext uri="{FF2B5EF4-FFF2-40B4-BE49-F238E27FC236}">
                  <a16:creationId xmlns:a16="http://schemas.microsoft.com/office/drawing/2014/main" id="{365BBE4B-73C1-40AD-A7F9-1B2E93FA0D76}"/>
                </a:ext>
              </a:extLst>
            </xdr:cNvPr>
            <xdr:cNvGraphicFramePr/>
          </xdr:nvGraphicFramePr>
          <xdr:xfrm>
            <a:off x="0" y="0"/>
            <a:ext cx="0" cy="0"/>
          </xdr:xfrm>
          <a:graphic>
            <a:graphicData uri="http://schemas.microsoft.com/office/drawing/2010/slicer">
              <sle:slicer xmlns:sle="http://schemas.microsoft.com/office/drawing/2010/slicer" name="Experience_Level 1"/>
            </a:graphicData>
          </a:graphic>
        </xdr:graphicFrame>
      </mc:Choice>
      <mc:Fallback xmlns="">
        <xdr:sp macro="" textlink="">
          <xdr:nvSpPr>
            <xdr:cNvPr id="0" name=""/>
            <xdr:cNvSpPr>
              <a:spLocks noTextEdit="1"/>
            </xdr:cNvSpPr>
          </xdr:nvSpPr>
          <xdr:spPr>
            <a:xfrm>
              <a:off x="9370786" y="1720850"/>
              <a:ext cx="1834243" cy="1050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244927</xdr:colOff>
      <xdr:row>15</xdr:row>
      <xdr:rowOff>18143</xdr:rowOff>
    </xdr:from>
    <xdr:to>
      <xdr:col>18</xdr:col>
      <xdr:colOff>244927</xdr:colOff>
      <xdr:row>20</xdr:row>
      <xdr:rowOff>50801</xdr:rowOff>
    </xdr:to>
    <mc:AlternateContent xmlns:mc="http://schemas.openxmlformats.org/markup-compatibility/2006" xmlns:a14="http://schemas.microsoft.com/office/drawing/2010/main">
      <mc:Choice Requires="a14">
        <xdr:graphicFrame macro="">
          <xdr:nvGraphicFramePr>
            <xdr:cNvPr id="107" name="Posting_Year 1">
              <a:extLst>
                <a:ext uri="{FF2B5EF4-FFF2-40B4-BE49-F238E27FC236}">
                  <a16:creationId xmlns:a16="http://schemas.microsoft.com/office/drawing/2014/main" id="{72F10483-C301-465C-93B7-9BF41DCD3871}"/>
                </a:ext>
              </a:extLst>
            </xdr:cNvPr>
            <xdr:cNvGraphicFramePr/>
          </xdr:nvGraphicFramePr>
          <xdr:xfrm>
            <a:off x="0" y="0"/>
            <a:ext cx="0" cy="0"/>
          </xdr:xfrm>
          <a:graphic>
            <a:graphicData uri="http://schemas.microsoft.com/office/drawing/2010/slicer">
              <sle:slicer xmlns:sle="http://schemas.microsoft.com/office/drawing/2010/slicer" name="Posting_Year 1"/>
            </a:graphicData>
          </a:graphic>
        </xdr:graphicFrame>
      </mc:Choice>
      <mc:Fallback xmlns="">
        <xdr:sp macro="" textlink="">
          <xdr:nvSpPr>
            <xdr:cNvPr id="0" name=""/>
            <xdr:cNvSpPr>
              <a:spLocks noTextEdit="1"/>
            </xdr:cNvSpPr>
          </xdr:nvSpPr>
          <xdr:spPr>
            <a:xfrm>
              <a:off x="9388927" y="2780393"/>
              <a:ext cx="1828800" cy="953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444500</xdr:colOff>
      <xdr:row>2</xdr:row>
      <xdr:rowOff>139700</xdr:rowOff>
    </xdr:from>
    <xdr:to>
      <xdr:col>14</xdr:col>
      <xdr:colOff>444500</xdr:colOff>
      <xdr:row>16</xdr:row>
      <xdr:rowOff>180972</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B1808C2E-502D-1300-FED6-4613A793AEB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299700" y="5080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1682750</xdr:colOff>
      <xdr:row>0</xdr:row>
      <xdr:rowOff>177800</xdr:rowOff>
    </xdr:from>
    <xdr:to>
      <xdr:col>6</xdr:col>
      <xdr:colOff>469900</xdr:colOff>
      <xdr:row>9</xdr:row>
      <xdr:rowOff>25400</xdr:rowOff>
    </xdr:to>
    <mc:AlternateContent xmlns:mc="http://schemas.openxmlformats.org/markup-compatibility/2006" xmlns:a14="http://schemas.microsoft.com/office/drawing/2010/main">
      <mc:Choice Requires="a14">
        <xdr:graphicFrame macro="">
          <xdr:nvGraphicFramePr>
            <xdr:cNvPr id="3" name="Experience_Level">
              <a:extLst>
                <a:ext uri="{FF2B5EF4-FFF2-40B4-BE49-F238E27FC236}">
                  <a16:creationId xmlns:a16="http://schemas.microsoft.com/office/drawing/2014/main" id="{84D7EB18-21D7-7B0D-E5CE-C09DB52A70DC}"/>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4184650" y="177800"/>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520700</xdr:colOff>
      <xdr:row>3</xdr:row>
      <xdr:rowOff>50800</xdr:rowOff>
    </xdr:from>
    <xdr:to>
      <xdr:col>7</xdr:col>
      <xdr:colOff>1479550</xdr:colOff>
      <xdr:row>8</xdr:row>
      <xdr:rowOff>69850</xdr:rowOff>
    </xdr:to>
    <mc:AlternateContent xmlns:mc="http://schemas.openxmlformats.org/markup-compatibility/2006" xmlns:a14="http://schemas.microsoft.com/office/drawing/2010/main">
      <mc:Choice Requires="a14">
        <xdr:graphicFrame macro="">
          <xdr:nvGraphicFramePr>
            <xdr:cNvPr id="4" name="Posting_Year">
              <a:extLst>
                <a:ext uri="{FF2B5EF4-FFF2-40B4-BE49-F238E27FC236}">
                  <a16:creationId xmlns:a16="http://schemas.microsoft.com/office/drawing/2014/main" id="{E14F751B-4E6E-38B9-391F-EF7FC6DF6774}"/>
                </a:ext>
              </a:extLst>
            </xdr:cNvPr>
            <xdr:cNvGraphicFramePr/>
          </xdr:nvGraphicFramePr>
          <xdr:xfrm>
            <a:off x="0" y="0"/>
            <a:ext cx="0" cy="0"/>
          </xdr:xfrm>
          <a:graphic>
            <a:graphicData uri="http://schemas.microsoft.com/office/drawing/2010/slicer">
              <sle:slicer xmlns:sle="http://schemas.microsoft.com/office/drawing/2010/slicer" name="Posting_Year"/>
            </a:graphicData>
          </a:graphic>
        </xdr:graphicFrame>
      </mc:Choice>
      <mc:Fallback xmlns="">
        <xdr:sp macro="" textlink="">
          <xdr:nvSpPr>
            <xdr:cNvPr id="0" name=""/>
            <xdr:cNvSpPr>
              <a:spLocks noTextEdit="1"/>
            </xdr:cNvSpPr>
          </xdr:nvSpPr>
          <xdr:spPr>
            <a:xfrm>
              <a:off x="6064250" y="603250"/>
              <a:ext cx="182880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88900</xdr:colOff>
      <xdr:row>1</xdr:row>
      <xdr:rowOff>66675</xdr:rowOff>
    </xdr:from>
    <xdr:to>
      <xdr:col>5</xdr:col>
      <xdr:colOff>381000</xdr:colOff>
      <xdr:row>15</xdr:row>
      <xdr:rowOff>31750</xdr:rowOff>
    </xdr:to>
    <xdr:graphicFrame macro="">
      <xdr:nvGraphicFramePr>
        <xdr:cNvPr id="2" name="Chart 1">
          <a:extLst>
            <a:ext uri="{FF2B5EF4-FFF2-40B4-BE49-F238E27FC236}">
              <a16:creationId xmlns:a16="http://schemas.microsoft.com/office/drawing/2014/main" id="{C70135DB-4201-5E25-AD89-857D92812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88900</xdr:colOff>
      <xdr:row>2</xdr:row>
      <xdr:rowOff>69850</xdr:rowOff>
    </xdr:from>
    <xdr:to>
      <xdr:col>15</xdr:col>
      <xdr:colOff>450850</xdr:colOff>
      <xdr:row>11</xdr:row>
      <xdr:rowOff>38100</xdr:rowOff>
    </xdr:to>
    <xdr:graphicFrame macro="">
      <xdr:nvGraphicFramePr>
        <xdr:cNvPr id="3" name="Chart 2">
          <a:extLst>
            <a:ext uri="{FF2B5EF4-FFF2-40B4-BE49-F238E27FC236}">
              <a16:creationId xmlns:a16="http://schemas.microsoft.com/office/drawing/2014/main" id="{D7A7A8CA-17BB-DB6E-142B-745150F0D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18</xdr:row>
      <xdr:rowOff>12700</xdr:rowOff>
    </xdr:from>
    <xdr:to>
      <xdr:col>2</xdr:col>
      <xdr:colOff>2070100</xdr:colOff>
      <xdr:row>27</xdr:row>
      <xdr:rowOff>146050</xdr:rowOff>
    </xdr:to>
    <xdr:graphicFrame macro="">
      <xdr:nvGraphicFramePr>
        <xdr:cNvPr id="4" name="Chart 3">
          <a:extLst>
            <a:ext uri="{FF2B5EF4-FFF2-40B4-BE49-F238E27FC236}">
              <a16:creationId xmlns:a16="http://schemas.microsoft.com/office/drawing/2014/main" id="{428BD68A-D477-6493-91DE-BC30AFBDB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31750</xdr:colOff>
      <xdr:row>24</xdr:row>
      <xdr:rowOff>114300</xdr:rowOff>
    </xdr:from>
    <xdr:to>
      <xdr:col>10</xdr:col>
      <xdr:colOff>311150</xdr:colOff>
      <xdr:row>33</xdr:row>
      <xdr:rowOff>6350</xdr:rowOff>
    </xdr:to>
    <xdr:graphicFrame macro="">
      <xdr:nvGraphicFramePr>
        <xdr:cNvPr id="5" name="Chart 4">
          <a:extLst>
            <a:ext uri="{FF2B5EF4-FFF2-40B4-BE49-F238E27FC236}">
              <a16:creationId xmlns:a16="http://schemas.microsoft.com/office/drawing/2014/main" id="{F19ECFB9-8383-D5AA-425E-715575564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285750</xdr:colOff>
      <xdr:row>39</xdr:row>
      <xdr:rowOff>50800</xdr:rowOff>
    </xdr:from>
    <xdr:to>
      <xdr:col>12</xdr:col>
      <xdr:colOff>546100</xdr:colOff>
      <xdr:row>51</xdr:row>
      <xdr:rowOff>25400</xdr:rowOff>
    </xdr:to>
    <xdr:graphicFrame macro="">
      <xdr:nvGraphicFramePr>
        <xdr:cNvPr id="12" name="Chart 11">
          <a:extLst>
            <a:ext uri="{FF2B5EF4-FFF2-40B4-BE49-F238E27FC236}">
              <a16:creationId xmlns:a16="http://schemas.microsoft.com/office/drawing/2014/main" id="{17814151-5D76-8AFB-9A7D-F53DCD44D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101600</xdr:colOff>
      <xdr:row>56</xdr:row>
      <xdr:rowOff>53975</xdr:rowOff>
    </xdr:from>
    <xdr:to>
      <xdr:col>3</xdr:col>
      <xdr:colOff>260350</xdr:colOff>
      <xdr:row>71</xdr:row>
      <xdr:rowOff>1</xdr:rowOff>
    </xdr:to>
    <xdr:graphicFrame macro="">
      <xdr:nvGraphicFramePr>
        <xdr:cNvPr id="13" name="Chart 12">
          <a:extLst>
            <a:ext uri="{FF2B5EF4-FFF2-40B4-BE49-F238E27FC236}">
              <a16:creationId xmlns:a16="http://schemas.microsoft.com/office/drawing/2014/main" id="{D415F894-B795-5165-EBAE-1AF230D9D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0.363077199072" createdVersion="8" refreshedVersion="8" minRefreshableVersion="3" recordCount="1500" xr:uid="{E3A7E43B-B432-4F8D-8D77-2A20D766F03F}">
  <cacheSource type="worksheet">
    <worksheetSource ref="A1:Y1501" sheet="Data"/>
  </cacheSource>
  <cacheFields count="25">
    <cacheField name="Job_Id" numFmtId="0">
      <sharedItems count="1500">
        <s v="AIJOB0001"/>
        <s v="AIJOB0002"/>
        <s v="AIJOB0003"/>
        <s v="AIJOB0004"/>
        <s v="AIJOB0005"/>
        <s v="AIJOB0006"/>
        <s v="AIJOB0007"/>
        <s v="AIJOB0008"/>
        <s v="AIJOB0009"/>
        <s v="AIJOB0010"/>
        <s v="AIJOB0011"/>
        <s v="AIJOB0012"/>
        <s v="AIJOB0013"/>
        <s v="AIJOB0014"/>
        <s v="AIJOB0015"/>
        <s v="AIJOB0016"/>
        <s v="AIJOB0017"/>
        <s v="AIJOB0018"/>
        <s v="AIJOB0019"/>
        <s v="AIJOB0020"/>
        <s v="AIJOB0021"/>
        <s v="AIJOB0022"/>
        <s v="AIJOB0023"/>
        <s v="AIJOB0024"/>
        <s v="AIJOB0025"/>
        <s v="AIJOB0026"/>
        <s v="AIJOB0027"/>
        <s v="AIJOB0028"/>
        <s v="AIJOB0029"/>
        <s v="AIJOB0030"/>
        <s v="AIJOB0031"/>
        <s v="AIJOB0032"/>
        <s v="AIJOB0033"/>
        <s v="AIJOB0034"/>
        <s v="AIJOB0035"/>
        <s v="AIJOB0036"/>
        <s v="AIJOB0037"/>
        <s v="AIJOB0038"/>
        <s v="AIJOB0039"/>
        <s v="AIJOB0040"/>
        <s v="AIJOB0041"/>
        <s v="AIJOB0042"/>
        <s v="AIJOB0043"/>
        <s v="AIJOB0044"/>
        <s v="AIJOB0045"/>
        <s v="AIJOB0046"/>
        <s v="AIJOB0047"/>
        <s v="AIJOB0048"/>
        <s v="AIJOB0049"/>
        <s v="AIJOB0050"/>
        <s v="AIJOB0051"/>
        <s v="AIJOB0052"/>
        <s v="AIJOB0053"/>
        <s v="AIJOB0054"/>
        <s v="AIJOB0055"/>
        <s v="AIJOB0056"/>
        <s v="AIJOB0057"/>
        <s v="AIJOB0058"/>
        <s v="AIJOB0059"/>
        <s v="AIJOB0060"/>
        <s v="AIJOB0061"/>
        <s v="AIJOB0062"/>
        <s v="AIJOB0063"/>
        <s v="AIJOB0064"/>
        <s v="AIJOB0065"/>
        <s v="AIJOB0066"/>
        <s v="AIJOB0067"/>
        <s v="AIJOB0068"/>
        <s v="AIJOB0069"/>
        <s v="AIJOB0070"/>
        <s v="AIJOB0071"/>
        <s v="AIJOB0072"/>
        <s v="AIJOB0073"/>
        <s v="AIJOB0074"/>
        <s v="AIJOB0075"/>
        <s v="AIJOB0076"/>
        <s v="AIJOB0077"/>
        <s v="AIJOB0078"/>
        <s v="AIJOB0079"/>
        <s v="AIJOB0080"/>
        <s v="AIJOB0081"/>
        <s v="AIJOB0082"/>
        <s v="AIJOB0083"/>
        <s v="AIJOB0084"/>
        <s v="AIJOB0085"/>
        <s v="AIJOB0086"/>
        <s v="AIJOB0087"/>
        <s v="AIJOB0088"/>
        <s v="AIJOB0089"/>
        <s v="AIJOB0090"/>
        <s v="AIJOB0091"/>
        <s v="AIJOB0092"/>
        <s v="AIJOB0093"/>
        <s v="AIJOB0094"/>
        <s v="AIJOB0095"/>
        <s v="AIJOB0096"/>
        <s v="AIJOB0097"/>
        <s v="AIJOB0098"/>
        <s v="AIJOB0099"/>
        <s v="AIJOB0100"/>
        <s v="AIJOB0101"/>
        <s v="AIJOB0102"/>
        <s v="AIJOB0103"/>
        <s v="AIJOB0104"/>
        <s v="AIJOB0105"/>
        <s v="AIJOB0106"/>
        <s v="AIJOB0107"/>
        <s v="AIJOB0108"/>
        <s v="AIJOB0109"/>
        <s v="AIJOB0110"/>
        <s v="AIJOB0111"/>
        <s v="AIJOB0112"/>
        <s v="AIJOB0113"/>
        <s v="AIJOB0114"/>
        <s v="AIJOB0115"/>
        <s v="AIJOB0116"/>
        <s v="AIJOB0117"/>
        <s v="AIJOB0118"/>
        <s v="AIJOB0119"/>
        <s v="AIJOB0120"/>
        <s v="AIJOB0121"/>
        <s v="AIJOB0122"/>
        <s v="AIJOB0123"/>
        <s v="AIJOB0124"/>
        <s v="AIJOB0125"/>
        <s v="AIJOB0126"/>
        <s v="AIJOB0127"/>
        <s v="AIJOB0128"/>
        <s v="AIJOB0129"/>
        <s v="AIJOB0130"/>
        <s v="AIJOB0131"/>
        <s v="AIJOB0132"/>
        <s v="AIJOB0133"/>
        <s v="AIJOB0134"/>
        <s v="AIJOB0135"/>
        <s v="AIJOB0136"/>
        <s v="AIJOB0137"/>
        <s v="AIJOB0138"/>
        <s v="AIJOB0139"/>
        <s v="AIJOB0140"/>
        <s v="AIJOB0141"/>
        <s v="AIJOB0142"/>
        <s v="AIJOB0143"/>
        <s v="AIJOB0144"/>
        <s v="AIJOB0145"/>
        <s v="AIJOB0146"/>
        <s v="AIJOB0147"/>
        <s v="AIJOB0148"/>
        <s v="AIJOB0149"/>
        <s v="AIJOB0150"/>
        <s v="AIJOB0151"/>
        <s v="AIJOB0152"/>
        <s v="AIJOB0153"/>
        <s v="AIJOB0154"/>
        <s v="AIJOB0155"/>
        <s v="AIJOB0156"/>
        <s v="AIJOB0157"/>
        <s v="AIJOB0158"/>
        <s v="AIJOB0159"/>
        <s v="AIJOB0160"/>
        <s v="AIJOB0161"/>
        <s v="AIJOB0162"/>
        <s v="AIJOB0163"/>
        <s v="AIJOB0164"/>
        <s v="AIJOB0165"/>
        <s v="AIJOB0166"/>
        <s v="AIJOB0167"/>
        <s v="AIJOB0168"/>
        <s v="AIJOB0169"/>
        <s v="AIJOB0170"/>
        <s v="AIJOB0171"/>
        <s v="AIJOB0172"/>
        <s v="AIJOB0173"/>
        <s v="AIJOB0174"/>
        <s v="AIJOB0175"/>
        <s v="AIJOB0176"/>
        <s v="AIJOB0177"/>
        <s v="AIJOB0178"/>
        <s v="AIJOB0179"/>
        <s v="AIJOB0180"/>
        <s v="AIJOB0181"/>
        <s v="AIJOB0182"/>
        <s v="AIJOB0183"/>
        <s v="AIJOB0184"/>
        <s v="AIJOB0185"/>
        <s v="AIJOB0186"/>
        <s v="AIJOB0187"/>
        <s v="AIJOB0188"/>
        <s v="AIJOB0189"/>
        <s v="AIJOB0190"/>
        <s v="AIJOB0191"/>
        <s v="AIJOB0192"/>
        <s v="AIJOB0193"/>
        <s v="AIJOB0194"/>
        <s v="AIJOB0195"/>
        <s v="AIJOB0196"/>
        <s v="AIJOB0197"/>
        <s v="AIJOB0198"/>
        <s v="AIJOB0199"/>
        <s v="AIJOB0200"/>
        <s v="AIJOB0201"/>
        <s v="AIJOB0202"/>
        <s v="AIJOB0203"/>
        <s v="AIJOB0204"/>
        <s v="AIJOB0205"/>
        <s v="AIJOB0206"/>
        <s v="AIJOB0207"/>
        <s v="AIJOB0208"/>
        <s v="AIJOB0209"/>
        <s v="AIJOB0210"/>
        <s v="AIJOB0211"/>
        <s v="AIJOB0212"/>
        <s v="AIJOB0213"/>
        <s v="AIJOB0214"/>
        <s v="AIJOB0215"/>
        <s v="AIJOB0216"/>
        <s v="AIJOB0217"/>
        <s v="AIJOB0218"/>
        <s v="AIJOB0219"/>
        <s v="AIJOB0220"/>
        <s v="AIJOB0221"/>
        <s v="AIJOB0222"/>
        <s v="AIJOB0223"/>
        <s v="AIJOB0224"/>
        <s v="AIJOB0225"/>
        <s v="AIJOB0226"/>
        <s v="AIJOB0227"/>
        <s v="AIJOB0228"/>
        <s v="AIJOB0229"/>
        <s v="AIJOB0230"/>
        <s v="AIJOB0231"/>
        <s v="AIJOB0232"/>
        <s v="AIJOB0233"/>
        <s v="AIJOB0234"/>
        <s v="AIJOB0235"/>
        <s v="AIJOB0236"/>
        <s v="AIJOB0237"/>
        <s v="AIJOB0238"/>
        <s v="AIJOB0239"/>
        <s v="AIJOB0240"/>
        <s v="AIJOB0241"/>
        <s v="AIJOB0242"/>
        <s v="AIJOB0243"/>
        <s v="AIJOB0244"/>
        <s v="AIJOB0245"/>
        <s v="AIJOB0246"/>
        <s v="AIJOB0247"/>
        <s v="AIJOB0248"/>
        <s v="AIJOB0249"/>
        <s v="AIJOB0250"/>
        <s v="AIJOB0251"/>
        <s v="AIJOB0252"/>
        <s v="AIJOB0253"/>
        <s v="AIJOB0254"/>
        <s v="AIJOB0255"/>
        <s v="AIJOB0256"/>
        <s v="AIJOB0257"/>
        <s v="AIJOB0258"/>
        <s v="AIJOB0259"/>
        <s v="AIJOB0260"/>
        <s v="AIJOB0261"/>
        <s v="AIJOB0262"/>
        <s v="AIJOB0263"/>
        <s v="AIJOB0264"/>
        <s v="AIJOB0265"/>
        <s v="AIJOB0266"/>
        <s v="AIJOB0267"/>
        <s v="AIJOB0268"/>
        <s v="AIJOB0269"/>
        <s v="AIJOB0270"/>
        <s v="AIJOB0271"/>
        <s v="AIJOB0272"/>
        <s v="AIJOB0273"/>
        <s v="AIJOB0274"/>
        <s v="AIJOB0275"/>
        <s v="AIJOB0276"/>
        <s v="AIJOB0277"/>
        <s v="AIJOB0278"/>
        <s v="AIJOB0279"/>
        <s v="AIJOB0280"/>
        <s v="AIJOB0281"/>
        <s v="AIJOB0282"/>
        <s v="AIJOB0283"/>
        <s v="AIJOB0284"/>
        <s v="AIJOB0285"/>
        <s v="AIJOB0286"/>
        <s v="AIJOB0287"/>
        <s v="AIJOB0288"/>
        <s v="AIJOB0289"/>
        <s v="AIJOB0290"/>
        <s v="AIJOB0291"/>
        <s v="AIJOB0292"/>
        <s v="AIJOB0293"/>
        <s v="AIJOB0294"/>
        <s v="AIJOB0295"/>
        <s v="AIJOB0296"/>
        <s v="AIJOB0297"/>
        <s v="AIJOB0298"/>
        <s v="AIJOB0299"/>
        <s v="AIJOB0300"/>
        <s v="AIJOB0301"/>
        <s v="AIJOB0302"/>
        <s v="AIJOB0303"/>
        <s v="AIJOB0304"/>
        <s v="AIJOB0305"/>
        <s v="AIJOB0306"/>
        <s v="AIJOB0307"/>
        <s v="AIJOB0308"/>
        <s v="AIJOB0309"/>
        <s v="AIJOB0310"/>
        <s v="AIJOB0311"/>
        <s v="AIJOB0312"/>
        <s v="AIJOB0313"/>
        <s v="AIJOB0314"/>
        <s v="AIJOB0315"/>
        <s v="AIJOB0316"/>
        <s v="AIJOB0317"/>
        <s v="AIJOB0318"/>
        <s v="AIJOB0319"/>
        <s v="AIJOB0320"/>
        <s v="AIJOB0321"/>
        <s v="AIJOB0322"/>
        <s v="AIJOB0323"/>
        <s v="AIJOB0324"/>
        <s v="AIJOB0325"/>
        <s v="AIJOB0326"/>
        <s v="AIJOB0327"/>
        <s v="AIJOB0328"/>
        <s v="AIJOB0329"/>
        <s v="AIJOB0330"/>
        <s v="AIJOB0331"/>
        <s v="AIJOB0332"/>
        <s v="AIJOB0333"/>
        <s v="AIJOB0334"/>
        <s v="AIJOB0335"/>
        <s v="AIJOB0336"/>
        <s v="AIJOB0337"/>
        <s v="AIJOB0338"/>
        <s v="AIJOB0339"/>
        <s v="AIJOB0340"/>
        <s v="AIJOB0341"/>
        <s v="AIJOB0342"/>
        <s v="AIJOB0343"/>
        <s v="AIJOB0344"/>
        <s v="AIJOB0345"/>
        <s v="AIJOB0346"/>
        <s v="AIJOB0347"/>
        <s v="AIJOB0348"/>
        <s v="AIJOB0349"/>
        <s v="AIJOB0350"/>
        <s v="AIJOB0351"/>
        <s v="AIJOB0352"/>
        <s v="AIJOB0353"/>
        <s v="AIJOB0354"/>
        <s v="AIJOB0355"/>
        <s v="AIJOB0356"/>
        <s v="AIJOB0357"/>
        <s v="AIJOB0358"/>
        <s v="AIJOB0359"/>
        <s v="AIJOB0360"/>
        <s v="AIJOB0361"/>
        <s v="AIJOB0362"/>
        <s v="AIJOB0363"/>
        <s v="AIJOB0364"/>
        <s v="AIJOB0365"/>
        <s v="AIJOB0366"/>
        <s v="AIJOB0367"/>
        <s v="AIJOB0368"/>
        <s v="AIJOB0369"/>
        <s v="AIJOB0370"/>
        <s v="AIJOB0371"/>
        <s v="AIJOB0372"/>
        <s v="AIJOB0373"/>
        <s v="AIJOB0374"/>
        <s v="AIJOB0375"/>
        <s v="AIJOB0376"/>
        <s v="AIJOB0377"/>
        <s v="AIJOB0378"/>
        <s v="AIJOB0379"/>
        <s v="AIJOB0380"/>
        <s v="AIJOB0381"/>
        <s v="AIJOB0382"/>
        <s v="AIJOB0383"/>
        <s v="AIJOB0384"/>
        <s v="AIJOB0385"/>
        <s v="AIJOB0386"/>
        <s v="AIJOB0387"/>
        <s v="AIJOB0388"/>
        <s v="AIJOB0389"/>
        <s v="AIJOB0390"/>
        <s v="AIJOB0391"/>
        <s v="AIJOB0392"/>
        <s v="AIJOB0393"/>
        <s v="AIJOB0394"/>
        <s v="AIJOB0395"/>
        <s v="AIJOB0396"/>
        <s v="AIJOB0397"/>
        <s v="AIJOB0398"/>
        <s v="AIJOB0399"/>
        <s v="AIJOB0400"/>
        <s v="AIJOB0401"/>
        <s v="AIJOB0402"/>
        <s v="AIJOB0403"/>
        <s v="AIJOB0404"/>
        <s v="AIJOB0405"/>
        <s v="AIJOB0406"/>
        <s v="AIJOB0407"/>
        <s v="AIJOB0408"/>
        <s v="AIJOB0409"/>
        <s v="AIJOB0410"/>
        <s v="AIJOB0411"/>
        <s v="AIJOB0412"/>
        <s v="AIJOB0413"/>
        <s v="AIJOB0414"/>
        <s v="AIJOB0415"/>
        <s v="AIJOB0416"/>
        <s v="AIJOB0417"/>
        <s v="AIJOB0418"/>
        <s v="AIJOB0419"/>
        <s v="AIJOB0420"/>
        <s v="AIJOB0421"/>
        <s v="AIJOB0422"/>
        <s v="AIJOB0423"/>
        <s v="AIJOB0424"/>
        <s v="AIJOB0425"/>
        <s v="AIJOB0426"/>
        <s v="AIJOB0427"/>
        <s v="AIJOB0428"/>
        <s v="AIJOB0429"/>
        <s v="AIJOB0430"/>
        <s v="AIJOB0431"/>
        <s v="AIJOB0432"/>
        <s v="AIJOB0433"/>
        <s v="AIJOB0434"/>
        <s v="AIJOB0435"/>
        <s v="AIJOB0436"/>
        <s v="AIJOB0437"/>
        <s v="AIJOB0438"/>
        <s v="AIJOB0439"/>
        <s v="AIJOB0440"/>
        <s v="AIJOB0441"/>
        <s v="AIJOB0442"/>
        <s v="AIJOB0443"/>
        <s v="AIJOB0444"/>
        <s v="AIJOB0445"/>
        <s v="AIJOB0446"/>
        <s v="AIJOB0447"/>
        <s v="AIJOB0448"/>
        <s v="AIJOB0449"/>
        <s v="AIJOB0450"/>
        <s v="AIJOB0451"/>
        <s v="AIJOB0452"/>
        <s v="AIJOB0453"/>
        <s v="AIJOB0454"/>
        <s v="AIJOB0455"/>
        <s v="AIJOB0456"/>
        <s v="AIJOB0457"/>
        <s v="AIJOB0458"/>
        <s v="AIJOB0459"/>
        <s v="AIJOB0460"/>
        <s v="AIJOB0461"/>
        <s v="AIJOB0462"/>
        <s v="AIJOB0463"/>
        <s v="AIJOB0464"/>
        <s v="AIJOB0465"/>
        <s v="AIJOB0466"/>
        <s v="AIJOB0467"/>
        <s v="AIJOB0468"/>
        <s v="AIJOB0469"/>
        <s v="AIJOB0470"/>
        <s v="AIJOB0471"/>
        <s v="AIJOB0472"/>
        <s v="AIJOB0473"/>
        <s v="AIJOB0474"/>
        <s v="AIJOB0475"/>
        <s v="AIJOB0476"/>
        <s v="AIJOB0477"/>
        <s v="AIJOB0478"/>
        <s v="AIJOB0479"/>
        <s v="AIJOB0480"/>
        <s v="AIJOB0481"/>
        <s v="AIJOB0482"/>
        <s v="AIJOB0483"/>
        <s v="AIJOB0484"/>
        <s v="AIJOB0485"/>
        <s v="AIJOB0486"/>
        <s v="AIJOB0487"/>
        <s v="AIJOB0488"/>
        <s v="AIJOB0489"/>
        <s v="AIJOB0490"/>
        <s v="AIJOB0491"/>
        <s v="AIJOB0492"/>
        <s v="AIJOB0493"/>
        <s v="AIJOB0494"/>
        <s v="AIJOB0495"/>
        <s v="AIJOB0496"/>
        <s v="AIJOB0497"/>
        <s v="AIJOB0498"/>
        <s v="AIJOB0499"/>
        <s v="AIJOB0500"/>
        <s v="AIJOB0501"/>
        <s v="AIJOB0502"/>
        <s v="AIJOB0503"/>
        <s v="AIJOB0504"/>
        <s v="AIJOB0505"/>
        <s v="AIJOB0506"/>
        <s v="AIJOB0507"/>
        <s v="AIJOB0508"/>
        <s v="AIJOB0509"/>
        <s v="AIJOB0510"/>
        <s v="AIJOB0511"/>
        <s v="AIJOB0512"/>
        <s v="AIJOB0513"/>
        <s v="AIJOB0514"/>
        <s v="AIJOB0515"/>
        <s v="AIJOB0516"/>
        <s v="AIJOB0517"/>
        <s v="AIJOB0518"/>
        <s v="AIJOB0519"/>
        <s v="AIJOB0520"/>
        <s v="AIJOB0521"/>
        <s v="AIJOB0522"/>
        <s v="AIJOB0523"/>
        <s v="AIJOB0524"/>
        <s v="AIJOB0525"/>
        <s v="AIJOB0526"/>
        <s v="AIJOB0527"/>
        <s v="AIJOB0528"/>
        <s v="AIJOB0529"/>
        <s v="AIJOB0530"/>
        <s v="AIJOB0531"/>
        <s v="AIJOB0532"/>
        <s v="AIJOB0533"/>
        <s v="AIJOB0534"/>
        <s v="AIJOB0535"/>
        <s v="AIJOB0536"/>
        <s v="AIJOB0537"/>
        <s v="AIJOB0538"/>
        <s v="AIJOB0539"/>
        <s v="AIJOB0540"/>
        <s v="AIJOB0541"/>
        <s v="AIJOB0542"/>
        <s v="AIJOB0543"/>
        <s v="AIJOB0544"/>
        <s v="AIJOB0545"/>
        <s v="AIJOB0546"/>
        <s v="AIJOB0547"/>
        <s v="AIJOB0548"/>
        <s v="AIJOB0549"/>
        <s v="AIJOB0550"/>
        <s v="AIJOB0551"/>
        <s v="AIJOB0552"/>
        <s v="AIJOB0553"/>
        <s v="AIJOB0554"/>
        <s v="AIJOB0555"/>
        <s v="AIJOB0556"/>
        <s v="AIJOB0557"/>
        <s v="AIJOB0558"/>
        <s v="AIJOB0559"/>
        <s v="AIJOB0560"/>
        <s v="AIJOB0561"/>
        <s v="AIJOB0562"/>
        <s v="AIJOB0563"/>
        <s v="AIJOB0564"/>
        <s v="AIJOB0565"/>
        <s v="AIJOB0566"/>
        <s v="AIJOB0567"/>
        <s v="AIJOB0568"/>
        <s v="AIJOB0569"/>
        <s v="AIJOB0570"/>
        <s v="AIJOB0571"/>
        <s v="AIJOB0572"/>
        <s v="AIJOB0573"/>
        <s v="AIJOB0574"/>
        <s v="AIJOB0575"/>
        <s v="AIJOB0576"/>
        <s v="AIJOB0577"/>
        <s v="AIJOB0578"/>
        <s v="AIJOB0579"/>
        <s v="AIJOB0580"/>
        <s v="AIJOB0581"/>
        <s v="AIJOB0582"/>
        <s v="AIJOB0583"/>
        <s v="AIJOB0584"/>
        <s v="AIJOB0585"/>
        <s v="AIJOB0586"/>
        <s v="AIJOB0587"/>
        <s v="AIJOB0588"/>
        <s v="AIJOB0589"/>
        <s v="AIJOB0590"/>
        <s v="AIJOB0591"/>
        <s v="AIJOB0592"/>
        <s v="AIJOB0593"/>
        <s v="AIJOB0594"/>
        <s v="AIJOB0595"/>
        <s v="AIJOB0596"/>
        <s v="AIJOB0597"/>
        <s v="AIJOB0598"/>
        <s v="AIJOB0599"/>
        <s v="AIJOB0600"/>
        <s v="AIJOB0601"/>
        <s v="AIJOB0602"/>
        <s v="AIJOB0603"/>
        <s v="AIJOB0604"/>
        <s v="AIJOB0605"/>
        <s v="AIJOB0606"/>
        <s v="AIJOB0607"/>
        <s v="AIJOB0608"/>
        <s v="AIJOB0609"/>
        <s v="AIJOB0610"/>
        <s v="AIJOB0611"/>
        <s v="AIJOB0612"/>
        <s v="AIJOB0613"/>
        <s v="AIJOB0614"/>
        <s v="AIJOB0615"/>
        <s v="AIJOB0616"/>
        <s v="AIJOB0617"/>
        <s v="AIJOB0618"/>
        <s v="AIJOB0619"/>
        <s v="AIJOB0620"/>
        <s v="AIJOB0621"/>
        <s v="AIJOB0622"/>
        <s v="AIJOB0623"/>
        <s v="AIJOB0624"/>
        <s v="AIJOB0625"/>
        <s v="AIJOB0626"/>
        <s v="AIJOB0627"/>
        <s v="AIJOB0628"/>
        <s v="AIJOB0629"/>
        <s v="AIJOB0630"/>
        <s v="AIJOB0631"/>
        <s v="AIJOB0632"/>
        <s v="AIJOB0633"/>
        <s v="AIJOB0634"/>
        <s v="AIJOB0635"/>
        <s v="AIJOB0636"/>
        <s v="AIJOB0637"/>
        <s v="AIJOB0638"/>
        <s v="AIJOB0639"/>
        <s v="AIJOB0640"/>
        <s v="AIJOB0641"/>
        <s v="AIJOB0642"/>
        <s v="AIJOB0643"/>
        <s v="AIJOB0644"/>
        <s v="AIJOB0645"/>
        <s v="AIJOB0646"/>
        <s v="AIJOB0647"/>
        <s v="AIJOB0648"/>
        <s v="AIJOB0649"/>
        <s v="AIJOB0650"/>
        <s v="AIJOB0651"/>
        <s v="AIJOB0652"/>
        <s v="AIJOB0653"/>
        <s v="AIJOB0654"/>
        <s v="AIJOB0655"/>
        <s v="AIJOB0656"/>
        <s v="AIJOB0657"/>
        <s v="AIJOB0658"/>
        <s v="AIJOB0659"/>
        <s v="AIJOB0660"/>
        <s v="AIJOB0661"/>
        <s v="AIJOB0662"/>
        <s v="AIJOB0663"/>
        <s v="AIJOB0664"/>
        <s v="AIJOB0665"/>
        <s v="AIJOB0666"/>
        <s v="AIJOB0667"/>
        <s v="AIJOB0668"/>
        <s v="AIJOB0669"/>
        <s v="AIJOB0670"/>
        <s v="AIJOB0671"/>
        <s v="AIJOB0672"/>
        <s v="AIJOB0673"/>
        <s v="AIJOB0674"/>
        <s v="AIJOB0675"/>
        <s v="AIJOB0676"/>
        <s v="AIJOB0677"/>
        <s v="AIJOB0678"/>
        <s v="AIJOB0679"/>
        <s v="AIJOB0680"/>
        <s v="AIJOB0681"/>
        <s v="AIJOB0682"/>
        <s v="AIJOB0683"/>
        <s v="AIJOB0684"/>
        <s v="AIJOB0685"/>
        <s v="AIJOB0686"/>
        <s v="AIJOB0687"/>
        <s v="AIJOB0688"/>
        <s v="AIJOB0689"/>
        <s v="AIJOB0690"/>
        <s v="AIJOB0691"/>
        <s v="AIJOB0692"/>
        <s v="AIJOB0693"/>
        <s v="AIJOB0694"/>
        <s v="AIJOB0695"/>
        <s v="AIJOB0696"/>
        <s v="AIJOB0697"/>
        <s v="AIJOB0698"/>
        <s v="AIJOB0699"/>
        <s v="AIJOB0700"/>
        <s v="AIJOB0701"/>
        <s v="AIJOB0702"/>
        <s v="AIJOB0703"/>
        <s v="AIJOB0704"/>
        <s v="AIJOB0705"/>
        <s v="AIJOB0706"/>
        <s v="AIJOB0707"/>
        <s v="AIJOB0708"/>
        <s v="AIJOB0709"/>
        <s v="AIJOB0710"/>
        <s v="AIJOB0711"/>
        <s v="AIJOB0712"/>
        <s v="AIJOB0713"/>
        <s v="AIJOB0714"/>
        <s v="AIJOB0715"/>
        <s v="AIJOB0716"/>
        <s v="AIJOB0717"/>
        <s v="AIJOB0718"/>
        <s v="AIJOB0719"/>
        <s v="AIJOB0720"/>
        <s v="AIJOB0721"/>
        <s v="AIJOB0722"/>
        <s v="AIJOB0723"/>
        <s v="AIJOB0724"/>
        <s v="AIJOB0725"/>
        <s v="AIJOB0726"/>
        <s v="AIJOB0727"/>
        <s v="AIJOB0728"/>
        <s v="AIJOB0729"/>
        <s v="AIJOB0730"/>
        <s v="AIJOB0731"/>
        <s v="AIJOB0732"/>
        <s v="AIJOB0733"/>
        <s v="AIJOB0734"/>
        <s v="AIJOB0735"/>
        <s v="AIJOB0736"/>
        <s v="AIJOB0737"/>
        <s v="AIJOB0738"/>
        <s v="AIJOB0739"/>
        <s v="AIJOB0740"/>
        <s v="AIJOB0741"/>
        <s v="AIJOB0742"/>
        <s v="AIJOB0743"/>
        <s v="AIJOB0744"/>
        <s v="AIJOB0745"/>
        <s v="AIJOB0746"/>
        <s v="AIJOB0747"/>
        <s v="AIJOB0748"/>
        <s v="AIJOB0749"/>
        <s v="AIJOB0750"/>
        <s v="AIJOB0751"/>
        <s v="AIJOB0752"/>
        <s v="AIJOB0753"/>
        <s v="AIJOB0754"/>
        <s v="AIJOB0755"/>
        <s v="AIJOB0756"/>
        <s v="AIJOB0757"/>
        <s v="AIJOB0758"/>
        <s v="AIJOB0759"/>
        <s v="AIJOB0760"/>
        <s v="AIJOB0761"/>
        <s v="AIJOB0762"/>
        <s v="AIJOB0763"/>
        <s v="AIJOB0764"/>
        <s v="AIJOB0765"/>
        <s v="AIJOB0766"/>
        <s v="AIJOB0767"/>
        <s v="AIJOB0768"/>
        <s v="AIJOB0769"/>
        <s v="AIJOB0770"/>
        <s v="AIJOB0771"/>
        <s v="AIJOB0772"/>
        <s v="AIJOB0773"/>
        <s v="AIJOB0774"/>
        <s v="AIJOB0775"/>
        <s v="AIJOB0776"/>
        <s v="AIJOB0777"/>
        <s v="AIJOB0778"/>
        <s v="AIJOB0779"/>
        <s v="AIJOB0780"/>
        <s v="AIJOB0781"/>
        <s v="AIJOB0782"/>
        <s v="AIJOB0783"/>
        <s v="AIJOB0784"/>
        <s v="AIJOB0785"/>
        <s v="AIJOB0786"/>
        <s v="AIJOB0787"/>
        <s v="AIJOB0788"/>
        <s v="AIJOB0789"/>
        <s v="AIJOB0790"/>
        <s v="AIJOB0791"/>
        <s v="AIJOB0792"/>
        <s v="AIJOB0793"/>
        <s v="AIJOB0794"/>
        <s v="AIJOB0795"/>
        <s v="AIJOB0796"/>
        <s v="AIJOB0797"/>
        <s v="AIJOB0798"/>
        <s v="AIJOB0799"/>
        <s v="AIJOB0800"/>
        <s v="AIJOB0801"/>
        <s v="AIJOB0802"/>
        <s v="AIJOB0803"/>
        <s v="AIJOB0804"/>
        <s v="AIJOB0805"/>
        <s v="AIJOB0806"/>
        <s v="AIJOB0807"/>
        <s v="AIJOB0808"/>
        <s v="AIJOB0809"/>
        <s v="AIJOB0810"/>
        <s v="AIJOB0811"/>
        <s v="AIJOB0812"/>
        <s v="AIJOB0813"/>
        <s v="AIJOB0814"/>
        <s v="AIJOB0815"/>
        <s v="AIJOB0816"/>
        <s v="AIJOB0817"/>
        <s v="AIJOB0818"/>
        <s v="AIJOB0819"/>
        <s v="AIJOB0820"/>
        <s v="AIJOB0821"/>
        <s v="AIJOB0822"/>
        <s v="AIJOB0823"/>
        <s v="AIJOB0824"/>
        <s v="AIJOB0825"/>
        <s v="AIJOB0826"/>
        <s v="AIJOB0827"/>
        <s v="AIJOB0828"/>
        <s v="AIJOB0829"/>
        <s v="AIJOB0830"/>
        <s v="AIJOB0831"/>
        <s v="AIJOB0832"/>
        <s v="AIJOB0833"/>
        <s v="AIJOB0834"/>
        <s v="AIJOB0835"/>
        <s v="AIJOB0836"/>
        <s v="AIJOB0837"/>
        <s v="AIJOB0838"/>
        <s v="AIJOB0839"/>
        <s v="AIJOB0840"/>
        <s v="AIJOB0841"/>
        <s v="AIJOB0842"/>
        <s v="AIJOB0843"/>
        <s v="AIJOB0844"/>
        <s v="AIJOB0845"/>
        <s v="AIJOB0846"/>
        <s v="AIJOB0847"/>
        <s v="AIJOB0848"/>
        <s v="AIJOB0849"/>
        <s v="AIJOB0850"/>
        <s v="AIJOB0851"/>
        <s v="AIJOB0852"/>
        <s v="AIJOB0853"/>
        <s v="AIJOB0854"/>
        <s v="AIJOB0855"/>
        <s v="AIJOB0856"/>
        <s v="AIJOB0857"/>
        <s v="AIJOB0858"/>
        <s v="AIJOB0859"/>
        <s v="AIJOB0860"/>
        <s v="AIJOB0861"/>
        <s v="AIJOB0862"/>
        <s v="AIJOB0863"/>
        <s v="AIJOB0864"/>
        <s v="AIJOB0865"/>
        <s v="AIJOB0866"/>
        <s v="AIJOB0867"/>
        <s v="AIJOB0868"/>
        <s v="AIJOB0869"/>
        <s v="AIJOB0870"/>
        <s v="AIJOB0871"/>
        <s v="AIJOB0872"/>
        <s v="AIJOB0873"/>
        <s v="AIJOB0874"/>
        <s v="AIJOB0875"/>
        <s v="AIJOB0876"/>
        <s v="AIJOB0877"/>
        <s v="AIJOB0878"/>
        <s v="AIJOB0879"/>
        <s v="AIJOB0880"/>
        <s v="AIJOB0881"/>
        <s v="AIJOB0882"/>
        <s v="AIJOB0883"/>
        <s v="AIJOB0884"/>
        <s v="AIJOB0885"/>
        <s v="AIJOB0886"/>
        <s v="AIJOB0887"/>
        <s v="AIJOB0888"/>
        <s v="AIJOB0889"/>
        <s v="AIJOB0890"/>
        <s v="AIJOB0891"/>
        <s v="AIJOB0892"/>
        <s v="AIJOB0893"/>
        <s v="AIJOB0894"/>
        <s v="AIJOB0895"/>
        <s v="AIJOB0896"/>
        <s v="AIJOB0897"/>
        <s v="AIJOB0898"/>
        <s v="AIJOB0899"/>
        <s v="AIJOB0900"/>
        <s v="AIJOB0901"/>
        <s v="AIJOB0902"/>
        <s v="AIJOB0903"/>
        <s v="AIJOB0904"/>
        <s v="AIJOB0905"/>
        <s v="AIJOB0906"/>
        <s v="AIJOB0907"/>
        <s v="AIJOB0908"/>
        <s v="AIJOB0909"/>
        <s v="AIJOB0910"/>
        <s v="AIJOB0911"/>
        <s v="AIJOB0912"/>
        <s v="AIJOB0913"/>
        <s v="AIJOB0914"/>
        <s v="AIJOB0915"/>
        <s v="AIJOB0916"/>
        <s v="AIJOB0917"/>
        <s v="AIJOB0918"/>
        <s v="AIJOB0919"/>
        <s v="AIJOB0920"/>
        <s v="AIJOB0921"/>
        <s v="AIJOB0922"/>
        <s v="AIJOB0923"/>
        <s v="AIJOB0924"/>
        <s v="AIJOB0925"/>
        <s v="AIJOB0926"/>
        <s v="AIJOB0927"/>
        <s v="AIJOB0928"/>
        <s v="AIJOB0929"/>
        <s v="AIJOB0930"/>
        <s v="AIJOB0931"/>
        <s v="AIJOB0932"/>
        <s v="AIJOB0933"/>
        <s v="AIJOB0934"/>
        <s v="AIJOB0935"/>
        <s v="AIJOB0936"/>
        <s v="AIJOB0937"/>
        <s v="AIJOB0938"/>
        <s v="AIJOB0939"/>
        <s v="AIJOB0940"/>
        <s v="AIJOB0941"/>
        <s v="AIJOB0942"/>
        <s v="AIJOB0943"/>
        <s v="AIJOB0944"/>
        <s v="AIJOB0945"/>
        <s v="AIJOB0946"/>
        <s v="AIJOB0947"/>
        <s v="AIJOB0948"/>
        <s v="AIJOB0949"/>
        <s v="AIJOB0950"/>
        <s v="AIJOB0951"/>
        <s v="AIJOB0952"/>
        <s v="AIJOB0953"/>
        <s v="AIJOB0954"/>
        <s v="AIJOB0955"/>
        <s v="AIJOB0956"/>
        <s v="AIJOB0957"/>
        <s v="AIJOB0958"/>
        <s v="AIJOB0959"/>
        <s v="AIJOB0960"/>
        <s v="AIJOB0961"/>
        <s v="AIJOB0962"/>
        <s v="AIJOB0963"/>
        <s v="AIJOB0964"/>
        <s v="AIJOB0965"/>
        <s v="AIJOB0966"/>
        <s v="AIJOB0967"/>
        <s v="AIJOB0968"/>
        <s v="AIJOB0969"/>
        <s v="AIJOB0970"/>
        <s v="AIJOB0971"/>
        <s v="AIJOB0972"/>
        <s v="AIJOB0973"/>
        <s v="AIJOB0974"/>
        <s v="AIJOB0975"/>
        <s v="AIJOB0976"/>
        <s v="AIJOB0977"/>
        <s v="AIJOB0978"/>
        <s v="AIJOB0979"/>
        <s v="AIJOB0980"/>
        <s v="AIJOB0981"/>
        <s v="AIJOB0982"/>
        <s v="AIJOB0983"/>
        <s v="AIJOB0984"/>
        <s v="AIJOB0985"/>
        <s v="AIJOB0986"/>
        <s v="AIJOB0987"/>
        <s v="AIJOB0988"/>
        <s v="AIJOB0989"/>
        <s v="AIJOB0990"/>
        <s v="AIJOB0991"/>
        <s v="AIJOB0992"/>
        <s v="AIJOB0993"/>
        <s v="AIJOB0994"/>
        <s v="AIJOB0995"/>
        <s v="AIJOB0996"/>
        <s v="AIJOB0997"/>
        <s v="AIJOB0998"/>
        <s v="AIJOB0999"/>
        <s v="AIJOB1000"/>
        <s v="AIJOB1001"/>
        <s v="AIJOB1002"/>
        <s v="AIJOB1003"/>
        <s v="AIJOB1004"/>
        <s v="AIJOB1005"/>
        <s v="AIJOB1006"/>
        <s v="AIJOB1007"/>
        <s v="AIJOB1008"/>
        <s v="AIJOB1009"/>
        <s v="AIJOB1010"/>
        <s v="AIJOB1011"/>
        <s v="AIJOB1012"/>
        <s v="AIJOB1013"/>
        <s v="AIJOB1014"/>
        <s v="AIJOB1015"/>
        <s v="AIJOB1016"/>
        <s v="AIJOB1017"/>
        <s v="AIJOB1018"/>
        <s v="AIJOB1019"/>
        <s v="AIJOB1020"/>
        <s v="AIJOB1021"/>
        <s v="AIJOB1022"/>
        <s v="AIJOB1023"/>
        <s v="AIJOB1024"/>
        <s v="AIJOB1025"/>
        <s v="AIJOB1026"/>
        <s v="AIJOB1027"/>
        <s v="AIJOB1028"/>
        <s v="AIJOB1029"/>
        <s v="AIJOB1030"/>
        <s v="AIJOB1031"/>
        <s v="AIJOB1032"/>
        <s v="AIJOB1033"/>
        <s v="AIJOB1034"/>
        <s v="AIJOB1035"/>
        <s v="AIJOB1036"/>
        <s v="AIJOB1037"/>
        <s v="AIJOB1038"/>
        <s v="AIJOB1039"/>
        <s v="AIJOB1040"/>
        <s v="AIJOB1041"/>
        <s v="AIJOB1042"/>
        <s v="AIJOB1043"/>
        <s v="AIJOB1044"/>
        <s v="AIJOB1045"/>
        <s v="AIJOB1046"/>
        <s v="AIJOB1047"/>
        <s v="AIJOB1048"/>
        <s v="AIJOB1049"/>
        <s v="AIJOB1050"/>
        <s v="AIJOB1051"/>
        <s v="AIJOB1052"/>
        <s v="AIJOB1053"/>
        <s v="AIJOB1054"/>
        <s v="AIJOB1055"/>
        <s v="AIJOB1056"/>
        <s v="AIJOB1057"/>
        <s v="AIJOB1058"/>
        <s v="AIJOB1059"/>
        <s v="AIJOB1060"/>
        <s v="AIJOB1061"/>
        <s v="AIJOB1062"/>
        <s v="AIJOB1063"/>
        <s v="AIJOB1064"/>
        <s v="AIJOB1065"/>
        <s v="AIJOB1066"/>
        <s v="AIJOB1067"/>
        <s v="AIJOB1068"/>
        <s v="AIJOB1069"/>
        <s v="AIJOB1070"/>
        <s v="AIJOB1071"/>
        <s v="AIJOB1072"/>
        <s v="AIJOB1073"/>
        <s v="AIJOB1074"/>
        <s v="AIJOB1075"/>
        <s v="AIJOB1076"/>
        <s v="AIJOB1077"/>
        <s v="AIJOB1078"/>
        <s v="AIJOB1079"/>
        <s v="AIJOB1080"/>
        <s v="AIJOB1081"/>
        <s v="AIJOB1082"/>
        <s v="AIJOB1083"/>
        <s v="AIJOB1084"/>
        <s v="AIJOB1085"/>
        <s v="AIJOB1086"/>
        <s v="AIJOB1087"/>
        <s v="AIJOB1088"/>
        <s v="AIJOB1089"/>
        <s v="AIJOB1090"/>
        <s v="AIJOB1091"/>
        <s v="AIJOB1092"/>
        <s v="AIJOB1093"/>
        <s v="AIJOB1094"/>
        <s v="AIJOB1095"/>
        <s v="AIJOB1096"/>
        <s v="AIJOB1097"/>
        <s v="AIJOB1098"/>
        <s v="AIJOB1099"/>
        <s v="AIJOB1100"/>
        <s v="AIJOB1101"/>
        <s v="AIJOB1102"/>
        <s v="AIJOB1103"/>
        <s v="AIJOB1104"/>
        <s v="AIJOB1105"/>
        <s v="AIJOB1106"/>
        <s v="AIJOB1107"/>
        <s v="AIJOB1108"/>
        <s v="AIJOB1109"/>
        <s v="AIJOB1110"/>
        <s v="AIJOB1111"/>
        <s v="AIJOB1112"/>
        <s v="AIJOB1113"/>
        <s v="AIJOB1114"/>
        <s v="AIJOB1115"/>
        <s v="AIJOB1116"/>
        <s v="AIJOB1117"/>
        <s v="AIJOB1118"/>
        <s v="AIJOB1119"/>
        <s v="AIJOB1120"/>
        <s v="AIJOB1121"/>
        <s v="AIJOB1122"/>
        <s v="AIJOB1123"/>
        <s v="AIJOB1124"/>
        <s v="AIJOB1125"/>
        <s v="AIJOB1126"/>
        <s v="AIJOB1127"/>
        <s v="AIJOB1128"/>
        <s v="AIJOB1129"/>
        <s v="AIJOB1130"/>
        <s v="AIJOB1131"/>
        <s v="AIJOB1132"/>
        <s v="AIJOB1133"/>
        <s v="AIJOB1134"/>
        <s v="AIJOB1135"/>
        <s v="AIJOB1136"/>
        <s v="AIJOB1137"/>
        <s v="AIJOB1138"/>
        <s v="AIJOB1139"/>
        <s v="AIJOB1140"/>
        <s v="AIJOB1141"/>
        <s v="AIJOB1142"/>
        <s v="AIJOB1143"/>
        <s v="AIJOB1144"/>
        <s v="AIJOB1145"/>
        <s v="AIJOB1146"/>
        <s v="AIJOB1147"/>
        <s v="AIJOB1148"/>
        <s v="AIJOB1149"/>
        <s v="AIJOB1150"/>
        <s v="AIJOB1151"/>
        <s v="AIJOB1152"/>
        <s v="AIJOB1153"/>
        <s v="AIJOB1154"/>
        <s v="AIJOB1155"/>
        <s v="AIJOB1156"/>
        <s v="AIJOB1157"/>
        <s v="AIJOB1158"/>
        <s v="AIJOB1159"/>
        <s v="AIJOB1160"/>
        <s v="AIJOB1161"/>
        <s v="AIJOB1162"/>
        <s v="AIJOB1163"/>
        <s v="AIJOB1164"/>
        <s v="AIJOB1165"/>
        <s v="AIJOB1166"/>
        <s v="AIJOB1167"/>
        <s v="AIJOB1168"/>
        <s v="AIJOB1169"/>
        <s v="AIJOB1170"/>
        <s v="AIJOB1171"/>
        <s v="AIJOB1172"/>
        <s v="AIJOB1173"/>
        <s v="AIJOB1174"/>
        <s v="AIJOB1175"/>
        <s v="AIJOB1176"/>
        <s v="AIJOB1177"/>
        <s v="AIJOB1178"/>
        <s v="AIJOB1179"/>
        <s v="AIJOB1180"/>
        <s v="AIJOB1181"/>
        <s v="AIJOB1182"/>
        <s v="AIJOB1183"/>
        <s v="AIJOB1184"/>
        <s v="AIJOB1185"/>
        <s v="AIJOB1186"/>
        <s v="AIJOB1187"/>
        <s v="AIJOB1188"/>
        <s v="AIJOB1189"/>
        <s v="AIJOB1190"/>
        <s v="AIJOB1191"/>
        <s v="AIJOB1192"/>
        <s v="AIJOB1193"/>
        <s v="AIJOB1194"/>
        <s v="AIJOB1195"/>
        <s v="AIJOB1196"/>
        <s v="AIJOB1197"/>
        <s v="AIJOB1198"/>
        <s v="AIJOB1199"/>
        <s v="AIJOB1200"/>
        <s v="AIJOB1201"/>
        <s v="AIJOB1202"/>
        <s v="AIJOB1203"/>
        <s v="AIJOB1204"/>
        <s v="AIJOB1205"/>
        <s v="AIJOB1206"/>
        <s v="AIJOB1207"/>
        <s v="AIJOB1208"/>
        <s v="AIJOB1209"/>
        <s v="AIJOB1210"/>
        <s v="AIJOB1211"/>
        <s v="AIJOB1212"/>
        <s v="AIJOB1213"/>
        <s v="AIJOB1214"/>
        <s v="AIJOB1215"/>
        <s v="AIJOB1216"/>
        <s v="AIJOB1217"/>
        <s v="AIJOB1218"/>
        <s v="AIJOB1219"/>
        <s v="AIJOB1220"/>
        <s v="AIJOB1221"/>
        <s v="AIJOB1222"/>
        <s v="AIJOB1223"/>
        <s v="AIJOB1224"/>
        <s v="AIJOB1225"/>
        <s v="AIJOB1226"/>
        <s v="AIJOB1227"/>
        <s v="AIJOB1228"/>
        <s v="AIJOB1229"/>
        <s v="AIJOB1230"/>
        <s v="AIJOB1231"/>
        <s v="AIJOB1232"/>
        <s v="AIJOB1233"/>
        <s v="AIJOB1234"/>
        <s v="AIJOB1235"/>
        <s v="AIJOB1236"/>
        <s v="AIJOB1237"/>
        <s v="AIJOB1238"/>
        <s v="AIJOB1239"/>
        <s v="AIJOB1240"/>
        <s v="AIJOB1241"/>
        <s v="AIJOB1242"/>
        <s v="AIJOB1243"/>
        <s v="AIJOB1244"/>
        <s v="AIJOB1245"/>
        <s v="AIJOB1246"/>
        <s v="AIJOB1247"/>
        <s v="AIJOB1248"/>
        <s v="AIJOB1249"/>
        <s v="AIJOB1250"/>
        <s v="AIJOB1251"/>
        <s v="AIJOB1252"/>
        <s v="AIJOB1253"/>
        <s v="AIJOB1254"/>
        <s v="AIJOB1255"/>
        <s v="AIJOB1256"/>
        <s v="AIJOB1257"/>
        <s v="AIJOB1258"/>
        <s v="AIJOB1259"/>
        <s v="AIJOB1260"/>
        <s v="AIJOB1261"/>
        <s v="AIJOB1262"/>
        <s v="AIJOB1263"/>
        <s v="AIJOB1264"/>
        <s v="AIJOB1265"/>
        <s v="AIJOB1266"/>
        <s v="AIJOB1267"/>
        <s v="AIJOB1268"/>
        <s v="AIJOB1269"/>
        <s v="AIJOB1270"/>
        <s v="AIJOB1271"/>
        <s v="AIJOB1272"/>
        <s v="AIJOB1273"/>
        <s v="AIJOB1274"/>
        <s v="AIJOB1275"/>
        <s v="AIJOB1276"/>
        <s v="AIJOB1277"/>
        <s v="AIJOB1278"/>
        <s v="AIJOB1279"/>
        <s v="AIJOB1280"/>
        <s v="AIJOB1281"/>
        <s v="AIJOB1282"/>
        <s v="AIJOB1283"/>
        <s v="AIJOB1284"/>
        <s v="AIJOB1285"/>
        <s v="AIJOB1286"/>
        <s v="AIJOB1287"/>
        <s v="AIJOB1288"/>
        <s v="AIJOB1289"/>
        <s v="AIJOB1290"/>
        <s v="AIJOB1291"/>
        <s v="AIJOB1292"/>
        <s v="AIJOB1293"/>
        <s v="AIJOB1294"/>
        <s v="AIJOB1295"/>
        <s v="AIJOB1296"/>
        <s v="AIJOB1297"/>
        <s v="AIJOB1298"/>
        <s v="AIJOB1299"/>
        <s v="AIJOB1300"/>
        <s v="AIJOB1301"/>
        <s v="AIJOB1302"/>
        <s v="AIJOB1303"/>
        <s v="AIJOB1304"/>
        <s v="AIJOB1305"/>
        <s v="AIJOB1306"/>
        <s v="AIJOB1307"/>
        <s v="AIJOB1308"/>
        <s v="AIJOB1309"/>
        <s v="AIJOB1310"/>
        <s v="AIJOB1311"/>
        <s v="AIJOB1312"/>
        <s v="AIJOB1313"/>
        <s v="AIJOB1314"/>
        <s v="AIJOB1315"/>
        <s v="AIJOB1316"/>
        <s v="AIJOB1317"/>
        <s v="AIJOB1318"/>
        <s v="AIJOB1319"/>
        <s v="AIJOB1320"/>
        <s v="AIJOB1321"/>
        <s v="AIJOB1322"/>
        <s v="AIJOB1323"/>
        <s v="AIJOB1324"/>
        <s v="AIJOB1325"/>
        <s v="AIJOB1326"/>
        <s v="AIJOB1327"/>
        <s v="AIJOB1328"/>
        <s v="AIJOB1329"/>
        <s v="AIJOB1330"/>
        <s v="AIJOB1331"/>
        <s v="AIJOB1332"/>
        <s v="AIJOB1333"/>
        <s v="AIJOB1334"/>
        <s v="AIJOB1335"/>
        <s v="AIJOB1336"/>
        <s v="AIJOB1337"/>
        <s v="AIJOB1338"/>
        <s v="AIJOB1339"/>
        <s v="AIJOB1340"/>
        <s v="AIJOB1341"/>
        <s v="AIJOB1342"/>
        <s v="AIJOB1343"/>
        <s v="AIJOB1344"/>
        <s v="AIJOB1345"/>
        <s v="AIJOB1346"/>
        <s v="AIJOB1347"/>
        <s v="AIJOB1348"/>
        <s v="AIJOB1349"/>
        <s v="AIJOB1350"/>
        <s v="AIJOB1351"/>
        <s v="AIJOB1352"/>
        <s v="AIJOB1353"/>
        <s v="AIJOB1354"/>
        <s v="AIJOB1355"/>
        <s v="AIJOB1356"/>
        <s v="AIJOB1357"/>
        <s v="AIJOB1358"/>
        <s v="AIJOB1359"/>
        <s v="AIJOB1360"/>
        <s v="AIJOB1361"/>
        <s v="AIJOB1362"/>
        <s v="AIJOB1363"/>
        <s v="AIJOB1364"/>
        <s v="AIJOB1365"/>
        <s v="AIJOB1366"/>
        <s v="AIJOB1367"/>
        <s v="AIJOB1368"/>
        <s v="AIJOB1369"/>
        <s v="AIJOB1370"/>
        <s v="AIJOB1371"/>
        <s v="AIJOB1372"/>
        <s v="AIJOB1373"/>
        <s v="AIJOB1374"/>
        <s v="AIJOB1375"/>
        <s v="AIJOB1376"/>
        <s v="AIJOB1377"/>
        <s v="AIJOB1378"/>
        <s v="AIJOB1379"/>
        <s v="AIJOB1380"/>
        <s v="AIJOB1381"/>
        <s v="AIJOB1382"/>
        <s v="AIJOB1383"/>
        <s v="AIJOB1384"/>
        <s v="AIJOB1385"/>
        <s v="AIJOB1386"/>
        <s v="AIJOB1387"/>
        <s v="AIJOB1388"/>
        <s v="AIJOB1389"/>
        <s v="AIJOB1390"/>
        <s v="AIJOB1391"/>
        <s v="AIJOB1392"/>
        <s v="AIJOB1393"/>
        <s v="AIJOB1394"/>
        <s v="AIJOB1395"/>
        <s v="AIJOB1396"/>
        <s v="AIJOB1397"/>
        <s v="AIJOB1398"/>
        <s v="AIJOB1399"/>
        <s v="AIJOB1400"/>
        <s v="AIJOB1401"/>
        <s v="AIJOB1402"/>
        <s v="AIJOB1403"/>
        <s v="AIJOB1404"/>
        <s v="AIJOB1405"/>
        <s v="AIJOB1406"/>
        <s v="AIJOB1407"/>
        <s v="AIJOB1408"/>
        <s v="AIJOB1409"/>
        <s v="AIJOB1410"/>
        <s v="AIJOB1411"/>
        <s v="AIJOB1412"/>
        <s v="AIJOB1413"/>
        <s v="AIJOB1414"/>
        <s v="AIJOB1415"/>
        <s v="AIJOB1416"/>
        <s v="AIJOB1417"/>
        <s v="AIJOB1418"/>
        <s v="AIJOB1419"/>
        <s v="AIJOB1420"/>
        <s v="AIJOB1421"/>
        <s v="AIJOB1422"/>
        <s v="AIJOB1423"/>
        <s v="AIJOB1424"/>
        <s v="AIJOB1425"/>
        <s v="AIJOB1426"/>
        <s v="AIJOB1427"/>
        <s v="AIJOB1428"/>
        <s v="AIJOB1429"/>
        <s v="AIJOB1430"/>
        <s v="AIJOB1431"/>
        <s v="AIJOB1432"/>
        <s v="AIJOB1433"/>
        <s v="AIJOB1434"/>
        <s v="AIJOB1435"/>
        <s v="AIJOB1436"/>
        <s v="AIJOB1437"/>
        <s v="AIJOB1438"/>
        <s v="AIJOB1439"/>
        <s v="AIJOB1440"/>
        <s v="AIJOB1441"/>
        <s v="AIJOB1442"/>
        <s v="AIJOB1443"/>
        <s v="AIJOB1444"/>
        <s v="AIJOB1445"/>
        <s v="AIJOB1446"/>
        <s v="AIJOB1447"/>
        <s v="AIJOB1448"/>
        <s v="AIJOB1449"/>
        <s v="AIJOB1450"/>
        <s v="AIJOB1451"/>
        <s v="AIJOB1452"/>
        <s v="AIJOB1453"/>
        <s v="AIJOB1454"/>
        <s v="AIJOB1455"/>
        <s v="AIJOB1456"/>
        <s v="AIJOB1457"/>
        <s v="AIJOB1458"/>
        <s v="AIJOB1459"/>
        <s v="AIJOB1460"/>
        <s v="AIJOB1461"/>
        <s v="AIJOB1462"/>
        <s v="AIJOB1463"/>
        <s v="AIJOB1464"/>
        <s v="AIJOB1465"/>
        <s v="AIJOB1466"/>
        <s v="AIJOB1467"/>
        <s v="AIJOB1468"/>
        <s v="AIJOB1469"/>
        <s v="AIJOB1470"/>
        <s v="AIJOB1471"/>
        <s v="AIJOB1472"/>
        <s v="AIJOB1473"/>
        <s v="AIJOB1474"/>
        <s v="AIJOB1475"/>
        <s v="AIJOB1476"/>
        <s v="AIJOB1477"/>
        <s v="AIJOB1478"/>
        <s v="AIJOB1479"/>
        <s v="AIJOB1480"/>
        <s v="AIJOB1481"/>
        <s v="AIJOB1482"/>
        <s v="AIJOB1483"/>
        <s v="AIJOB1484"/>
        <s v="AIJOB1485"/>
        <s v="AIJOB1486"/>
        <s v="AIJOB1487"/>
        <s v="AIJOB1488"/>
        <s v="AIJOB1489"/>
        <s v="AIJOB1490"/>
        <s v="AIJOB1491"/>
        <s v="AIJOB1492"/>
        <s v="AIJOB1493"/>
        <s v="AIJOB1494"/>
        <s v="AIJOB1495"/>
        <s v="AIJOB1496"/>
        <s v="AIJOB1497"/>
        <s v="AIJOB1498"/>
        <s v="AIJOB1499"/>
        <s v="AIJOB1500"/>
      </sharedItems>
    </cacheField>
    <cacheField name="Job_Title" numFmtId="0">
      <sharedItems count="25">
        <s v="AI Agent Developer"/>
        <s v="Prompt Engineer"/>
        <s v="LLM Engineer"/>
        <s v="Data Engineer (AI)"/>
        <s v="AI Product Manager"/>
        <s v="AI Security Engineer"/>
        <s v="Senior ML Engineer"/>
        <s v="NLP Engineer"/>
        <s v="AI Solutions Architect"/>
        <s v="ML Engineer"/>
        <s v="Generative AI Engineer"/>
        <s v="Deep Learning Engineer"/>
        <s v="Multimodal AI Engineer"/>
        <s v="MLOps Engineer"/>
        <s v="AI Business Analyst"/>
        <s v="RAG Engineer"/>
        <s v="Robotics Engineer (AI)"/>
        <s v="Senior Data Scientist"/>
        <s v="AI Ethics Officer"/>
        <s v="AI Infrastructure Eng"/>
        <s v="AI Engineer"/>
        <s v="Data Scientist"/>
        <s v="Computer Vision Engineer"/>
        <s v="AI Compliance Manager"/>
        <s v="AI Research Scientist"/>
      </sharedItems>
    </cacheField>
    <cacheField name="Job_Category" numFmtId="0">
      <sharedItems count="12">
        <s v="AI Engineering"/>
        <s v="Data Engineering"/>
        <s v="Product"/>
        <s v="Security"/>
        <s v="Architecture"/>
        <s v="ML Operations"/>
        <s v="Business"/>
        <s v="Robotics"/>
        <s v="Data Science"/>
        <s v="Governance"/>
        <s v="Infrastructure"/>
        <s v="Research"/>
      </sharedItems>
    </cacheField>
    <cacheField name="Experience_Level" numFmtId="0">
      <sharedItems count="4">
        <s v="Senior (6-9 yrs)"/>
        <s v="Lead (10+ yrs)"/>
        <s v="Entry (0-2 yrs)"/>
        <s v="Mid (3-5 yrs)"/>
      </sharedItems>
    </cacheField>
    <cacheField name="Experience" numFmtId="0">
      <sharedItems containsSemiMixedTypes="0" containsString="0" containsNumber="1" containsInteger="1" minValue="1" maxValue="15" count="15">
        <n v="7"/>
        <n v="2"/>
        <n v="4"/>
        <n v="3"/>
        <n v="5"/>
        <n v="1"/>
        <n v="8"/>
        <n v="15"/>
        <n v="6"/>
        <n v="9"/>
        <n v="10"/>
        <n v="11"/>
        <n v="12"/>
        <n v="13"/>
        <n v="14"/>
      </sharedItems>
    </cacheField>
    <cacheField name="Education_Required" numFmtId="0">
      <sharedItems count="5">
        <s v="Master's"/>
        <s v="Bachelor's"/>
        <s v="Associate's"/>
        <s v="Bootcamp/Self-taught"/>
        <s v="PhD"/>
      </sharedItems>
    </cacheField>
    <cacheField name="Annual_Salary_Usd" numFmtId="0">
      <sharedItems containsSemiMixedTypes="0" containsString="0" containsNumber="1" containsInteger="1" minValue="90000" maxValue="384000"/>
    </cacheField>
    <cacheField name="Salary_Min_Usd" numFmtId="0">
      <sharedItems containsSemiMixedTypes="0" containsString="0" containsNumber="1" containsInteger="1" minValue="90000" maxValue="180000"/>
    </cacheField>
    <cacheField name="Salary_Max_Usd" numFmtId="0">
      <sharedItems containsSemiMixedTypes="0" containsString="0" containsNumber="1" containsInteger="1" minValue="180000" maxValue="320000"/>
    </cacheField>
    <cacheField name="City" numFmtId="0">
      <sharedItems/>
    </cacheField>
    <cacheField name="Country" numFmtId="0">
      <sharedItems count="14">
        <s v="USA"/>
        <s v="UK"/>
        <s v="Singapore"/>
        <s v="Global"/>
        <s v="India"/>
        <s v="Japan"/>
        <s v="China"/>
        <s v="Canada"/>
        <s v="UAE"/>
        <s v="Netherlands"/>
        <s v="France"/>
        <s v="Australia"/>
        <s v="Germany"/>
        <s v="Switzerland"/>
      </sharedItems>
    </cacheField>
    <cacheField name="Remote_Work" numFmtId="0">
      <sharedItems/>
    </cacheField>
    <cacheField name="Company_Size" numFmtId="0">
      <sharedItems/>
    </cacheField>
    <cacheField name="Industry" numFmtId="0">
      <sharedItems count="12">
        <s v="Finance"/>
        <s v="Technology"/>
        <s v="Automotive"/>
        <s v="Government"/>
        <s v="Manufacturing"/>
        <s v="Education"/>
        <s v="Retail"/>
        <s v="Consulting"/>
        <s v="Research"/>
        <s v="Healthcare"/>
        <s v="Media"/>
        <s v="Energy"/>
      </sharedItems>
    </cacheField>
    <cacheField name="Required_Skills" numFmtId="0">
      <sharedItems/>
    </cacheField>
    <cacheField name="Ai_Salary_Premium_Pct" numFmtId="0">
      <sharedItems containsSemiMixedTypes="0" containsString="0" containsNumber="1" minValue="3" maxValue="18"/>
    </cacheField>
    <cacheField name="Demand_Score" numFmtId="0">
      <sharedItems containsSemiMixedTypes="0" containsString="0" containsNumber="1" containsInteger="1" minValue="68" maxValue="98" count="20">
        <n v="96"/>
        <n v="82"/>
        <n v="98"/>
        <n v="88"/>
        <n v="85"/>
        <n v="80"/>
        <n v="91"/>
        <n v="84"/>
        <n v="97"/>
        <n v="95"/>
        <n v="89"/>
        <n v="90"/>
        <n v="93"/>
        <n v="78"/>
        <n v="94"/>
        <n v="76"/>
        <n v="72"/>
        <n v="92"/>
        <n v="87"/>
        <n v="68"/>
      </sharedItems>
    </cacheField>
    <cacheField name="Demand_Growth_Yoy_Pct" numFmtId="0">
      <sharedItems containsSemiMixedTypes="0" containsString="0" containsNumber="1" minValue="5" maxValue="87.8" count="565">
        <n v="16.899999999999999"/>
        <n v="11.6"/>
        <n v="42.7"/>
        <n v="6.7"/>
        <n v="17.3"/>
        <n v="67.7"/>
        <n v="12.7"/>
        <n v="33.1"/>
        <n v="79.400000000000006"/>
        <n v="15.5"/>
        <n v="14.8"/>
        <n v="8.9"/>
        <n v="32.4"/>
        <n v="50.7"/>
        <n v="75.900000000000006"/>
        <n v="68.8"/>
        <n v="78.099999999999994"/>
        <n v="15.9"/>
        <n v="12.4"/>
        <n v="27.5"/>
        <n v="77"/>
        <n v="16.399999999999999"/>
        <n v="39.5"/>
        <n v="80.099999999999994"/>
        <n v="19.8"/>
        <n v="28.8"/>
        <n v="23.4"/>
        <n v="11.1"/>
        <n v="21.2"/>
        <n v="16.3"/>
        <n v="8.1999999999999993"/>
        <n v="22.2"/>
        <n v="20.9"/>
        <n v="81.3"/>
        <n v="59.1"/>
        <n v="7.3"/>
        <n v="15.1"/>
        <n v="9"/>
        <n v="26.7"/>
        <n v="31.6"/>
        <n v="9.5"/>
        <n v="48.3"/>
        <n v="28.9"/>
        <n v="14.1"/>
        <n v="23.7"/>
        <n v="29.9"/>
        <n v="26.4"/>
        <n v="30.1"/>
        <n v="10.9"/>
        <n v="30"/>
        <n v="22.5"/>
        <n v="75.7"/>
        <n v="17.7"/>
        <n v="13.5"/>
        <n v="19.2"/>
        <n v="22"/>
        <n v="53.9"/>
        <n v="25"/>
        <n v="62.1"/>
        <n v="24.9"/>
        <n v="80.400000000000006"/>
        <n v="29.2"/>
        <n v="28.7"/>
        <n v="73.5"/>
        <n v="28.3"/>
        <n v="33.700000000000003"/>
        <n v="52.6"/>
        <n v="72.599999999999994"/>
        <n v="27.4"/>
        <n v="41.4"/>
        <n v="17.899999999999999"/>
        <n v="18.600000000000001"/>
        <n v="6.6"/>
        <n v="8.1"/>
        <n v="13.4"/>
        <n v="65.3"/>
        <n v="7.4"/>
        <n v="25.1"/>
        <n v="19.600000000000001"/>
        <n v="66.099999999999994"/>
        <n v="18.3"/>
        <n v="23"/>
        <n v="34.799999999999997"/>
        <n v="79.099999999999994"/>
        <n v="26.9"/>
        <n v="84.6"/>
        <n v="7.9"/>
        <n v="15.6"/>
        <n v="53.6"/>
        <n v="7.8"/>
        <n v="25.2"/>
        <n v="20.6"/>
        <n v="53.7"/>
        <n v="50"/>
        <n v="7.5"/>
        <n v="24.1"/>
        <n v="76.900000000000006"/>
        <n v="80.8"/>
        <n v="28.5"/>
        <n v="41.3"/>
        <n v="28.6"/>
        <n v="10"/>
        <n v="57"/>
        <n v="13.7"/>
        <n v="9.6"/>
        <n v="23.3"/>
        <n v="78.2"/>
        <n v="48.4"/>
        <n v="19.3"/>
        <n v="42.4"/>
        <n v="51.1"/>
        <n v="29"/>
        <n v="8.4"/>
        <n v="68.3"/>
        <n v="72.2"/>
        <n v="16.2"/>
        <n v="38.9"/>
        <n v="9.1"/>
        <n v="17.5"/>
        <n v="5.9"/>
        <n v="5.6"/>
        <n v="76.7"/>
        <n v="38.200000000000003"/>
        <n v="12.6"/>
        <n v="24.8"/>
        <n v="6.3"/>
        <n v="51.4"/>
        <n v="19.899999999999999"/>
        <n v="27.7"/>
        <n v="10.5"/>
        <n v="83.4"/>
        <n v="9.3000000000000007"/>
        <n v="17.2"/>
        <n v="45.2"/>
        <n v="30.5"/>
        <n v="5.3"/>
        <n v="56.8"/>
        <n v="26.5"/>
        <n v="12.8"/>
        <n v="62.6"/>
        <n v="61.6"/>
        <n v="24.7"/>
        <n v="25.3"/>
        <n v="11.3"/>
        <n v="34.200000000000003"/>
        <n v="27.6"/>
        <n v="17.100000000000001"/>
        <n v="64.5"/>
        <n v="50.9"/>
        <n v="63.1"/>
        <n v="65.5"/>
        <n v="52.4"/>
        <n v="15.4"/>
        <n v="23.8"/>
        <n v="78.400000000000006"/>
        <n v="57.6"/>
        <n v="85.9"/>
        <n v="33.4"/>
        <n v="54.2"/>
        <n v="87.6"/>
        <n v="17"/>
        <n v="56.3"/>
        <n v="85.8"/>
        <n v="20.100000000000001"/>
        <n v="21.1"/>
        <n v="11.9"/>
        <n v="59.8"/>
        <n v="16.5"/>
        <n v="20.5"/>
        <n v="15.8"/>
        <n v="77.8"/>
        <n v="22.9"/>
        <n v="20.399999999999999"/>
        <n v="24.2"/>
        <n v="63.7"/>
        <n v="22.1"/>
        <n v="46.9"/>
        <n v="17.600000000000001"/>
        <n v="6.1"/>
        <n v="7"/>
        <n v="63"/>
        <n v="87.8"/>
        <n v="5.2"/>
        <n v="82"/>
        <n v="8.6999999999999993"/>
        <n v="33"/>
        <n v="16.100000000000001"/>
        <n v="23.5"/>
        <n v="21.5"/>
        <n v="67"/>
        <n v="5.7"/>
        <n v="8.5"/>
        <n v="79.2"/>
        <n v="29.6"/>
        <n v="57.7"/>
        <n v="18.100000000000001"/>
        <n v="47.6"/>
        <n v="21.8"/>
        <n v="23.2"/>
        <n v="65.400000000000006"/>
        <n v="14.4"/>
        <n v="53.3"/>
        <n v="23.1"/>
        <n v="47.2"/>
        <n v="47.4"/>
        <n v="49.2"/>
        <n v="86.1"/>
        <n v="7.7"/>
        <n v="12.5"/>
        <n v="13.8"/>
        <n v="35.299999999999997"/>
        <n v="25.6"/>
        <n v="84.8"/>
        <n v="15.3"/>
        <n v="24.4"/>
        <n v="71.900000000000006"/>
        <n v="29.1"/>
        <n v="68.900000000000006"/>
        <n v="16"/>
        <n v="29.7"/>
        <n v="31.8"/>
        <n v="86.2"/>
        <n v="26.6"/>
        <n v="28.1"/>
        <n v="13.6"/>
        <n v="16.600000000000001"/>
        <n v="46.8"/>
        <n v="84.7"/>
        <n v="29.3"/>
        <n v="65.2"/>
        <n v="74"/>
        <n v="36.9"/>
        <n v="50.4"/>
        <n v="30.9"/>
        <n v="5.5"/>
        <n v="23.9"/>
        <n v="62.4"/>
        <n v="10.6"/>
        <n v="58.6"/>
        <n v="9.1999999999999993"/>
        <n v="15"/>
        <n v="36.700000000000003"/>
        <n v="55.4"/>
        <n v="82.3"/>
        <n v="29.8"/>
        <n v="12.3"/>
        <n v="60.9"/>
        <n v="61.4"/>
        <n v="14"/>
        <n v="87.7"/>
        <n v="20"/>
        <n v="15.2"/>
        <n v="56.6"/>
        <n v="53.5"/>
        <n v="13"/>
        <n v="79.7"/>
        <n v="39"/>
        <n v="27.9"/>
        <n v="32.1"/>
        <n v="11.5"/>
        <n v="18.2"/>
        <n v="29.4"/>
        <n v="21.3"/>
        <n v="22.3"/>
        <n v="70.900000000000006"/>
        <n v="79.599999999999994"/>
        <n v="58.8"/>
        <n v="6.8"/>
        <n v="81.7"/>
        <n v="27.8"/>
        <n v="8.8000000000000007"/>
        <n v="56"/>
        <n v="12.9"/>
        <n v="70.3"/>
        <n v="18"/>
        <n v="27.1"/>
        <n v="56.4"/>
        <n v="25.4"/>
        <n v="22.8"/>
        <n v="35.700000000000003"/>
        <n v="62.5"/>
        <n v="8"/>
        <n v="7.1"/>
        <n v="21.9"/>
        <n v="44.7"/>
        <n v="67.099999999999994"/>
        <n v="6.4"/>
        <n v="75.3"/>
        <n v="9.6999999999999993"/>
        <n v="8.3000000000000007"/>
        <n v="11.7"/>
        <n v="39.4"/>
        <n v="6"/>
        <n v="19.100000000000001"/>
        <n v="46.7"/>
        <n v="80.2"/>
        <n v="54"/>
        <n v="71.8"/>
        <n v="65.8"/>
        <n v="37.5"/>
        <n v="40.799999999999997"/>
        <n v="21.7"/>
        <n v="18.399999999999999"/>
        <n v="61.1"/>
        <n v="76.8"/>
        <n v="14.3"/>
        <n v="35.799999999999997"/>
        <n v="87.5"/>
        <n v="52.5"/>
        <n v="18.899999999999999"/>
        <n v="58.5"/>
        <n v="9.4"/>
        <n v="71.5"/>
        <n v="20.3"/>
        <n v="5.8"/>
        <n v="37.299999999999997"/>
        <n v="19"/>
        <n v="48.5"/>
        <n v="60.1"/>
        <n v="41"/>
        <n v="25.7"/>
        <n v="15.7"/>
        <n v="72"/>
        <n v="69.900000000000006"/>
        <n v="26.8"/>
        <n v="40.5"/>
        <n v="32.700000000000003"/>
        <n v="42"/>
        <n v="20.8"/>
        <n v="42.8"/>
        <n v="27.2"/>
        <n v="67.400000000000006"/>
        <n v="18.7"/>
        <n v="60"/>
        <n v="5.0999999999999996"/>
        <n v="13.3"/>
        <n v="18.8"/>
        <n v="26"/>
        <n v="9.8000000000000007"/>
        <n v="22.4"/>
        <n v="28"/>
        <n v="12"/>
        <n v="81.599999999999994"/>
        <n v="32.200000000000003"/>
        <n v="59.5"/>
        <n v="49.5"/>
        <n v="69.599999999999994"/>
        <n v="40"/>
        <n v="52"/>
        <n v="23.6"/>
        <n v="13.1"/>
        <n v="46.2"/>
        <n v="6.5"/>
        <n v="7.2"/>
        <n v="22.6"/>
        <n v="19.399999999999999"/>
        <n v="16.8"/>
        <n v="87.1"/>
        <n v="55.1"/>
        <n v="70.400000000000006"/>
        <n v="19.5"/>
        <n v="52.9"/>
        <n v="21"/>
        <n v="5.4"/>
        <n v="61.5"/>
        <n v="9.9"/>
        <n v="10.3"/>
        <n v="24"/>
        <n v="26.2"/>
        <n v="27"/>
        <n v="80.900000000000006"/>
        <n v="14.6"/>
        <n v="48.1"/>
        <n v="44.2"/>
        <n v="10.8"/>
        <n v="45.9"/>
        <n v="57.3"/>
        <n v="72.8"/>
        <n v="71.7"/>
        <n v="11.4"/>
        <n v="65.900000000000006"/>
        <n v="13.9"/>
        <n v="32"/>
        <n v="49.9"/>
        <n v="17.399999999999999"/>
        <n v="11"/>
        <n v="66.900000000000006"/>
        <n v="63.6"/>
        <n v="52.1"/>
        <n v="39.200000000000003"/>
        <n v="18.5"/>
        <n v="68.2"/>
        <n v="66.8"/>
        <n v="49.6"/>
        <n v="61.9"/>
        <n v="66.2"/>
        <n v="31.9"/>
        <n v="37.1"/>
        <n v="27.3"/>
        <n v="10.199999999999999"/>
        <n v="10.4"/>
        <n v="24.5"/>
        <n v="37.9"/>
        <n v="45.1"/>
        <n v="85.1"/>
        <n v="6.2"/>
        <n v="85.2"/>
        <n v="69.3"/>
        <n v="60.5"/>
        <n v="51.5"/>
        <n v="8.6"/>
        <n v="30.8"/>
        <n v="53.1"/>
        <n v="38.6"/>
        <n v="79"/>
        <n v="34.6"/>
        <n v="41.7"/>
        <n v="66.599999999999994"/>
        <n v="62.8"/>
        <n v="70.5"/>
        <n v="14.7"/>
        <n v="19.7"/>
        <n v="28.2"/>
        <n v="76.3"/>
        <n v="76.400000000000006"/>
        <n v="77.7"/>
        <n v="73.599999999999994"/>
        <n v="47.9"/>
        <n v="75.5"/>
        <n v="83.9"/>
        <n v="57.8"/>
        <n v="58.4"/>
        <n v="72.7"/>
        <n v="14.5"/>
        <n v="46"/>
        <n v="24.6"/>
        <n v="7.6"/>
        <n v="38.1"/>
        <n v="71.400000000000006"/>
        <n v="69.400000000000006"/>
        <n v="16.7"/>
        <n v="28.4"/>
        <n v="30.6"/>
        <n v="37.4"/>
        <n v="21.6"/>
        <n v="74.5"/>
        <n v="44"/>
        <n v="51.2"/>
        <n v="49.3"/>
        <n v="79.3"/>
        <n v="37"/>
        <n v="43.7"/>
        <n v="34.4"/>
        <n v="73.7"/>
        <n v="25.8"/>
        <n v="53.8"/>
        <n v="54.3"/>
        <n v="32.9"/>
        <n v="20.2"/>
        <n v="45.8"/>
        <n v="49.7"/>
        <n v="71"/>
        <n v="74.8"/>
        <n v="83"/>
        <n v="49.4"/>
        <n v="10.1"/>
        <n v="79.900000000000006"/>
        <n v="13.2"/>
        <n v="58.3"/>
        <n v="73"/>
        <n v="60.8"/>
        <n v="73.3"/>
        <n v="30.4"/>
        <n v="65.7"/>
        <n v="34.700000000000003"/>
        <n v="35"/>
        <n v="43.1"/>
        <n v="81.2"/>
        <n v="37.799999999999997"/>
        <n v="60.7"/>
        <n v="83.5"/>
        <n v="31.5"/>
        <n v="72.400000000000006"/>
        <n v="76"/>
        <n v="69.8"/>
        <n v="78.3"/>
        <n v="26.3"/>
        <n v="66.5"/>
        <n v="84"/>
        <n v="58.2"/>
        <n v="54.4"/>
        <n v="46.3"/>
        <n v="25.9"/>
        <n v="43.6"/>
        <n v="33.200000000000003"/>
        <n v="41.6"/>
        <n v="61"/>
        <n v="73.400000000000006"/>
        <n v="30.3"/>
        <n v="36.1"/>
        <n v="56.5"/>
        <n v="85"/>
        <n v="22.7"/>
        <n v="20.7"/>
        <n v="37.700000000000003"/>
        <n v="74.099999999999994"/>
        <n v="67.5"/>
        <n v="58"/>
        <n v="32.799999999999997"/>
        <n v="81.099999999999994"/>
        <n v="82.9"/>
        <n v="82.4"/>
        <n v="33.9"/>
        <n v="83.3"/>
        <n v="63.5"/>
        <n v="50.6"/>
        <n v="54.9"/>
        <n v="12.1"/>
        <n v="40.200000000000003"/>
        <n v="12.2"/>
        <n v="42.3"/>
        <n v="25.5"/>
        <n v="78"/>
        <n v="45.5"/>
        <n v="53.4"/>
        <n v="43.8"/>
        <n v="71.3"/>
        <n v="45.3"/>
        <n v="67.599999999999994"/>
        <n v="21.4"/>
        <n v="69"/>
        <n v="42.9"/>
        <n v="87.3"/>
        <n v="69.2"/>
        <n v="68.5"/>
        <n v="46.4"/>
        <n v="6.9"/>
        <n v="61.3"/>
        <n v="55.3"/>
        <n v="58.7"/>
        <n v="56.9"/>
        <n v="36.799999999999997"/>
        <n v="66.400000000000006"/>
        <n v="10.7"/>
        <n v="82.2"/>
        <n v="55.7"/>
        <n v="54.5"/>
        <n v="33.799999999999997"/>
        <n v="79.5"/>
        <n v="66.7"/>
        <n v="63.9"/>
        <n v="75.8"/>
        <n v="85.5"/>
        <n v="74.900000000000006"/>
        <n v="30.7"/>
        <n v="47"/>
        <n v="83.8"/>
        <n v="72.099999999999994"/>
        <n v="5"/>
        <n v="57.1"/>
        <n v="29.5"/>
        <n v="48"/>
        <n v="62.7"/>
        <n v="59.6"/>
        <n v="78.8"/>
      </sharedItems>
    </cacheField>
    <cacheField name="Benefits_Score_10" numFmtId="0">
      <sharedItems containsSemiMixedTypes="0" containsString="0" containsNumber="1" minValue="6" maxValue="9.8000000000000007"/>
    </cacheField>
    <cacheField name="Posting_Year" numFmtId="0">
      <sharedItems containsSemiMixedTypes="0" containsString="0" containsNumber="1" containsInteger="1" minValue="2025" maxValue="2026" count="2">
        <n v="2026"/>
        <n v="2025"/>
      </sharedItems>
    </cacheField>
    <cacheField name="Posting_Month" numFmtId="0">
      <sharedItems containsSemiMixedTypes="0" containsString="0" containsNumber="1" containsInteger="1" minValue="1" maxValue="12"/>
    </cacheField>
    <cacheField name="Is_Senior" numFmtId="0">
      <sharedItems containsSemiMixedTypes="0" containsString="0" containsNumber="1" containsInteger="1" minValue="0" maxValue="1"/>
    </cacheField>
    <cacheField name="Is_Remote_Friendly" numFmtId="0">
      <sharedItems count="2">
        <s v="Non-Remote"/>
        <s v="Remote"/>
      </sharedItems>
    </cacheField>
    <cacheField name="Is_Llm_Role" numFmtId="0">
      <sharedItems count="2">
        <s v="AI /LLM Role"/>
        <s v="Non-Ai Role"/>
      </sharedItems>
    </cacheField>
    <cacheField name="Salary_Tier" numFmtId="0">
      <sharedItems/>
    </cacheField>
  </cacheFields>
  <extLst>
    <ext xmlns:x14="http://schemas.microsoft.com/office/spreadsheetml/2009/9/main" uri="{725AE2AE-9491-48be-B2B4-4EB974FC3084}">
      <x14:pivotCacheDefinition pivotCacheId="2109194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n v="239000"/>
    <n v="155000"/>
    <n v="290000"/>
    <s v="Boston"/>
    <x v="0"/>
    <s v="On-site"/>
    <s v="Startup (1-50)"/>
    <x v="0"/>
    <s v="APIs|Planning Systems|Python|Cloud|SQL|Leadership"/>
    <n v="13.1"/>
    <x v="0"/>
    <x v="0"/>
    <n v="6.8"/>
    <x v="0"/>
    <n v="3"/>
    <n v="1"/>
    <x v="0"/>
    <x v="0"/>
    <s v="Senior ($200-300k)"/>
  </r>
  <r>
    <x v="1"/>
    <x v="1"/>
    <x v="0"/>
    <x v="0"/>
    <x v="1"/>
    <x v="1"/>
    <n v="166000"/>
    <n v="90000"/>
    <n v="200000"/>
    <s v="London"/>
    <x v="1"/>
    <s v="Hybrid"/>
    <s v="Enterprise (5000+)"/>
    <x v="0"/>
    <s v="Python|Documentation|LLM APIs|Prompt Design|NLP|Testing|Cloud"/>
    <n v="5.4"/>
    <x v="1"/>
    <x v="1"/>
    <n v="6.2"/>
    <x v="0"/>
    <n v="1"/>
    <n v="1"/>
    <x v="1"/>
    <x v="0"/>
    <s v="Upper-Mid ($150-200k)"/>
  </r>
  <r>
    <x v="2"/>
    <x v="2"/>
    <x v="0"/>
    <x v="0"/>
    <x v="2"/>
    <x v="2"/>
    <n v="360000"/>
    <n v="160000"/>
    <n v="300000"/>
    <s v="Seattle"/>
    <x v="0"/>
    <s v="Fully Remote"/>
    <s v="Big Tech (FAANG+)"/>
    <x v="0"/>
    <s v="Vector DBs|Python|Prompt Engineering|Fine-tuning|Agile"/>
    <n v="9.1"/>
    <x v="2"/>
    <x v="2"/>
    <n v="7.7"/>
    <x v="0"/>
    <n v="1"/>
    <n v="1"/>
    <x v="1"/>
    <x v="0"/>
    <s v="Elite (&gt;$300k)"/>
  </r>
  <r>
    <x v="3"/>
    <x v="3"/>
    <x v="1"/>
    <x v="0"/>
    <x v="3"/>
    <x v="1"/>
    <n v="161000"/>
    <n v="130000"/>
    <n v="220000"/>
    <s v="Singapore"/>
    <x v="2"/>
    <s v="Fully Remote"/>
    <s v="SME (51-500)"/>
    <x v="1"/>
    <s v="Feature Stores|Spark|ETL|Airflow|dbt|SQL|Python|Statistics|SQL|Communication"/>
    <n v="12"/>
    <x v="3"/>
    <x v="3"/>
    <n v="9.5"/>
    <x v="0"/>
    <n v="3"/>
    <n v="1"/>
    <x v="1"/>
    <x v="1"/>
    <s v="Upper-Mid ($150-200k)"/>
  </r>
  <r>
    <x v="4"/>
    <x v="4"/>
    <x v="2"/>
    <x v="1"/>
    <x v="4"/>
    <x v="3"/>
    <n v="283000"/>
    <n v="140000"/>
    <n v="260000"/>
    <s v="Los Angeles"/>
    <x v="0"/>
    <s v="Fully Remote"/>
    <s v="Enterprise (5000+)"/>
    <x v="2"/>
    <s v="Data Analysis|Stakeholder Mgmt|Agile|Cloud|Problem Solving|Statistics"/>
    <n v="9.4"/>
    <x v="4"/>
    <x v="4"/>
    <n v="8.9"/>
    <x v="0"/>
    <n v="1"/>
    <n v="1"/>
    <x v="1"/>
    <x v="1"/>
    <s v="Senior ($200-300k)"/>
  </r>
  <r>
    <x v="5"/>
    <x v="0"/>
    <x v="0"/>
    <x v="2"/>
    <x v="4"/>
    <x v="3"/>
    <n v="155000"/>
    <n v="155000"/>
    <n v="290000"/>
    <s v="Chicago"/>
    <x v="0"/>
    <s v="On-site"/>
    <s v="Enterprise (5000+)"/>
    <x v="3"/>
    <s v="Planning Systems|Python|APIs|AutoGen|LangChain|Statistics|Git|Agile"/>
    <n v="8"/>
    <x v="0"/>
    <x v="5"/>
    <n v="8.6999999999999993"/>
    <x v="0"/>
    <n v="1"/>
    <n v="0"/>
    <x v="0"/>
    <x v="0"/>
    <s v="Upper-Mid ($150-200k)"/>
  </r>
  <r>
    <x v="6"/>
    <x v="5"/>
    <x v="3"/>
    <x v="3"/>
    <x v="4"/>
    <x v="0"/>
    <n v="197000"/>
    <n v="140000"/>
    <n v="260000"/>
    <s v="Boston"/>
    <x v="0"/>
    <s v="Fully Remote"/>
    <s v="Mid-size (501-5000)"/>
    <x v="4"/>
    <s v="Risk Analysis|Cybersecurity|Python|ML Security|Red Teaming|Git"/>
    <n v="16.3"/>
    <x v="5"/>
    <x v="6"/>
    <n v="6.2"/>
    <x v="0"/>
    <n v="1"/>
    <n v="0"/>
    <x v="1"/>
    <x v="1"/>
    <s v="Upper-Mid ($150-200k)"/>
  </r>
  <r>
    <x v="7"/>
    <x v="6"/>
    <x v="0"/>
    <x v="3"/>
    <x v="0"/>
    <x v="0"/>
    <n v="221000"/>
    <n v="180000"/>
    <n v="312000"/>
    <s v="Remote"/>
    <x v="3"/>
    <s v="Fully Remote"/>
    <s v="Startup (1-50)"/>
    <x v="5"/>
    <s v="LLM Fine-tuning|Distributed Systems|MLOps|Python|System Design|Agile|Cloud|Statistics"/>
    <n v="12.5"/>
    <x v="0"/>
    <x v="7"/>
    <n v="6.2"/>
    <x v="1"/>
    <n v="9"/>
    <n v="0"/>
    <x v="1"/>
    <x v="1"/>
    <s v="Senior ($200-300k)"/>
  </r>
  <r>
    <x v="8"/>
    <x v="7"/>
    <x v="0"/>
    <x v="2"/>
    <x v="3"/>
    <x v="1"/>
    <n v="145000"/>
    <n v="145000"/>
    <n v="290000"/>
    <s v="Bangalore"/>
    <x v="4"/>
    <s v="Hybrid"/>
    <s v="SME (51-500)"/>
    <x v="2"/>
    <s v="Python|Text Processing|BERT|Hugging Face|Communication|Agile|Research"/>
    <n v="8.1"/>
    <x v="6"/>
    <x v="8"/>
    <n v="8.1999999999999993"/>
    <x v="1"/>
    <n v="8"/>
    <n v="0"/>
    <x v="1"/>
    <x v="1"/>
    <s v="Mid ($100-150k)"/>
  </r>
  <r>
    <x v="9"/>
    <x v="1"/>
    <x v="0"/>
    <x v="2"/>
    <x v="2"/>
    <x v="3"/>
    <n v="90000"/>
    <n v="90000"/>
    <n v="200000"/>
    <s v="Los Angeles"/>
    <x v="0"/>
    <s v="On-site"/>
    <s v="Startup (1-50)"/>
    <x v="2"/>
    <s v="Documentation|Prompt Design|Testing|NLP|LLM APIs|Python|Communication"/>
    <n v="6.1"/>
    <x v="1"/>
    <x v="9"/>
    <n v="7.1"/>
    <x v="1"/>
    <n v="2"/>
    <n v="0"/>
    <x v="0"/>
    <x v="0"/>
    <s v="Entry (&lt;$100k)"/>
  </r>
  <r>
    <x v="10"/>
    <x v="8"/>
    <x v="4"/>
    <x v="2"/>
    <x v="0"/>
    <x v="2"/>
    <n v="180000"/>
    <n v="180000"/>
    <n v="320000"/>
    <s v="Tokyo"/>
    <x v="5"/>
    <s v="On-site"/>
    <s v="Startup (1-50)"/>
    <x v="1"/>
    <s v="Cloud|Python|Leadership|Enterprise Architecture|Cloud"/>
    <n v="8"/>
    <x v="7"/>
    <x v="10"/>
    <n v="9.5"/>
    <x v="0"/>
    <n v="2"/>
    <n v="0"/>
    <x v="0"/>
    <x v="1"/>
    <s v="Upper-Mid ($150-200k)"/>
  </r>
  <r>
    <x v="11"/>
    <x v="1"/>
    <x v="0"/>
    <x v="3"/>
    <x v="5"/>
    <x v="0"/>
    <n v="118000"/>
    <n v="90000"/>
    <n v="200000"/>
    <s v="Tokyo"/>
    <x v="5"/>
    <s v="Hybrid"/>
    <s v="Enterprise (5000+)"/>
    <x v="5"/>
    <s v="Documentation|Python|Prompt Design|Problem Solving"/>
    <n v="9"/>
    <x v="1"/>
    <x v="11"/>
    <n v="9.6999999999999993"/>
    <x v="1"/>
    <n v="3"/>
    <n v="0"/>
    <x v="1"/>
    <x v="0"/>
    <s v="Mid ($100-150k)"/>
  </r>
  <r>
    <x v="12"/>
    <x v="6"/>
    <x v="0"/>
    <x v="3"/>
    <x v="6"/>
    <x v="3"/>
    <n v="180000"/>
    <n v="180000"/>
    <n v="312000"/>
    <s v="Beijing"/>
    <x v="6"/>
    <s v="On-site"/>
    <s v="Startup (1-50)"/>
    <x v="6"/>
    <s v="LLM Fine-tuning|Python|MLOps|Problem Solving|Leadership|Statistics"/>
    <n v="15.2"/>
    <x v="0"/>
    <x v="12"/>
    <n v="7.5"/>
    <x v="0"/>
    <n v="2"/>
    <n v="0"/>
    <x v="0"/>
    <x v="1"/>
    <s v="Upper-Mid ($150-200k)"/>
  </r>
  <r>
    <x v="13"/>
    <x v="8"/>
    <x v="4"/>
    <x v="2"/>
    <x v="7"/>
    <x v="3"/>
    <n v="180000"/>
    <n v="180000"/>
    <n v="320000"/>
    <s v="Toronto"/>
    <x v="7"/>
    <s v="Fully Remote"/>
    <s v="Startup (1-50)"/>
    <x v="0"/>
    <s v="System Design|Leadership|Cloud|Agile|Linux|Statistics"/>
    <n v="11.7"/>
    <x v="7"/>
    <x v="11"/>
    <n v="9.1999999999999993"/>
    <x v="0"/>
    <n v="3"/>
    <n v="0"/>
    <x v="1"/>
    <x v="1"/>
    <s v="Upper-Mid ($150-200k)"/>
  </r>
  <r>
    <x v="14"/>
    <x v="0"/>
    <x v="0"/>
    <x v="0"/>
    <x v="3"/>
    <x v="1"/>
    <n v="209000"/>
    <n v="155000"/>
    <n v="290000"/>
    <s v="Dubai"/>
    <x v="8"/>
    <s v="Hybrid"/>
    <s v="Startup (1-50)"/>
    <x v="7"/>
    <s v="Python|APIs|LangChain|Tool Use|AutoGen|Communication|Statistics|Problem Solving"/>
    <n v="10.6"/>
    <x v="0"/>
    <x v="13"/>
    <n v="9.4"/>
    <x v="0"/>
    <n v="1"/>
    <n v="1"/>
    <x v="1"/>
    <x v="0"/>
    <s v="Senior ($200-300k)"/>
  </r>
  <r>
    <x v="15"/>
    <x v="0"/>
    <x v="0"/>
    <x v="2"/>
    <x v="3"/>
    <x v="1"/>
    <n v="155000"/>
    <n v="155000"/>
    <n v="290000"/>
    <s v="Amsterdam"/>
    <x v="9"/>
    <s v="Fully Remote"/>
    <s v="Mid-size (501-5000)"/>
    <x v="8"/>
    <s v="LangChain|Tool Use|Planning Systems|AutoGen|Python|Git"/>
    <n v="13.5"/>
    <x v="0"/>
    <x v="14"/>
    <n v="8.1999999999999993"/>
    <x v="1"/>
    <n v="3"/>
    <n v="0"/>
    <x v="1"/>
    <x v="0"/>
    <s v="Upper-Mid ($150-200k)"/>
  </r>
  <r>
    <x v="16"/>
    <x v="9"/>
    <x v="0"/>
    <x v="2"/>
    <x v="8"/>
    <x v="4"/>
    <n v="120000"/>
    <n v="120000"/>
    <n v="280000"/>
    <s v="Paris"/>
    <x v="10"/>
    <s v="Fully Remote"/>
    <s v="Mid-size (501-5000)"/>
    <x v="9"/>
    <s v="TensorFlow|Kubernetes|MLOps|Linux|Communication|Problem Solving"/>
    <n v="8.1999999999999993"/>
    <x v="8"/>
    <x v="15"/>
    <n v="7.3"/>
    <x v="0"/>
    <n v="3"/>
    <n v="0"/>
    <x v="1"/>
    <x v="1"/>
    <s v="Mid ($100-150k)"/>
  </r>
  <r>
    <x v="17"/>
    <x v="10"/>
    <x v="0"/>
    <x v="3"/>
    <x v="1"/>
    <x v="1"/>
    <n v="162000"/>
    <n v="150000"/>
    <n v="295000"/>
    <s v="London"/>
    <x v="1"/>
    <s v="On-site"/>
    <s v="Mid-size (501-5000)"/>
    <x v="7"/>
    <s v="GenAI APIs|Deployment|Diffusion Models|LLMs|Fine-tuning|Python|SQL"/>
    <n v="11.3"/>
    <x v="9"/>
    <x v="16"/>
    <n v="9.6999999999999993"/>
    <x v="1"/>
    <n v="11"/>
    <n v="0"/>
    <x v="0"/>
    <x v="0"/>
    <s v="Upper-Mid ($150-200k)"/>
  </r>
  <r>
    <x v="18"/>
    <x v="5"/>
    <x v="3"/>
    <x v="0"/>
    <x v="0"/>
    <x v="1"/>
    <n v="228000"/>
    <n v="140000"/>
    <n v="260000"/>
    <s v="Sydney"/>
    <x v="11"/>
    <s v="Hybrid"/>
    <s v="Big Tech (FAANG+)"/>
    <x v="3"/>
    <s v="Risk Analysis|Python|Cybersecurity|Problem Solving"/>
    <n v="15.9"/>
    <x v="5"/>
    <x v="17"/>
    <n v="9.6999999999999993"/>
    <x v="1"/>
    <n v="10"/>
    <n v="1"/>
    <x v="1"/>
    <x v="1"/>
    <s v="Senior ($200-300k)"/>
  </r>
  <r>
    <x v="19"/>
    <x v="11"/>
    <x v="0"/>
    <x v="1"/>
    <x v="8"/>
    <x v="1"/>
    <n v="185000"/>
    <n v="141000"/>
    <n v="270000"/>
    <s v="Berlin"/>
    <x v="12"/>
    <s v="Hybrid"/>
    <s v="Startup (1-50)"/>
    <x v="7"/>
    <s v="Neural Networks|Python|TensorFlow|CUDA|PyTorch|Git|Agile|Leadership"/>
    <n v="5.8"/>
    <x v="10"/>
    <x v="18"/>
    <n v="6.5"/>
    <x v="0"/>
    <n v="2"/>
    <n v="1"/>
    <x v="1"/>
    <x v="1"/>
    <s v="Upper-Mid ($150-200k)"/>
  </r>
  <r>
    <x v="20"/>
    <x v="12"/>
    <x v="0"/>
    <x v="0"/>
    <x v="3"/>
    <x v="3"/>
    <n v="329000"/>
    <n v="160000"/>
    <n v="300000"/>
    <s v="Chicago"/>
    <x v="0"/>
    <s v="On-site"/>
    <s v="Big Tech (FAANG+)"/>
    <x v="7"/>
    <s v="PyTorch|Vision-Language Models|APIs|Fine-tuning|Research|Problem Solving"/>
    <n v="12.7"/>
    <x v="11"/>
    <x v="19"/>
    <n v="9"/>
    <x v="1"/>
    <n v="2"/>
    <n v="1"/>
    <x v="0"/>
    <x v="1"/>
    <s v="Elite (&gt;$300k)"/>
  </r>
  <r>
    <x v="21"/>
    <x v="13"/>
    <x v="5"/>
    <x v="0"/>
    <x v="9"/>
    <x v="1"/>
    <n v="272000"/>
    <n v="130000"/>
    <n v="260000"/>
    <s v="Dubai"/>
    <x v="8"/>
    <s v="On-site"/>
    <s v="Big Tech (FAANG+)"/>
    <x v="1"/>
    <s v="Monitoring|Docker|Kubernetes|MLflow|SQL"/>
    <n v="12.8"/>
    <x v="12"/>
    <x v="20"/>
    <n v="6.3"/>
    <x v="0"/>
    <n v="3"/>
    <n v="1"/>
    <x v="0"/>
    <x v="1"/>
    <s v="Senior ($200-300k)"/>
  </r>
  <r>
    <x v="22"/>
    <x v="14"/>
    <x v="6"/>
    <x v="1"/>
    <x v="0"/>
    <x v="3"/>
    <n v="201000"/>
    <n v="95000"/>
    <n v="180000"/>
    <s v="Los Angeles"/>
    <x v="0"/>
    <s v="On-site"/>
    <s v="Enterprise (5000+)"/>
    <x v="10"/>
    <s v="SQL|Communication|Python|Data Visualization|Business Analysis|Leadership|Research|SQL"/>
    <n v="16.5"/>
    <x v="13"/>
    <x v="21"/>
    <n v="9"/>
    <x v="0"/>
    <n v="3"/>
    <n v="1"/>
    <x v="0"/>
    <x v="1"/>
    <s v="Senior ($200-300k)"/>
  </r>
  <r>
    <x v="23"/>
    <x v="15"/>
    <x v="0"/>
    <x v="1"/>
    <x v="3"/>
    <x v="2"/>
    <n v="230000"/>
    <n v="145000"/>
    <n v="280000"/>
    <s v="Toronto"/>
    <x v="7"/>
    <s v="Fully Remote"/>
    <s v="Enterprise (5000+)"/>
    <x v="0"/>
    <s v="Embeddings|LLMs|Vector DBs|Search Systems|LangChain|Python|Communication|Agile|Research"/>
    <n v="4.5999999999999996"/>
    <x v="14"/>
    <x v="22"/>
    <n v="9.4"/>
    <x v="1"/>
    <n v="3"/>
    <n v="1"/>
    <x v="1"/>
    <x v="0"/>
    <s v="Senior ($200-300k)"/>
  </r>
  <r>
    <x v="24"/>
    <x v="7"/>
    <x v="0"/>
    <x v="3"/>
    <x v="6"/>
    <x v="1"/>
    <n v="145000"/>
    <n v="145000"/>
    <n v="290000"/>
    <s v="Sydney"/>
    <x v="11"/>
    <s v="Hybrid"/>
    <s v="SME (51-500)"/>
    <x v="4"/>
    <s v="LLMs|Python|Transformers|Text Processing|BERT|Hugging Face|Cloud|Research|SQL"/>
    <n v="5.7"/>
    <x v="6"/>
    <x v="23"/>
    <n v="9.1999999999999993"/>
    <x v="0"/>
    <n v="3"/>
    <n v="0"/>
    <x v="1"/>
    <x v="1"/>
    <s v="Mid ($100-150k)"/>
  </r>
  <r>
    <x v="25"/>
    <x v="16"/>
    <x v="7"/>
    <x v="1"/>
    <x v="10"/>
    <x v="0"/>
    <n v="125000"/>
    <n v="125000"/>
    <n v="240000"/>
    <s v="Beijing"/>
    <x v="6"/>
    <s v="Hybrid"/>
    <s v="SME (51-500)"/>
    <x v="11"/>
    <s v="Computer Vision|C++|Simulation|Linux|Research|Problem Solving"/>
    <n v="17.100000000000001"/>
    <x v="15"/>
    <x v="24"/>
    <n v="8.5"/>
    <x v="1"/>
    <n v="7"/>
    <n v="1"/>
    <x v="1"/>
    <x v="1"/>
    <s v="Mid ($100-150k)"/>
  </r>
  <r>
    <x v="26"/>
    <x v="17"/>
    <x v="8"/>
    <x v="2"/>
    <x v="6"/>
    <x v="4"/>
    <n v="157000"/>
    <n v="157000"/>
    <n v="218000"/>
    <s v="Zurich"/>
    <x v="13"/>
    <s v="Fully Remote"/>
    <s v="SME (51-500)"/>
    <x v="1"/>
    <s v="Causal Inference|Leadership|ML|Advanced Statistics|Deep Learning|Python|Research"/>
    <n v="3.4"/>
    <x v="11"/>
    <x v="25"/>
    <n v="6.9"/>
    <x v="1"/>
    <n v="11"/>
    <n v="0"/>
    <x v="1"/>
    <x v="1"/>
    <s v="Upper-Mid ($150-200k)"/>
  </r>
  <r>
    <x v="27"/>
    <x v="9"/>
    <x v="0"/>
    <x v="3"/>
    <x v="8"/>
    <x v="1"/>
    <n v="224000"/>
    <n v="120000"/>
    <n v="280000"/>
    <s v="San Francisco"/>
    <x v="0"/>
    <s v="Hybrid"/>
    <s v="SME (51-500)"/>
    <x v="11"/>
    <s v="MLOps|Python|PyTorch|SQL|Agile|Statistics|Linux"/>
    <n v="15.5"/>
    <x v="8"/>
    <x v="26"/>
    <n v="9.1"/>
    <x v="0"/>
    <n v="1"/>
    <n v="0"/>
    <x v="1"/>
    <x v="1"/>
    <s v="Senior ($200-300k)"/>
  </r>
  <r>
    <x v="28"/>
    <x v="14"/>
    <x v="6"/>
    <x v="1"/>
    <x v="3"/>
    <x v="3"/>
    <n v="216000"/>
    <n v="95000"/>
    <n v="180000"/>
    <s v="San Francisco"/>
    <x v="0"/>
    <s v="Hybrid"/>
    <s v="Mid-size (501-5000)"/>
    <x v="4"/>
    <s v="Communication|Python|SQL|Agile|Git|SQL"/>
    <n v="14.6"/>
    <x v="13"/>
    <x v="3"/>
    <n v="8.5"/>
    <x v="1"/>
    <n v="7"/>
    <n v="1"/>
    <x v="1"/>
    <x v="1"/>
    <s v="Senior ($200-300k)"/>
  </r>
  <r>
    <x v="29"/>
    <x v="18"/>
    <x v="9"/>
    <x v="0"/>
    <x v="10"/>
    <x v="3"/>
    <n v="208000"/>
    <n v="110000"/>
    <n v="210000"/>
    <s v="Boston"/>
    <x v="0"/>
    <s v="Hybrid"/>
    <s v="Enterprise (5000+)"/>
    <x v="8"/>
    <s v="Research|Ethics Frameworks|Communication|Research|Problem Solving|Cloud"/>
    <n v="11.2"/>
    <x v="16"/>
    <x v="27"/>
    <n v="9.6"/>
    <x v="1"/>
    <n v="8"/>
    <n v="1"/>
    <x v="1"/>
    <x v="1"/>
    <s v="Senior ($200-300k)"/>
  </r>
  <r>
    <x v="30"/>
    <x v="7"/>
    <x v="0"/>
    <x v="1"/>
    <x v="6"/>
    <x v="4"/>
    <n v="348000"/>
    <n v="145000"/>
    <n v="290000"/>
    <s v="Zurich"/>
    <x v="13"/>
    <s v="On-site"/>
    <s v="Big Tech (FAANG+)"/>
    <x v="10"/>
    <s v="LLMs|Transformers|BERT|Hugging Face|Agile|Problem Solving"/>
    <n v="9.6"/>
    <x v="6"/>
    <x v="28"/>
    <n v="8.6999999999999993"/>
    <x v="0"/>
    <n v="1"/>
    <n v="1"/>
    <x v="0"/>
    <x v="1"/>
    <s v="Elite (&gt;$300k)"/>
  </r>
  <r>
    <x v="31"/>
    <x v="19"/>
    <x v="10"/>
    <x v="1"/>
    <x v="2"/>
    <x v="1"/>
    <n v="285000"/>
    <n v="140000"/>
    <n v="270000"/>
    <s v="Remote"/>
    <x v="3"/>
    <s v="Hybrid"/>
    <s v="Enterprise (5000+)"/>
    <x v="8"/>
    <s v="Networking|Kubernetes|CUDA|Distributed Systems|Storage|Cloud|Leadership|Statistics|Cloud"/>
    <n v="11.5"/>
    <x v="4"/>
    <x v="29"/>
    <n v="7.2"/>
    <x v="1"/>
    <n v="12"/>
    <n v="1"/>
    <x v="1"/>
    <x v="1"/>
    <s v="Senior ($200-300k)"/>
  </r>
  <r>
    <x v="32"/>
    <x v="11"/>
    <x v="0"/>
    <x v="3"/>
    <x v="10"/>
    <x v="0"/>
    <n v="141000"/>
    <n v="141000"/>
    <n v="270000"/>
    <s v="Toronto"/>
    <x v="7"/>
    <s v="Hybrid"/>
    <s v="Startup (1-50)"/>
    <x v="9"/>
    <s v="CUDA|GPU Computing|TensorFlow|Python|Neural Networks|Communication|Statistics"/>
    <n v="8"/>
    <x v="10"/>
    <x v="30"/>
    <n v="6.2"/>
    <x v="1"/>
    <n v="5"/>
    <n v="0"/>
    <x v="1"/>
    <x v="1"/>
    <s v="Mid ($100-150k)"/>
  </r>
  <r>
    <x v="33"/>
    <x v="19"/>
    <x v="10"/>
    <x v="2"/>
    <x v="8"/>
    <x v="1"/>
    <n v="160000"/>
    <n v="140000"/>
    <n v="270000"/>
    <s v="Austin"/>
    <x v="0"/>
    <s v="Hybrid"/>
    <s v="Enterprise (5000+)"/>
    <x v="3"/>
    <s v="Distributed Systems|CUDA|Kubernetes|Cloud|Networking|Storage|Git"/>
    <n v="13.8"/>
    <x v="4"/>
    <x v="31"/>
    <n v="6.6"/>
    <x v="0"/>
    <n v="2"/>
    <n v="0"/>
    <x v="1"/>
    <x v="1"/>
    <s v="Upper-Mid ($150-200k)"/>
  </r>
  <r>
    <x v="34"/>
    <x v="6"/>
    <x v="0"/>
    <x v="1"/>
    <x v="6"/>
    <x v="2"/>
    <n v="223000"/>
    <n v="180000"/>
    <n v="312000"/>
    <s v="London"/>
    <x v="1"/>
    <s v="Hybrid"/>
    <s v="Startup (1-50)"/>
    <x v="2"/>
    <s v="MLOps|Distributed Systems|System Design|LLM Fine-tuning|PyTorch|Python|Problem Solving|SQL|Git"/>
    <n v="10.6"/>
    <x v="0"/>
    <x v="32"/>
    <n v="6.9"/>
    <x v="0"/>
    <n v="1"/>
    <n v="1"/>
    <x v="1"/>
    <x v="1"/>
    <s v="Senior ($200-300k)"/>
  </r>
  <r>
    <x v="35"/>
    <x v="20"/>
    <x v="0"/>
    <x v="1"/>
    <x v="2"/>
    <x v="4"/>
    <n v="221000"/>
    <n v="100000"/>
    <n v="250000"/>
    <s v="Amsterdam"/>
    <x v="9"/>
    <s v="Hybrid"/>
    <s v="Enterprise (5000+)"/>
    <x v="0"/>
    <s v="Cloud (AWS/GCP/Azure)|PyTorch|Python|Docker|LLM Integration|Problem Solving|Communication|Cloud"/>
    <n v="14.5"/>
    <x v="9"/>
    <x v="33"/>
    <n v="9.1"/>
    <x v="1"/>
    <n v="3"/>
    <n v="1"/>
    <x v="1"/>
    <x v="1"/>
    <s v="Senior ($200-300k)"/>
  </r>
  <r>
    <x v="36"/>
    <x v="13"/>
    <x v="5"/>
    <x v="0"/>
    <x v="6"/>
    <x v="3"/>
    <n v="130000"/>
    <n v="130000"/>
    <n v="260000"/>
    <s v="Beijing"/>
    <x v="6"/>
    <s v="Fully Remote"/>
    <s v="Big Tech (FAANG+)"/>
    <x v="1"/>
    <s v="Monitoring|CI/CD|Docker|Cloud|Kubernetes|Problem Solving"/>
    <n v="15.3"/>
    <x v="12"/>
    <x v="34"/>
    <n v="6.1"/>
    <x v="1"/>
    <n v="11"/>
    <n v="1"/>
    <x v="1"/>
    <x v="1"/>
    <s v="Mid ($100-150k)"/>
  </r>
  <r>
    <x v="37"/>
    <x v="14"/>
    <x v="6"/>
    <x v="0"/>
    <x v="6"/>
    <x v="2"/>
    <n v="95000"/>
    <n v="95000"/>
    <n v="180000"/>
    <s v="Bangalore"/>
    <x v="4"/>
    <s v="Hybrid"/>
    <s v="Startup (1-50)"/>
    <x v="3"/>
    <s v="Data Visualization|Communication|Python|Problem Solving"/>
    <n v="12.9"/>
    <x v="13"/>
    <x v="35"/>
    <n v="7.3"/>
    <x v="1"/>
    <n v="11"/>
    <n v="1"/>
    <x v="1"/>
    <x v="1"/>
    <s v="Entry (&lt;$100k)"/>
  </r>
  <r>
    <x v="38"/>
    <x v="21"/>
    <x v="8"/>
    <x v="1"/>
    <x v="4"/>
    <x v="3"/>
    <n v="198000"/>
    <n v="138000"/>
    <n v="195000"/>
    <s v="Chicago"/>
    <x v="0"/>
    <s v="Fully Remote"/>
    <s v="Mid-size (501-5000)"/>
    <x v="3"/>
    <s v="Scikit-learn|Python|SQL|Statistics|Git"/>
    <n v="8.8000000000000007"/>
    <x v="17"/>
    <x v="36"/>
    <n v="9.3000000000000007"/>
    <x v="0"/>
    <n v="1"/>
    <n v="1"/>
    <x v="1"/>
    <x v="1"/>
    <s v="Upper-Mid ($150-200k)"/>
  </r>
  <r>
    <x v="39"/>
    <x v="11"/>
    <x v="0"/>
    <x v="1"/>
    <x v="8"/>
    <x v="3"/>
    <n v="238000"/>
    <n v="141000"/>
    <n v="270000"/>
    <s v="Dubai"/>
    <x v="8"/>
    <s v="Hybrid"/>
    <s v="Mid-size (501-5000)"/>
    <x v="7"/>
    <s v="GPU Computing|PyTorch|TensorFlow|CUDA|Neural Networks|SQL"/>
    <n v="4.7"/>
    <x v="10"/>
    <x v="37"/>
    <n v="8.1"/>
    <x v="0"/>
    <n v="1"/>
    <n v="1"/>
    <x v="1"/>
    <x v="1"/>
    <s v="Senior ($200-300k)"/>
  </r>
  <r>
    <x v="40"/>
    <x v="7"/>
    <x v="0"/>
    <x v="2"/>
    <x v="0"/>
    <x v="0"/>
    <n v="192000"/>
    <n v="145000"/>
    <n v="290000"/>
    <s v="Boston"/>
    <x v="0"/>
    <s v="Hybrid"/>
    <s v="Enterprise (5000+)"/>
    <x v="11"/>
    <s v="LLMs|Text Processing|Hugging Face|Python|Transformers|Linux|Cloud|Communication"/>
    <n v="9.1999999999999993"/>
    <x v="6"/>
    <x v="16"/>
    <n v="7"/>
    <x v="0"/>
    <n v="2"/>
    <n v="0"/>
    <x v="1"/>
    <x v="1"/>
    <s v="Upper-Mid ($150-200k)"/>
  </r>
  <r>
    <x v="41"/>
    <x v="4"/>
    <x v="2"/>
    <x v="2"/>
    <x v="10"/>
    <x v="4"/>
    <n v="149000"/>
    <n v="140000"/>
    <n v="260000"/>
    <s v="Dubai"/>
    <x v="8"/>
    <s v="Hybrid"/>
    <s v="Mid-size (501-5000)"/>
    <x v="10"/>
    <s v="Data Analysis|Agile|Product Strategy|AI Literacy|Stakeholder Mgmt|Statistics|Leadership"/>
    <n v="17.3"/>
    <x v="4"/>
    <x v="38"/>
    <n v="9.6999999999999993"/>
    <x v="1"/>
    <n v="7"/>
    <n v="0"/>
    <x v="1"/>
    <x v="1"/>
    <s v="Mid ($100-150k)"/>
  </r>
  <r>
    <x v="42"/>
    <x v="7"/>
    <x v="0"/>
    <x v="0"/>
    <x v="9"/>
    <x v="3"/>
    <n v="164000"/>
    <n v="145000"/>
    <n v="290000"/>
    <s v="Amsterdam"/>
    <x v="9"/>
    <s v="Hybrid"/>
    <s v="Startup (1-50)"/>
    <x v="0"/>
    <s v="Text Processing|Transformers|LLMs|Python|BERT|Hugging Face|Research"/>
    <n v="6.2"/>
    <x v="6"/>
    <x v="5"/>
    <n v="7.6"/>
    <x v="0"/>
    <n v="1"/>
    <n v="1"/>
    <x v="1"/>
    <x v="1"/>
    <s v="Upper-Mid ($150-200k)"/>
  </r>
  <r>
    <x v="43"/>
    <x v="6"/>
    <x v="0"/>
    <x v="0"/>
    <x v="8"/>
    <x v="2"/>
    <n v="272000"/>
    <n v="180000"/>
    <n v="312000"/>
    <s v="Remote"/>
    <x v="3"/>
    <s v="Hybrid"/>
    <s v="Mid-size (501-5000)"/>
    <x v="7"/>
    <s v="Distributed Systems|LLM Fine-tuning|MLOps|PyTorch|System Design|SQL|Git|Communication"/>
    <n v="10.9"/>
    <x v="0"/>
    <x v="39"/>
    <n v="6.3"/>
    <x v="0"/>
    <n v="3"/>
    <n v="1"/>
    <x v="1"/>
    <x v="1"/>
    <s v="Senior ($200-300k)"/>
  </r>
  <r>
    <x v="44"/>
    <x v="19"/>
    <x v="10"/>
    <x v="3"/>
    <x v="3"/>
    <x v="4"/>
    <n v="275000"/>
    <n v="140000"/>
    <n v="270000"/>
    <s v="Boston"/>
    <x v="0"/>
    <s v="Hybrid"/>
    <s v="Enterprise (5000+)"/>
    <x v="10"/>
    <s v="Cloud|CUDA|Storage|Kubernetes|Distributed Systems|Communication"/>
    <n v="14.8"/>
    <x v="4"/>
    <x v="40"/>
    <n v="6.7"/>
    <x v="0"/>
    <n v="2"/>
    <n v="0"/>
    <x v="1"/>
    <x v="1"/>
    <s v="Senior ($200-300k)"/>
  </r>
  <r>
    <x v="45"/>
    <x v="15"/>
    <x v="0"/>
    <x v="3"/>
    <x v="2"/>
    <x v="0"/>
    <n v="189000"/>
    <n v="145000"/>
    <n v="280000"/>
    <s v="London"/>
    <x v="1"/>
    <s v="Fully Remote"/>
    <s v="Enterprise (5000+)"/>
    <x v="7"/>
    <s v="LLMs|Python|Embeddings|Vector DBs|Search Systems|LangChain|Statistics|Agile"/>
    <n v="7.8"/>
    <x v="14"/>
    <x v="41"/>
    <n v="7.1"/>
    <x v="0"/>
    <n v="2"/>
    <n v="0"/>
    <x v="1"/>
    <x v="0"/>
    <s v="Upper-Mid ($150-200k)"/>
  </r>
  <r>
    <x v="46"/>
    <x v="21"/>
    <x v="8"/>
    <x v="0"/>
    <x v="0"/>
    <x v="2"/>
    <n v="146000"/>
    <n v="138000"/>
    <n v="195000"/>
    <s v="London"/>
    <x v="1"/>
    <s v="Fully Remote"/>
    <s v="Enterprise (5000+)"/>
    <x v="11"/>
    <s v="Python|Scikit-learn|SQL|ML Algorithms|Data Visualization|Research|Agile|Communication"/>
    <n v="4.5"/>
    <x v="17"/>
    <x v="42"/>
    <n v="7"/>
    <x v="0"/>
    <n v="3"/>
    <n v="1"/>
    <x v="1"/>
    <x v="1"/>
    <s v="Mid ($100-150k)"/>
  </r>
  <r>
    <x v="47"/>
    <x v="12"/>
    <x v="0"/>
    <x v="2"/>
    <x v="3"/>
    <x v="4"/>
    <n v="180000"/>
    <n v="160000"/>
    <n v="300000"/>
    <s v="Austin"/>
    <x v="0"/>
    <s v="Fully Remote"/>
    <s v="Startup (1-50)"/>
    <x v="9"/>
    <s v="PyTorch|Vision-Language Models|Python|APIs|Fine-tuning|Cloud|Linux|Communication"/>
    <n v="16.8"/>
    <x v="11"/>
    <x v="43"/>
    <n v="7.9"/>
    <x v="1"/>
    <n v="3"/>
    <n v="0"/>
    <x v="1"/>
    <x v="1"/>
    <s v="Upper-Mid ($150-200k)"/>
  </r>
  <r>
    <x v="48"/>
    <x v="22"/>
    <x v="0"/>
    <x v="0"/>
    <x v="2"/>
    <x v="1"/>
    <n v="234000"/>
    <n v="145000"/>
    <n v="280000"/>
    <s v="Remote"/>
    <x v="3"/>
    <s v="On-site"/>
    <s v="Mid-size (501-5000)"/>
    <x v="10"/>
    <s v="OpenCV|CNNs|PyTorch|Python|SQL|Agile"/>
    <n v="5.6"/>
    <x v="18"/>
    <x v="44"/>
    <n v="7"/>
    <x v="1"/>
    <n v="11"/>
    <n v="1"/>
    <x v="0"/>
    <x v="1"/>
    <s v="Senior ($200-300k)"/>
  </r>
  <r>
    <x v="49"/>
    <x v="3"/>
    <x v="1"/>
    <x v="1"/>
    <x v="8"/>
    <x v="1"/>
    <n v="240000"/>
    <n v="130000"/>
    <n v="220000"/>
    <s v="Boston"/>
    <x v="0"/>
    <s v="On-site"/>
    <s v="SME (51-500)"/>
    <x v="9"/>
    <s v="dbt|Spark|Python|Airflow|SQL|Cloud|Git"/>
    <n v="8.4"/>
    <x v="3"/>
    <x v="45"/>
    <n v="6.4"/>
    <x v="1"/>
    <n v="9"/>
    <n v="1"/>
    <x v="0"/>
    <x v="1"/>
    <s v="Senior ($200-300k)"/>
  </r>
  <r>
    <x v="50"/>
    <x v="17"/>
    <x v="8"/>
    <x v="0"/>
    <x v="0"/>
    <x v="2"/>
    <n v="169000"/>
    <n v="157000"/>
    <n v="218000"/>
    <s v="Sydney"/>
    <x v="11"/>
    <s v="Hybrid"/>
    <s v="Enterprise (5000+)"/>
    <x v="2"/>
    <s v="Leadership|Python|ML|Causal Inference|Advanced Statistics|Deep Learning|Statistics"/>
    <n v="9.6999999999999993"/>
    <x v="11"/>
    <x v="46"/>
    <n v="6.4"/>
    <x v="0"/>
    <n v="3"/>
    <n v="1"/>
    <x v="1"/>
    <x v="1"/>
    <s v="Upper-Mid ($150-200k)"/>
  </r>
  <r>
    <x v="51"/>
    <x v="0"/>
    <x v="0"/>
    <x v="1"/>
    <x v="1"/>
    <x v="4"/>
    <n v="257000"/>
    <n v="155000"/>
    <n v="290000"/>
    <s v="Singapore"/>
    <x v="2"/>
    <s v="On-site"/>
    <s v="Startup (1-50)"/>
    <x v="2"/>
    <s v="Python|LangChain|APIs|Tool Use|Planning Systems|AutoGen|Problem Solving"/>
    <n v="15.7"/>
    <x v="0"/>
    <x v="47"/>
    <n v="6.8"/>
    <x v="0"/>
    <n v="2"/>
    <n v="1"/>
    <x v="0"/>
    <x v="0"/>
    <s v="Senior ($200-300k)"/>
  </r>
  <r>
    <x v="52"/>
    <x v="23"/>
    <x v="9"/>
    <x v="2"/>
    <x v="4"/>
    <x v="4"/>
    <n v="188000"/>
    <n v="100000"/>
    <n v="200000"/>
    <s v="Austin"/>
    <x v="0"/>
    <s v="On-site"/>
    <s v="Big Tech (FAANG+)"/>
    <x v="9"/>
    <s v="Auditing|Documentation|EU AI Act|SQL"/>
    <n v="15.9"/>
    <x v="19"/>
    <x v="48"/>
    <n v="7.2"/>
    <x v="1"/>
    <n v="1"/>
    <n v="0"/>
    <x v="0"/>
    <x v="1"/>
    <s v="Upper-Mid ($150-200k)"/>
  </r>
  <r>
    <x v="53"/>
    <x v="17"/>
    <x v="8"/>
    <x v="2"/>
    <x v="10"/>
    <x v="1"/>
    <n v="157000"/>
    <n v="157000"/>
    <n v="218000"/>
    <s v="Amsterdam"/>
    <x v="9"/>
    <s v="Hybrid"/>
    <s v="Big Tech (FAANG+)"/>
    <x v="5"/>
    <s v="ML|Deep Learning|Advanced Statistics|SQL|Leadership|Agile"/>
    <n v="3.2"/>
    <x v="11"/>
    <x v="49"/>
    <n v="9.1999999999999993"/>
    <x v="0"/>
    <n v="1"/>
    <n v="0"/>
    <x v="1"/>
    <x v="1"/>
    <s v="Upper-Mid ($150-200k)"/>
  </r>
  <r>
    <x v="54"/>
    <x v="18"/>
    <x v="9"/>
    <x v="2"/>
    <x v="4"/>
    <x v="4"/>
    <n v="110000"/>
    <n v="110000"/>
    <n v="210000"/>
    <s v="Zurich"/>
    <x v="13"/>
    <s v="Hybrid"/>
    <s v="Startup (1-50)"/>
    <x v="10"/>
    <s v="Ethics Frameworks|Research|Risk Assessment|Leadership|Agile|Research"/>
    <n v="9"/>
    <x v="16"/>
    <x v="50"/>
    <n v="9.1999999999999993"/>
    <x v="0"/>
    <n v="3"/>
    <n v="0"/>
    <x v="1"/>
    <x v="1"/>
    <s v="Mid ($100-150k)"/>
  </r>
  <r>
    <x v="55"/>
    <x v="10"/>
    <x v="0"/>
    <x v="1"/>
    <x v="6"/>
    <x v="0"/>
    <n v="354000"/>
    <n v="150000"/>
    <n v="295000"/>
    <s v="Los Angeles"/>
    <x v="0"/>
    <s v="Fully Remote"/>
    <s v="Enterprise (5000+)"/>
    <x v="7"/>
    <s v="Diffusion Models|Deployment|Python|GenAI APIs|Fine-tuning|LLMs|Agile|Statistics|Linux"/>
    <n v="8.6999999999999993"/>
    <x v="9"/>
    <x v="51"/>
    <n v="6.4"/>
    <x v="1"/>
    <n v="12"/>
    <n v="1"/>
    <x v="1"/>
    <x v="0"/>
    <s v="Elite (&gt;$300k)"/>
  </r>
  <r>
    <x v="56"/>
    <x v="3"/>
    <x v="1"/>
    <x v="2"/>
    <x v="8"/>
    <x v="2"/>
    <n v="160000"/>
    <n v="130000"/>
    <n v="220000"/>
    <s v="Austin"/>
    <x v="0"/>
    <s v="Hybrid"/>
    <s v="Big Tech (FAANG+)"/>
    <x v="11"/>
    <s v="Feature Stores|Python|Airflow|SQL|dbt|SQL|Agile"/>
    <n v="9"/>
    <x v="3"/>
    <x v="52"/>
    <n v="6.6"/>
    <x v="0"/>
    <n v="1"/>
    <n v="0"/>
    <x v="1"/>
    <x v="1"/>
    <s v="Upper-Mid ($150-200k)"/>
  </r>
  <r>
    <x v="57"/>
    <x v="3"/>
    <x v="1"/>
    <x v="2"/>
    <x v="6"/>
    <x v="4"/>
    <n v="130000"/>
    <n v="130000"/>
    <n v="220000"/>
    <s v="Tokyo"/>
    <x v="5"/>
    <s v="Fully Remote"/>
    <s v="Mid-size (501-5000)"/>
    <x v="6"/>
    <s v="ETL|dbt|Feature Stores|Python|SQL|Spark|Linux"/>
    <n v="11.1"/>
    <x v="3"/>
    <x v="53"/>
    <n v="6"/>
    <x v="0"/>
    <n v="3"/>
    <n v="0"/>
    <x v="1"/>
    <x v="1"/>
    <s v="Mid ($100-150k)"/>
  </r>
  <r>
    <x v="58"/>
    <x v="12"/>
    <x v="0"/>
    <x v="3"/>
    <x v="0"/>
    <x v="1"/>
    <n v="160000"/>
    <n v="160000"/>
    <n v="300000"/>
    <s v="Sydney"/>
    <x v="11"/>
    <s v="Fully Remote"/>
    <s v="Startup (1-50)"/>
    <x v="6"/>
    <s v="APIs|Fine-tuning|Vision-Language Models|Linux|Statistics"/>
    <n v="15.8"/>
    <x v="11"/>
    <x v="54"/>
    <n v="6.3"/>
    <x v="1"/>
    <n v="3"/>
    <n v="0"/>
    <x v="1"/>
    <x v="1"/>
    <s v="Upper-Mid ($150-200k)"/>
  </r>
  <r>
    <x v="59"/>
    <x v="23"/>
    <x v="9"/>
    <x v="2"/>
    <x v="9"/>
    <x v="4"/>
    <n v="100000"/>
    <n v="100000"/>
    <n v="200000"/>
    <s v="Beijing"/>
    <x v="6"/>
    <s v="Hybrid"/>
    <s v="Startup (1-50)"/>
    <x v="0"/>
    <s v="Auditing|Legal Knowledge|Risk Management|Documentation|Leadership"/>
    <n v="9.1"/>
    <x v="19"/>
    <x v="55"/>
    <n v="8.3000000000000007"/>
    <x v="0"/>
    <n v="2"/>
    <n v="0"/>
    <x v="1"/>
    <x v="1"/>
    <s v="Entry (&lt;$100k)"/>
  </r>
  <r>
    <x v="60"/>
    <x v="9"/>
    <x v="0"/>
    <x v="2"/>
    <x v="8"/>
    <x v="1"/>
    <n v="120000"/>
    <n v="120000"/>
    <n v="280000"/>
    <s v="London"/>
    <x v="1"/>
    <s v="Hybrid"/>
    <s v="Enterprise (5000+)"/>
    <x v="8"/>
    <s v="TensorFlow|SQL|Kubernetes|Python|Research"/>
    <n v="9.3000000000000007"/>
    <x v="8"/>
    <x v="56"/>
    <n v="6.9"/>
    <x v="0"/>
    <n v="3"/>
    <n v="0"/>
    <x v="1"/>
    <x v="1"/>
    <s v="Mid ($100-150k)"/>
  </r>
  <r>
    <x v="61"/>
    <x v="3"/>
    <x v="1"/>
    <x v="2"/>
    <x v="1"/>
    <x v="3"/>
    <n v="130000"/>
    <n v="130000"/>
    <n v="220000"/>
    <s v="Seattle"/>
    <x v="0"/>
    <s v="On-site"/>
    <s v="Enterprise (5000+)"/>
    <x v="3"/>
    <s v="dbt|Airflow|ETL|Feature Stores|SQL|Cloud|Agile|Git"/>
    <n v="11.2"/>
    <x v="3"/>
    <x v="57"/>
    <n v="8.3000000000000007"/>
    <x v="0"/>
    <n v="2"/>
    <n v="0"/>
    <x v="0"/>
    <x v="1"/>
    <s v="Mid ($100-150k)"/>
  </r>
  <r>
    <x v="62"/>
    <x v="6"/>
    <x v="0"/>
    <x v="3"/>
    <x v="8"/>
    <x v="3"/>
    <n v="180000"/>
    <n v="180000"/>
    <n v="312000"/>
    <s v="Amsterdam"/>
    <x v="9"/>
    <s v="Hybrid"/>
    <s v="Startup (1-50)"/>
    <x v="4"/>
    <s v="System Design|Distributed Systems|PyTorch|MLOps|Python|LLM Fine-tuning|Git|Leadership|Communication"/>
    <n v="17.600000000000001"/>
    <x v="0"/>
    <x v="58"/>
    <n v="6.6"/>
    <x v="1"/>
    <n v="5"/>
    <n v="0"/>
    <x v="1"/>
    <x v="1"/>
    <s v="Upper-Mid ($150-200k)"/>
  </r>
  <r>
    <x v="63"/>
    <x v="11"/>
    <x v="0"/>
    <x v="3"/>
    <x v="10"/>
    <x v="1"/>
    <n v="222000"/>
    <n v="141000"/>
    <n v="270000"/>
    <s v="Chicago"/>
    <x v="0"/>
    <s v="Hybrid"/>
    <s v="Big Tech (FAANG+)"/>
    <x v="0"/>
    <s v="GPU Computing|CUDA|Neural Networks|TensorFlow|PyTorch|Python|Research"/>
    <n v="7.4"/>
    <x v="10"/>
    <x v="59"/>
    <n v="8.1999999999999993"/>
    <x v="1"/>
    <n v="2"/>
    <n v="0"/>
    <x v="1"/>
    <x v="1"/>
    <s v="Senior ($200-300k)"/>
  </r>
  <r>
    <x v="64"/>
    <x v="13"/>
    <x v="5"/>
    <x v="2"/>
    <x v="4"/>
    <x v="1"/>
    <n v="131000"/>
    <n v="130000"/>
    <n v="260000"/>
    <s v="Zurich"/>
    <x v="13"/>
    <s v="Hybrid"/>
    <s v="Enterprise (5000+)"/>
    <x v="11"/>
    <s v="Monitoring|Python|MLflow|Leadership|Cloud|Research"/>
    <n v="15.9"/>
    <x v="12"/>
    <x v="60"/>
    <n v="7.7"/>
    <x v="0"/>
    <n v="3"/>
    <n v="0"/>
    <x v="1"/>
    <x v="1"/>
    <s v="Mid ($100-150k)"/>
  </r>
  <r>
    <x v="65"/>
    <x v="11"/>
    <x v="0"/>
    <x v="1"/>
    <x v="3"/>
    <x v="2"/>
    <n v="247000"/>
    <n v="141000"/>
    <n v="270000"/>
    <s v="Toronto"/>
    <x v="7"/>
    <s v="Hybrid"/>
    <s v="Big Tech (FAANG+)"/>
    <x v="5"/>
    <s v="Python|TensorFlow|CUDA|GPU Computing|Neural Networks|PyTorch|Research"/>
    <n v="7.3"/>
    <x v="10"/>
    <x v="43"/>
    <n v="9.5"/>
    <x v="1"/>
    <n v="6"/>
    <n v="1"/>
    <x v="1"/>
    <x v="1"/>
    <s v="Senior ($200-300k)"/>
  </r>
  <r>
    <x v="66"/>
    <x v="12"/>
    <x v="0"/>
    <x v="0"/>
    <x v="0"/>
    <x v="1"/>
    <n v="160000"/>
    <n v="160000"/>
    <n v="300000"/>
    <s v="Beijing"/>
    <x v="6"/>
    <s v="On-site"/>
    <s v="Startup (1-50)"/>
    <x v="7"/>
    <s v="APIs|PyTorch|Vision-Language Models|Python|Fine-tuning|Problem Solving"/>
    <n v="11.5"/>
    <x v="11"/>
    <x v="61"/>
    <n v="8.6999999999999993"/>
    <x v="1"/>
    <n v="10"/>
    <n v="1"/>
    <x v="0"/>
    <x v="1"/>
    <s v="Upper-Mid ($150-200k)"/>
  </r>
  <r>
    <x v="67"/>
    <x v="19"/>
    <x v="10"/>
    <x v="1"/>
    <x v="6"/>
    <x v="4"/>
    <n v="324000"/>
    <n v="140000"/>
    <n v="270000"/>
    <s v="Seattle"/>
    <x v="0"/>
    <s v="On-site"/>
    <s v="Mid-size (501-5000)"/>
    <x v="6"/>
    <s v="Networking|Distributed Systems|CUDA|Statistics"/>
    <n v="10.1"/>
    <x v="4"/>
    <x v="62"/>
    <n v="7.8"/>
    <x v="1"/>
    <n v="3"/>
    <n v="1"/>
    <x v="0"/>
    <x v="1"/>
    <s v="Elite (&gt;$300k)"/>
  </r>
  <r>
    <x v="68"/>
    <x v="17"/>
    <x v="8"/>
    <x v="2"/>
    <x v="4"/>
    <x v="2"/>
    <n v="157000"/>
    <n v="157000"/>
    <n v="218000"/>
    <s v="Seattle"/>
    <x v="0"/>
    <s v="Fully Remote"/>
    <s v="Mid-size (501-5000)"/>
    <x v="9"/>
    <s v="Deep Learning|Advanced Statistics|ML|Python|Causal Inference|Problem Solving"/>
    <n v="3.3"/>
    <x v="11"/>
    <x v="43"/>
    <n v="8.6999999999999993"/>
    <x v="0"/>
    <n v="3"/>
    <n v="0"/>
    <x v="1"/>
    <x v="1"/>
    <s v="Upper-Mid ($150-200k)"/>
  </r>
  <r>
    <x v="69"/>
    <x v="13"/>
    <x v="5"/>
    <x v="3"/>
    <x v="9"/>
    <x v="4"/>
    <n v="191000"/>
    <n v="130000"/>
    <n v="260000"/>
    <s v="Zurich"/>
    <x v="13"/>
    <s v="Fully Remote"/>
    <s v="SME (51-500)"/>
    <x v="3"/>
    <s v="Cloud|Kubernetes|Docker|CI/CD|Monitoring|MLflow|Leadership|Problem Solving"/>
    <n v="16.2"/>
    <x v="12"/>
    <x v="63"/>
    <n v="6.5"/>
    <x v="1"/>
    <n v="11"/>
    <n v="0"/>
    <x v="1"/>
    <x v="1"/>
    <s v="Upper-Mid ($150-200k)"/>
  </r>
  <r>
    <x v="70"/>
    <x v="18"/>
    <x v="9"/>
    <x v="2"/>
    <x v="6"/>
    <x v="2"/>
    <n v="126000"/>
    <n v="110000"/>
    <n v="210000"/>
    <s v="Singapore"/>
    <x v="2"/>
    <s v="Fully Remote"/>
    <s v="Big Tech (FAANG+)"/>
    <x v="2"/>
    <s v="Risk Assessment|Ethics Frameworks|Research|Linux|Cloud|Git"/>
    <n v="16.8"/>
    <x v="16"/>
    <x v="64"/>
    <n v="7.6"/>
    <x v="1"/>
    <n v="6"/>
    <n v="0"/>
    <x v="1"/>
    <x v="1"/>
    <s v="Mid ($100-150k)"/>
  </r>
  <r>
    <x v="71"/>
    <x v="7"/>
    <x v="0"/>
    <x v="0"/>
    <x v="2"/>
    <x v="0"/>
    <n v="167000"/>
    <n v="145000"/>
    <n v="290000"/>
    <s v="Sydney"/>
    <x v="11"/>
    <s v="On-site"/>
    <s v="Startup (1-50)"/>
    <x v="11"/>
    <s v="Transformers|Text Processing|Python|Hugging Face|BERT|Linux|Research|Leadership"/>
    <n v="3.6"/>
    <x v="6"/>
    <x v="65"/>
    <n v="9.1999999999999993"/>
    <x v="0"/>
    <n v="3"/>
    <n v="1"/>
    <x v="0"/>
    <x v="1"/>
    <s v="Upper-Mid ($150-200k)"/>
  </r>
  <r>
    <x v="72"/>
    <x v="15"/>
    <x v="0"/>
    <x v="2"/>
    <x v="1"/>
    <x v="4"/>
    <n v="157000"/>
    <n v="145000"/>
    <n v="280000"/>
    <s v="Dubai"/>
    <x v="8"/>
    <s v="Hybrid"/>
    <s v="Enterprise (5000+)"/>
    <x v="5"/>
    <s v="Vector DBs|Embeddings|Search Systems|Git"/>
    <n v="3.1"/>
    <x v="14"/>
    <x v="66"/>
    <n v="6.9"/>
    <x v="1"/>
    <n v="7"/>
    <n v="0"/>
    <x v="1"/>
    <x v="0"/>
    <s v="Upper-Mid ($150-200k)"/>
  </r>
  <r>
    <x v="73"/>
    <x v="20"/>
    <x v="0"/>
    <x v="3"/>
    <x v="0"/>
    <x v="2"/>
    <n v="100000"/>
    <n v="100000"/>
    <n v="250000"/>
    <s v="Beijing"/>
    <x v="6"/>
    <s v="Hybrid"/>
    <s v="Mid-size (501-5000)"/>
    <x v="4"/>
    <s v="Python|Cloud (AWS/GCP/Azure)|Docker|PyTorch|LLM Integration|SQL|Cloud"/>
    <n v="8.1999999999999993"/>
    <x v="9"/>
    <x v="67"/>
    <n v="7.3"/>
    <x v="0"/>
    <n v="3"/>
    <n v="0"/>
    <x v="1"/>
    <x v="1"/>
    <s v="Entry (&lt;$100k)"/>
  </r>
  <r>
    <x v="74"/>
    <x v="21"/>
    <x v="8"/>
    <x v="3"/>
    <x v="2"/>
    <x v="1"/>
    <n v="138000"/>
    <n v="138000"/>
    <n v="195000"/>
    <s v="Bangalore"/>
    <x v="4"/>
    <s v="Fully Remote"/>
    <s v="Mid-size (501-5000)"/>
    <x v="0"/>
    <s v="ML Algorithms|Scikit-learn|Data Visualization|SQL|Linux"/>
    <n v="9.6"/>
    <x v="17"/>
    <x v="52"/>
    <n v="6.8"/>
    <x v="0"/>
    <n v="1"/>
    <n v="0"/>
    <x v="1"/>
    <x v="1"/>
    <s v="Mid ($100-150k)"/>
  </r>
  <r>
    <x v="75"/>
    <x v="4"/>
    <x v="2"/>
    <x v="1"/>
    <x v="2"/>
    <x v="2"/>
    <n v="258000"/>
    <n v="140000"/>
    <n v="260000"/>
    <s v="Paris"/>
    <x v="10"/>
    <s v="Fully Remote"/>
    <s v="Big Tech (FAANG+)"/>
    <x v="3"/>
    <s v="AI Literacy|Stakeholder Mgmt|Data Analysis|Product Strategy|Agile|Git|Statistics"/>
    <n v="15.4"/>
    <x v="4"/>
    <x v="68"/>
    <n v="7.5"/>
    <x v="0"/>
    <n v="2"/>
    <n v="1"/>
    <x v="1"/>
    <x v="1"/>
    <s v="Senior ($200-300k)"/>
  </r>
  <r>
    <x v="76"/>
    <x v="19"/>
    <x v="10"/>
    <x v="0"/>
    <x v="3"/>
    <x v="1"/>
    <n v="248000"/>
    <n v="140000"/>
    <n v="270000"/>
    <s v="Remote"/>
    <x v="3"/>
    <s v="Hybrid"/>
    <s v="Mid-size (501-5000)"/>
    <x v="5"/>
    <s v="Storage|Kubernetes|CUDA|Networking|Cloud|Distributed Systems|Agile|Problem Solving"/>
    <n v="12.3"/>
    <x v="4"/>
    <x v="31"/>
    <n v="7.3"/>
    <x v="1"/>
    <n v="6"/>
    <n v="1"/>
    <x v="1"/>
    <x v="1"/>
    <s v="Senior ($200-300k)"/>
  </r>
  <r>
    <x v="77"/>
    <x v="15"/>
    <x v="0"/>
    <x v="2"/>
    <x v="4"/>
    <x v="1"/>
    <n v="145000"/>
    <n v="145000"/>
    <n v="280000"/>
    <s v="Amsterdam"/>
    <x v="9"/>
    <s v="On-site"/>
    <s v="Mid-size (501-5000)"/>
    <x v="0"/>
    <s v="Search Systems|Vector DBs|Python|Embeddings|LangChain|Linux"/>
    <n v="7.5"/>
    <x v="14"/>
    <x v="69"/>
    <n v="9.6"/>
    <x v="1"/>
    <n v="3"/>
    <n v="0"/>
    <x v="0"/>
    <x v="0"/>
    <s v="Mid ($100-150k)"/>
  </r>
  <r>
    <x v="78"/>
    <x v="12"/>
    <x v="0"/>
    <x v="0"/>
    <x v="0"/>
    <x v="3"/>
    <n v="244000"/>
    <n v="160000"/>
    <n v="300000"/>
    <s v="Zurich"/>
    <x v="13"/>
    <s v="On-site"/>
    <s v="Mid-size (501-5000)"/>
    <x v="0"/>
    <s v="Fine-tuning|PyTorch|Vision-Language Models|Agile|Communication"/>
    <n v="9.9"/>
    <x v="11"/>
    <x v="70"/>
    <n v="9.5"/>
    <x v="1"/>
    <n v="5"/>
    <n v="1"/>
    <x v="0"/>
    <x v="1"/>
    <s v="Senior ($200-300k)"/>
  </r>
  <r>
    <x v="79"/>
    <x v="19"/>
    <x v="10"/>
    <x v="0"/>
    <x v="2"/>
    <x v="3"/>
    <n v="167000"/>
    <n v="140000"/>
    <n v="270000"/>
    <s v="Zurich"/>
    <x v="13"/>
    <s v="Hybrid"/>
    <s v="SME (51-500)"/>
    <x v="7"/>
    <s v="Distributed Systems|Kubernetes|Networking|Statistics"/>
    <n v="8.6"/>
    <x v="4"/>
    <x v="71"/>
    <n v="9.4"/>
    <x v="0"/>
    <n v="3"/>
    <n v="1"/>
    <x v="1"/>
    <x v="1"/>
    <s v="Upper-Mid ($150-200k)"/>
  </r>
  <r>
    <x v="80"/>
    <x v="19"/>
    <x v="10"/>
    <x v="3"/>
    <x v="9"/>
    <x v="1"/>
    <n v="196000"/>
    <n v="140000"/>
    <n v="270000"/>
    <s v="Chicago"/>
    <x v="0"/>
    <s v="On-site"/>
    <s v="Mid-size (501-5000)"/>
    <x v="10"/>
    <s v="Kubernetes|Distributed Systems|Cloud|Networking|Problem Solving|Statistics|Research"/>
    <n v="16.8"/>
    <x v="4"/>
    <x v="72"/>
    <n v="7.5"/>
    <x v="0"/>
    <n v="2"/>
    <n v="0"/>
    <x v="0"/>
    <x v="1"/>
    <s v="Upper-Mid ($150-200k)"/>
  </r>
  <r>
    <x v="81"/>
    <x v="5"/>
    <x v="3"/>
    <x v="2"/>
    <x v="2"/>
    <x v="0"/>
    <n v="146000"/>
    <n v="140000"/>
    <n v="260000"/>
    <s v="Amsterdam"/>
    <x v="9"/>
    <s v="Fully Remote"/>
    <s v="Enterprise (5000+)"/>
    <x v="10"/>
    <s v="Red Teaming|Python|Cybersecurity|Risk Analysis|Cloud"/>
    <n v="8.6"/>
    <x v="5"/>
    <x v="73"/>
    <n v="6.6"/>
    <x v="1"/>
    <n v="6"/>
    <n v="0"/>
    <x v="1"/>
    <x v="1"/>
    <s v="Mid ($100-150k)"/>
  </r>
  <r>
    <x v="82"/>
    <x v="19"/>
    <x v="10"/>
    <x v="0"/>
    <x v="6"/>
    <x v="1"/>
    <n v="179000"/>
    <n v="140000"/>
    <n v="270000"/>
    <s v="London"/>
    <x v="1"/>
    <s v="Hybrid"/>
    <s v="Mid-size (501-5000)"/>
    <x v="7"/>
    <s v="Kubernetes|CUDA|Cloud|Storage|Distributed Systems|Problem Solving|Linux|Leadership"/>
    <n v="17"/>
    <x v="4"/>
    <x v="74"/>
    <n v="9.5"/>
    <x v="1"/>
    <n v="1"/>
    <n v="1"/>
    <x v="1"/>
    <x v="1"/>
    <s v="Upper-Mid ($150-200k)"/>
  </r>
  <r>
    <x v="83"/>
    <x v="6"/>
    <x v="0"/>
    <x v="0"/>
    <x v="11"/>
    <x v="0"/>
    <n v="374400"/>
    <n v="180000"/>
    <n v="312000"/>
    <s v="New York"/>
    <x v="0"/>
    <s v="Hybrid"/>
    <s v="Big Tech (FAANG+)"/>
    <x v="7"/>
    <s v="MLOps|LLM Fine-tuning|System Design|Agile|Research|Communication"/>
    <n v="12.5"/>
    <x v="0"/>
    <x v="75"/>
    <n v="6.6"/>
    <x v="0"/>
    <n v="2"/>
    <n v="1"/>
    <x v="1"/>
    <x v="1"/>
    <s v="Elite (&gt;$300k)"/>
  </r>
  <r>
    <x v="84"/>
    <x v="11"/>
    <x v="0"/>
    <x v="3"/>
    <x v="6"/>
    <x v="4"/>
    <n v="253000"/>
    <n v="141000"/>
    <n v="270000"/>
    <s v="Toronto"/>
    <x v="7"/>
    <s v="Hybrid"/>
    <s v="Big Tech (FAANG+)"/>
    <x v="0"/>
    <s v="Neural Networks|PyTorch|TensorFlow|CUDA|Python|Communication|Research"/>
    <n v="4.7"/>
    <x v="10"/>
    <x v="76"/>
    <n v="7.1"/>
    <x v="1"/>
    <n v="10"/>
    <n v="0"/>
    <x v="1"/>
    <x v="1"/>
    <s v="Senior ($200-300k)"/>
  </r>
  <r>
    <x v="85"/>
    <x v="1"/>
    <x v="0"/>
    <x v="0"/>
    <x v="1"/>
    <x v="2"/>
    <n v="121000"/>
    <n v="90000"/>
    <n v="200000"/>
    <s v="London"/>
    <x v="1"/>
    <s v="Fully Remote"/>
    <s v="SME (51-500)"/>
    <x v="0"/>
    <s v="NLP|Testing|Documentation|LLM APIs|Research|SQL"/>
    <n v="6.5"/>
    <x v="1"/>
    <x v="61"/>
    <n v="6.8"/>
    <x v="1"/>
    <n v="1"/>
    <n v="1"/>
    <x v="1"/>
    <x v="0"/>
    <s v="Mid ($100-150k)"/>
  </r>
  <r>
    <x v="86"/>
    <x v="13"/>
    <x v="5"/>
    <x v="1"/>
    <x v="9"/>
    <x v="4"/>
    <n v="312000"/>
    <n v="130000"/>
    <n v="260000"/>
    <s v="Remote"/>
    <x v="3"/>
    <s v="Hybrid"/>
    <s v="Big Tech (FAANG+)"/>
    <x v="1"/>
    <s v="CI/CD|Kubernetes|Docker|Statistics|Cloud|Problem Solving"/>
    <n v="13.7"/>
    <x v="12"/>
    <x v="61"/>
    <n v="8.1"/>
    <x v="1"/>
    <n v="9"/>
    <n v="1"/>
    <x v="1"/>
    <x v="1"/>
    <s v="Elite (&gt;$300k)"/>
  </r>
  <r>
    <x v="87"/>
    <x v="8"/>
    <x v="4"/>
    <x v="2"/>
    <x v="12"/>
    <x v="0"/>
    <n v="180000"/>
    <n v="180000"/>
    <n v="320000"/>
    <s v="Tokyo"/>
    <x v="5"/>
    <s v="On-site"/>
    <s v="Mid-size (501-5000)"/>
    <x v="1"/>
    <s v="ML|Leadership|Enterprise Architecture|System Design|Python|Leadership|Cloud|SQL"/>
    <n v="15.1"/>
    <x v="7"/>
    <x v="77"/>
    <n v="8"/>
    <x v="1"/>
    <n v="9"/>
    <n v="0"/>
    <x v="0"/>
    <x v="1"/>
    <s v="Upper-Mid ($150-200k)"/>
  </r>
  <r>
    <x v="88"/>
    <x v="17"/>
    <x v="8"/>
    <x v="0"/>
    <x v="9"/>
    <x v="0"/>
    <n v="244000"/>
    <n v="157000"/>
    <n v="218000"/>
    <s v="Toronto"/>
    <x v="7"/>
    <s v="Hybrid"/>
    <s v="Big Tech (FAANG+)"/>
    <x v="4"/>
    <s v="Deep Learning|Leadership|ML|Causal Inference|Advanced Statistics|SQL|Statistics"/>
    <n v="9.9"/>
    <x v="11"/>
    <x v="78"/>
    <n v="9"/>
    <x v="0"/>
    <n v="3"/>
    <n v="1"/>
    <x v="1"/>
    <x v="1"/>
    <s v="Senior ($200-300k)"/>
  </r>
  <r>
    <x v="89"/>
    <x v="0"/>
    <x v="0"/>
    <x v="1"/>
    <x v="8"/>
    <x v="4"/>
    <n v="348000"/>
    <n v="155000"/>
    <n v="290000"/>
    <s v="San Francisco"/>
    <x v="0"/>
    <s v="On-site"/>
    <s v="Big Tech (FAANG+)"/>
    <x v="7"/>
    <s v="APIs|Python|Tool Use|Planning Systems|Problem Solving|Cloud|Linux"/>
    <n v="13.7"/>
    <x v="0"/>
    <x v="79"/>
    <n v="6.7"/>
    <x v="0"/>
    <n v="2"/>
    <n v="1"/>
    <x v="0"/>
    <x v="0"/>
    <s v="Elite (&gt;$300k)"/>
  </r>
  <r>
    <x v="90"/>
    <x v="17"/>
    <x v="8"/>
    <x v="1"/>
    <x v="12"/>
    <x v="2"/>
    <n v="183000"/>
    <n v="157000"/>
    <n v="218000"/>
    <s v="Amsterdam"/>
    <x v="9"/>
    <s v="Fully Remote"/>
    <s v="SME (51-500)"/>
    <x v="4"/>
    <s v="Leadership|Advanced Statistics|Deep Learning|Statistics|Research|Cloud"/>
    <n v="6.2"/>
    <x v="11"/>
    <x v="80"/>
    <n v="8.1"/>
    <x v="0"/>
    <n v="3"/>
    <n v="1"/>
    <x v="1"/>
    <x v="1"/>
    <s v="Upper-Mid ($150-200k)"/>
  </r>
  <r>
    <x v="91"/>
    <x v="12"/>
    <x v="0"/>
    <x v="1"/>
    <x v="4"/>
    <x v="0"/>
    <n v="360000"/>
    <n v="160000"/>
    <n v="300000"/>
    <s v="Berlin"/>
    <x v="12"/>
    <s v="Hybrid"/>
    <s v="Big Tech (FAANG+)"/>
    <x v="4"/>
    <s v="PyTorch|Vision-Language Models|APIs|Fine-tuning|Python|Research|Statistics|Problem Solving"/>
    <n v="17.3"/>
    <x v="11"/>
    <x v="81"/>
    <n v="7.1"/>
    <x v="0"/>
    <n v="3"/>
    <n v="1"/>
    <x v="1"/>
    <x v="1"/>
    <s v="Elite (&gt;$300k)"/>
  </r>
  <r>
    <x v="92"/>
    <x v="2"/>
    <x v="0"/>
    <x v="3"/>
    <x v="0"/>
    <x v="4"/>
    <n v="181000"/>
    <n v="160000"/>
    <n v="300000"/>
    <s v="Sydney"/>
    <x v="11"/>
    <s v="Hybrid"/>
    <s v="Mid-size (501-5000)"/>
    <x v="10"/>
    <s v="Fine-tuning|RAG|Vector DBs|Research|Communication|Leadership"/>
    <n v="6.9"/>
    <x v="2"/>
    <x v="82"/>
    <n v="6.4"/>
    <x v="0"/>
    <n v="1"/>
    <n v="0"/>
    <x v="1"/>
    <x v="0"/>
    <s v="Upper-Mid ($150-200k)"/>
  </r>
  <r>
    <x v="93"/>
    <x v="7"/>
    <x v="0"/>
    <x v="3"/>
    <x v="9"/>
    <x v="0"/>
    <n v="295000"/>
    <n v="145000"/>
    <n v="290000"/>
    <s v="New York"/>
    <x v="0"/>
    <s v="Hybrid"/>
    <s v="Big Tech (FAANG+)"/>
    <x v="9"/>
    <s v="Text Processing|LLMs|Python|BERT|Hugging Face|Leadership"/>
    <n v="9.5"/>
    <x v="6"/>
    <x v="83"/>
    <n v="7.8"/>
    <x v="1"/>
    <n v="5"/>
    <n v="0"/>
    <x v="1"/>
    <x v="1"/>
    <s v="Senior ($200-300k)"/>
  </r>
  <r>
    <x v="94"/>
    <x v="4"/>
    <x v="2"/>
    <x v="2"/>
    <x v="9"/>
    <x v="2"/>
    <n v="140000"/>
    <n v="140000"/>
    <n v="260000"/>
    <s v="Paris"/>
    <x v="10"/>
    <s v="Fully Remote"/>
    <s v="Startup (1-50)"/>
    <x v="8"/>
    <s v="Product Strategy|AI Literacy|Agile|Data Analysis|Stakeholder Mgmt|Research|Linux"/>
    <n v="17.3"/>
    <x v="4"/>
    <x v="84"/>
    <n v="6"/>
    <x v="0"/>
    <n v="1"/>
    <n v="0"/>
    <x v="1"/>
    <x v="1"/>
    <s v="Mid ($100-150k)"/>
  </r>
  <r>
    <x v="95"/>
    <x v="4"/>
    <x v="2"/>
    <x v="1"/>
    <x v="0"/>
    <x v="0"/>
    <n v="281000"/>
    <n v="140000"/>
    <n v="260000"/>
    <s v="Paris"/>
    <x v="10"/>
    <s v="Fully Remote"/>
    <s v="Enterprise (5000+)"/>
    <x v="1"/>
    <s v="AI Literacy|Product Strategy|Data Analysis|Agile|Research|Agile|Linux"/>
    <n v="15.9"/>
    <x v="4"/>
    <x v="54"/>
    <n v="8.9"/>
    <x v="1"/>
    <n v="11"/>
    <n v="1"/>
    <x v="1"/>
    <x v="1"/>
    <s v="Senior ($200-300k)"/>
  </r>
  <r>
    <x v="96"/>
    <x v="2"/>
    <x v="0"/>
    <x v="0"/>
    <x v="1"/>
    <x v="1"/>
    <n v="283000"/>
    <n v="160000"/>
    <n v="300000"/>
    <s v="Amsterdam"/>
    <x v="9"/>
    <s v="On-site"/>
    <s v="Big Tech (FAANG+)"/>
    <x v="3"/>
    <s v="LLM APIs|RAG|Fine-tuning|Python|Agile"/>
    <n v="8.3000000000000007"/>
    <x v="2"/>
    <x v="85"/>
    <n v="7.1"/>
    <x v="0"/>
    <n v="1"/>
    <n v="1"/>
    <x v="0"/>
    <x v="0"/>
    <s v="Senior ($200-300k)"/>
  </r>
  <r>
    <x v="97"/>
    <x v="22"/>
    <x v="0"/>
    <x v="2"/>
    <x v="4"/>
    <x v="1"/>
    <n v="145000"/>
    <n v="145000"/>
    <n v="280000"/>
    <s v="Singapore"/>
    <x v="2"/>
    <s v="Fully Remote"/>
    <s v="SME (51-500)"/>
    <x v="2"/>
    <s v="CUDA|Image Processing|PyTorch|CNNs|Python|OpenCV|Problem Solving|Communication"/>
    <n v="6.3"/>
    <x v="18"/>
    <x v="21"/>
    <n v="9.8000000000000007"/>
    <x v="1"/>
    <n v="12"/>
    <n v="0"/>
    <x v="1"/>
    <x v="1"/>
    <s v="Mid ($100-150k)"/>
  </r>
  <r>
    <x v="98"/>
    <x v="16"/>
    <x v="7"/>
    <x v="3"/>
    <x v="2"/>
    <x v="0"/>
    <n v="252000"/>
    <n v="125000"/>
    <n v="240000"/>
    <s v="Remote"/>
    <x v="3"/>
    <s v="Hybrid"/>
    <s v="Big Tech (FAANG+)"/>
    <x v="9"/>
    <s v="Control Systems|C++|ROS|Simulation|Computer Vision|Python|Leadership|Communication|Linux"/>
    <n v="13.2"/>
    <x v="15"/>
    <x v="86"/>
    <n v="6.8"/>
    <x v="0"/>
    <n v="1"/>
    <n v="0"/>
    <x v="1"/>
    <x v="1"/>
    <s v="Senior ($200-300k)"/>
  </r>
  <r>
    <x v="99"/>
    <x v="5"/>
    <x v="3"/>
    <x v="1"/>
    <x v="10"/>
    <x v="0"/>
    <n v="233000"/>
    <n v="140000"/>
    <n v="260000"/>
    <s v="Zurich"/>
    <x v="13"/>
    <s v="On-site"/>
    <s v="Startup (1-50)"/>
    <x v="8"/>
    <s v="Cybersecurity|Red Teaming|Python|ML Security|Risk Analysis|Agile|SQL"/>
    <n v="8.6999999999999993"/>
    <x v="5"/>
    <x v="87"/>
    <n v="8.6999999999999993"/>
    <x v="0"/>
    <n v="1"/>
    <n v="1"/>
    <x v="0"/>
    <x v="1"/>
    <s v="Senior ($200-300k)"/>
  </r>
  <r>
    <x v="100"/>
    <x v="6"/>
    <x v="0"/>
    <x v="0"/>
    <x v="0"/>
    <x v="3"/>
    <n v="214000"/>
    <n v="180000"/>
    <n v="312000"/>
    <s v="Remote"/>
    <x v="3"/>
    <s v="On-site"/>
    <s v="Startup (1-50)"/>
    <x v="0"/>
    <s v="System Design|MLOps|LLM Fine-tuning|PyTorch|Distributed Systems|Python|Leadership|Linux|Statistics"/>
    <n v="13.4"/>
    <x v="0"/>
    <x v="88"/>
    <n v="8.8000000000000007"/>
    <x v="1"/>
    <n v="1"/>
    <n v="1"/>
    <x v="0"/>
    <x v="1"/>
    <s v="Senior ($200-300k)"/>
  </r>
  <r>
    <x v="101"/>
    <x v="23"/>
    <x v="9"/>
    <x v="1"/>
    <x v="9"/>
    <x v="2"/>
    <n v="240000"/>
    <n v="100000"/>
    <n v="200000"/>
    <s v="San Francisco"/>
    <x v="0"/>
    <s v="Fully Remote"/>
    <s v="Mid-size (501-5000)"/>
    <x v="2"/>
    <s v="Risk Management|Legal Knowledge|Auditing|Agile"/>
    <n v="15.3"/>
    <x v="19"/>
    <x v="89"/>
    <n v="9.1"/>
    <x v="0"/>
    <n v="1"/>
    <n v="1"/>
    <x v="1"/>
    <x v="1"/>
    <s v="Senior ($200-300k)"/>
  </r>
  <r>
    <x v="102"/>
    <x v="7"/>
    <x v="0"/>
    <x v="2"/>
    <x v="3"/>
    <x v="2"/>
    <n v="145000"/>
    <n v="145000"/>
    <n v="290000"/>
    <s v="Los Angeles"/>
    <x v="0"/>
    <s v="Fully Remote"/>
    <s v="Startup (1-50)"/>
    <x v="2"/>
    <s v="Text Processing|Python|LLMs|Transformers|Leadership"/>
    <n v="8.4"/>
    <x v="6"/>
    <x v="90"/>
    <n v="9.8000000000000007"/>
    <x v="1"/>
    <n v="12"/>
    <n v="0"/>
    <x v="1"/>
    <x v="1"/>
    <s v="Mid ($100-150k)"/>
  </r>
  <r>
    <x v="103"/>
    <x v="14"/>
    <x v="6"/>
    <x v="0"/>
    <x v="3"/>
    <x v="0"/>
    <n v="177000"/>
    <n v="95000"/>
    <n v="180000"/>
    <s v="Toronto"/>
    <x v="7"/>
    <s v="Fully Remote"/>
    <s v="Big Tech (FAANG+)"/>
    <x v="11"/>
    <s v="Communication|Python|Data Visualization|Business Analysis|SQL|Leadership"/>
    <n v="17.100000000000001"/>
    <x v="13"/>
    <x v="91"/>
    <n v="7.6"/>
    <x v="0"/>
    <n v="2"/>
    <n v="1"/>
    <x v="1"/>
    <x v="1"/>
    <s v="Upper-Mid ($150-200k)"/>
  </r>
  <r>
    <x v="104"/>
    <x v="0"/>
    <x v="0"/>
    <x v="0"/>
    <x v="2"/>
    <x v="3"/>
    <n v="261000"/>
    <n v="155000"/>
    <n v="290000"/>
    <s v="Sydney"/>
    <x v="11"/>
    <s v="Hybrid"/>
    <s v="Big Tech (FAANG+)"/>
    <x v="10"/>
    <s v="LangChain|Planning Systems|Tool Use|Python|AutoGen|APIs|Linux|Research|SQL"/>
    <n v="12.2"/>
    <x v="0"/>
    <x v="92"/>
    <n v="7.5"/>
    <x v="1"/>
    <n v="6"/>
    <n v="1"/>
    <x v="1"/>
    <x v="0"/>
    <s v="Senior ($200-300k)"/>
  </r>
  <r>
    <x v="105"/>
    <x v="0"/>
    <x v="0"/>
    <x v="0"/>
    <x v="3"/>
    <x v="1"/>
    <n v="323000"/>
    <n v="155000"/>
    <n v="290000"/>
    <s v="Seattle"/>
    <x v="0"/>
    <s v="Fully Remote"/>
    <s v="Enterprise (5000+)"/>
    <x v="11"/>
    <s v="AutoGen|Tool Use|Python|Communication"/>
    <n v="13.6"/>
    <x v="0"/>
    <x v="93"/>
    <n v="9.3000000000000007"/>
    <x v="1"/>
    <n v="1"/>
    <n v="1"/>
    <x v="1"/>
    <x v="0"/>
    <s v="Elite (&gt;$300k)"/>
  </r>
  <r>
    <x v="106"/>
    <x v="11"/>
    <x v="0"/>
    <x v="1"/>
    <x v="8"/>
    <x v="0"/>
    <n v="298000"/>
    <n v="141000"/>
    <n v="270000"/>
    <s v="Los Angeles"/>
    <x v="0"/>
    <s v="Hybrid"/>
    <s v="Startup (1-50)"/>
    <x v="4"/>
    <s v="PyTorch|GPU Computing|TensorFlow|CUDA|Neural Networks|Python|Statistics|Agile|Leadership"/>
    <n v="6.5"/>
    <x v="10"/>
    <x v="94"/>
    <n v="9.6999999999999993"/>
    <x v="0"/>
    <n v="2"/>
    <n v="1"/>
    <x v="1"/>
    <x v="1"/>
    <s v="Senior ($200-300k)"/>
  </r>
  <r>
    <x v="107"/>
    <x v="11"/>
    <x v="0"/>
    <x v="1"/>
    <x v="8"/>
    <x v="1"/>
    <n v="253000"/>
    <n v="141000"/>
    <n v="270000"/>
    <s v="Singapore"/>
    <x v="2"/>
    <s v="On-site"/>
    <s v="Mid-size (501-5000)"/>
    <x v="4"/>
    <s v="Python|TensorFlow|Neural Networks|PyTorch|Communication"/>
    <n v="7"/>
    <x v="10"/>
    <x v="27"/>
    <n v="8.1"/>
    <x v="0"/>
    <n v="2"/>
    <n v="1"/>
    <x v="0"/>
    <x v="1"/>
    <s v="Senior ($200-300k)"/>
  </r>
  <r>
    <x v="108"/>
    <x v="22"/>
    <x v="0"/>
    <x v="1"/>
    <x v="6"/>
    <x v="0"/>
    <n v="336000"/>
    <n v="145000"/>
    <n v="280000"/>
    <s v="Remote"/>
    <x v="3"/>
    <s v="Fully Remote"/>
    <s v="Enterprise (5000+)"/>
    <x v="0"/>
    <s v="OpenCV|Image Processing|CNNs|Python|SQL|Leadership|Problem Solving"/>
    <n v="7.7"/>
    <x v="18"/>
    <x v="95"/>
    <n v="7.6"/>
    <x v="0"/>
    <n v="1"/>
    <n v="1"/>
    <x v="1"/>
    <x v="1"/>
    <s v="Elite (&gt;$300k)"/>
  </r>
  <r>
    <x v="109"/>
    <x v="6"/>
    <x v="0"/>
    <x v="3"/>
    <x v="4"/>
    <x v="2"/>
    <n v="180000"/>
    <n v="180000"/>
    <n v="312000"/>
    <s v="Austin"/>
    <x v="0"/>
    <s v="Hybrid"/>
    <s v="Startup (1-50)"/>
    <x v="8"/>
    <s v="Distributed Systems|MLOps|Python|LLM Fine-tuning|PyTorch|System Design|Leadership"/>
    <n v="17.8"/>
    <x v="0"/>
    <x v="29"/>
    <n v="9.1"/>
    <x v="0"/>
    <n v="1"/>
    <n v="0"/>
    <x v="1"/>
    <x v="1"/>
    <s v="Upper-Mid ($150-200k)"/>
  </r>
  <r>
    <x v="110"/>
    <x v="21"/>
    <x v="8"/>
    <x v="3"/>
    <x v="8"/>
    <x v="0"/>
    <n v="217000"/>
    <n v="138000"/>
    <n v="195000"/>
    <s v="Boston"/>
    <x v="0"/>
    <s v="On-site"/>
    <s v="Big Tech (FAANG+)"/>
    <x v="8"/>
    <s v="SQL|ML Algorithms|Scikit-learn|Python|Statistics|Research|Communication"/>
    <n v="7.8"/>
    <x v="17"/>
    <x v="96"/>
    <n v="8.5"/>
    <x v="0"/>
    <n v="1"/>
    <n v="0"/>
    <x v="0"/>
    <x v="1"/>
    <s v="Senior ($200-300k)"/>
  </r>
  <r>
    <x v="111"/>
    <x v="6"/>
    <x v="0"/>
    <x v="1"/>
    <x v="4"/>
    <x v="2"/>
    <n v="281000"/>
    <n v="180000"/>
    <n v="312000"/>
    <s v="Sydney"/>
    <x v="11"/>
    <s v="Fully Remote"/>
    <s v="Enterprise (5000+)"/>
    <x v="10"/>
    <s v="Python|MLOps|LLM Fine-tuning|System Design|Problem Solving|Git"/>
    <n v="10.3"/>
    <x v="0"/>
    <x v="97"/>
    <n v="8.6"/>
    <x v="0"/>
    <n v="2"/>
    <n v="1"/>
    <x v="1"/>
    <x v="1"/>
    <s v="Senior ($200-300k)"/>
  </r>
  <r>
    <x v="112"/>
    <x v="9"/>
    <x v="0"/>
    <x v="2"/>
    <x v="6"/>
    <x v="0"/>
    <n v="187000"/>
    <n v="120000"/>
    <n v="280000"/>
    <s v="Seattle"/>
    <x v="0"/>
    <s v="Hybrid"/>
    <s v="Mid-size (501-5000)"/>
    <x v="9"/>
    <s v="PyTorch|Kubernetes|SQL|Cloud|Git|Agile"/>
    <n v="13.7"/>
    <x v="8"/>
    <x v="20"/>
    <n v="8.6"/>
    <x v="0"/>
    <n v="2"/>
    <n v="0"/>
    <x v="1"/>
    <x v="1"/>
    <s v="Upper-Mid ($150-200k)"/>
  </r>
  <r>
    <x v="113"/>
    <x v="23"/>
    <x v="9"/>
    <x v="0"/>
    <x v="8"/>
    <x v="1"/>
    <n v="137000"/>
    <n v="100000"/>
    <n v="200000"/>
    <s v="Austin"/>
    <x v="0"/>
    <s v="Hybrid"/>
    <s v="Startup (1-50)"/>
    <x v="5"/>
    <s v="Documentation|Legal Knowledge|Risk Management|Agile"/>
    <n v="11.6"/>
    <x v="19"/>
    <x v="98"/>
    <n v="7.6"/>
    <x v="0"/>
    <n v="3"/>
    <n v="1"/>
    <x v="1"/>
    <x v="1"/>
    <s v="Mid ($100-150k)"/>
  </r>
  <r>
    <x v="114"/>
    <x v="2"/>
    <x v="0"/>
    <x v="0"/>
    <x v="1"/>
    <x v="0"/>
    <n v="360000"/>
    <n v="160000"/>
    <n v="300000"/>
    <s v="Seattle"/>
    <x v="0"/>
    <s v="On-site"/>
    <s v="Big Tech (FAANG+)"/>
    <x v="0"/>
    <s v="LLM APIs|RAG|Vector DBs|Fine-tuning|Prompt Engineering|Statistics|Git"/>
    <n v="5.2"/>
    <x v="2"/>
    <x v="99"/>
    <n v="7"/>
    <x v="1"/>
    <n v="3"/>
    <n v="1"/>
    <x v="0"/>
    <x v="0"/>
    <s v="Elite (&gt;$300k)"/>
  </r>
  <r>
    <x v="115"/>
    <x v="1"/>
    <x v="0"/>
    <x v="1"/>
    <x v="3"/>
    <x v="1"/>
    <n v="231000"/>
    <n v="90000"/>
    <n v="200000"/>
    <s v="Zurich"/>
    <x v="13"/>
    <s v="Hybrid"/>
    <s v="Big Tech (FAANG+)"/>
    <x v="3"/>
    <s v="Testing|Documentation|Python|SQL|Agile"/>
    <n v="3.6"/>
    <x v="1"/>
    <x v="19"/>
    <n v="9.4"/>
    <x v="0"/>
    <n v="3"/>
    <n v="1"/>
    <x v="1"/>
    <x v="0"/>
    <s v="Senior ($200-300k)"/>
  </r>
  <r>
    <x v="116"/>
    <x v="5"/>
    <x v="3"/>
    <x v="3"/>
    <x v="0"/>
    <x v="0"/>
    <n v="192000"/>
    <n v="140000"/>
    <n v="260000"/>
    <s v="Chicago"/>
    <x v="0"/>
    <s v="Fully Remote"/>
    <s v="Enterprise (5000+)"/>
    <x v="5"/>
    <s v="ML Security|Cybersecurity|Red Teaming|Risk Analysis|Cloud|Agile"/>
    <n v="11.6"/>
    <x v="5"/>
    <x v="100"/>
    <n v="8.6999999999999993"/>
    <x v="0"/>
    <n v="3"/>
    <n v="0"/>
    <x v="1"/>
    <x v="1"/>
    <s v="Upper-Mid ($150-200k)"/>
  </r>
  <r>
    <x v="117"/>
    <x v="11"/>
    <x v="0"/>
    <x v="3"/>
    <x v="9"/>
    <x v="4"/>
    <n v="150000"/>
    <n v="141000"/>
    <n v="270000"/>
    <s v="Zurich"/>
    <x v="13"/>
    <s v="Hybrid"/>
    <s v="Startup (1-50)"/>
    <x v="6"/>
    <s v="GPU Computing|Neural Networks|TensorFlow|PyTorch|CUDA|Problem Solving|Linux"/>
    <n v="9.6"/>
    <x v="10"/>
    <x v="101"/>
    <n v="7.2"/>
    <x v="0"/>
    <n v="2"/>
    <n v="0"/>
    <x v="1"/>
    <x v="1"/>
    <s v="Mid ($100-150k)"/>
  </r>
  <r>
    <x v="118"/>
    <x v="13"/>
    <x v="5"/>
    <x v="3"/>
    <x v="9"/>
    <x v="4"/>
    <n v="270000"/>
    <n v="130000"/>
    <n v="260000"/>
    <s v="Remote"/>
    <x v="3"/>
    <s v="On-site"/>
    <s v="Big Tech (FAANG+)"/>
    <x v="8"/>
    <s v="Docker|Python|MLflow|Kubernetes|Cloud|Monitoring|Leadership|SQL|Research"/>
    <n v="16"/>
    <x v="12"/>
    <x v="51"/>
    <n v="6.3"/>
    <x v="0"/>
    <n v="2"/>
    <n v="0"/>
    <x v="0"/>
    <x v="1"/>
    <s v="Senior ($200-300k)"/>
  </r>
  <r>
    <x v="119"/>
    <x v="12"/>
    <x v="0"/>
    <x v="0"/>
    <x v="2"/>
    <x v="0"/>
    <n v="257000"/>
    <n v="160000"/>
    <n v="300000"/>
    <s v="Remote"/>
    <x v="3"/>
    <s v="On-site"/>
    <s v="SME (51-500)"/>
    <x v="10"/>
    <s v="APIs|Fine-tuning|Python|Vision-Language Models|PyTorch|Cloud|Leadership|Problem Solving"/>
    <n v="17.7"/>
    <x v="11"/>
    <x v="50"/>
    <n v="9.1"/>
    <x v="0"/>
    <n v="1"/>
    <n v="1"/>
    <x v="0"/>
    <x v="1"/>
    <s v="Senior ($200-300k)"/>
  </r>
  <r>
    <x v="120"/>
    <x v="21"/>
    <x v="8"/>
    <x v="3"/>
    <x v="0"/>
    <x v="2"/>
    <n v="138000"/>
    <n v="138000"/>
    <n v="195000"/>
    <s v="London"/>
    <x v="1"/>
    <s v="Hybrid"/>
    <s v="Mid-size (501-5000)"/>
    <x v="8"/>
    <s v="SQL|Scikit-learn|Python|Data Visualization|ML Algorithms|Statistics|Leadership"/>
    <n v="7.1"/>
    <x v="17"/>
    <x v="102"/>
    <n v="7.7"/>
    <x v="1"/>
    <n v="11"/>
    <n v="0"/>
    <x v="1"/>
    <x v="1"/>
    <s v="Mid ($100-150k)"/>
  </r>
  <r>
    <x v="121"/>
    <x v="14"/>
    <x v="6"/>
    <x v="0"/>
    <x v="2"/>
    <x v="1"/>
    <n v="125000"/>
    <n v="95000"/>
    <n v="180000"/>
    <s v="Dubai"/>
    <x v="8"/>
    <s v="Fully Remote"/>
    <s v="SME (51-500)"/>
    <x v="5"/>
    <s v="SQL|Communication|Business Analysis|Data Visualization|Agile|Statistics"/>
    <n v="13.2"/>
    <x v="13"/>
    <x v="103"/>
    <n v="6.4"/>
    <x v="0"/>
    <n v="2"/>
    <n v="1"/>
    <x v="1"/>
    <x v="1"/>
    <s v="Mid ($100-150k)"/>
  </r>
  <r>
    <x v="122"/>
    <x v="4"/>
    <x v="2"/>
    <x v="2"/>
    <x v="8"/>
    <x v="1"/>
    <n v="140000"/>
    <n v="140000"/>
    <n v="260000"/>
    <s v="Seattle"/>
    <x v="0"/>
    <s v="On-site"/>
    <s v="Mid-size (501-5000)"/>
    <x v="5"/>
    <s v="Product Strategy|AI Literacy|Stakeholder Mgmt|Data Analysis|Agile|Linux|Statistics|Cloud"/>
    <n v="12.1"/>
    <x v="4"/>
    <x v="104"/>
    <n v="8.4"/>
    <x v="0"/>
    <n v="1"/>
    <n v="0"/>
    <x v="0"/>
    <x v="1"/>
    <s v="Mid ($100-150k)"/>
  </r>
  <r>
    <x v="123"/>
    <x v="10"/>
    <x v="0"/>
    <x v="1"/>
    <x v="1"/>
    <x v="2"/>
    <n v="150000"/>
    <n v="150000"/>
    <n v="295000"/>
    <s v="Beijing"/>
    <x v="6"/>
    <s v="Hybrid"/>
    <s v="SME (51-500)"/>
    <x v="9"/>
    <s v="GenAI APIs|Fine-tuning|Python|LLMs|Leadership"/>
    <n v="10"/>
    <x v="9"/>
    <x v="105"/>
    <n v="8.5"/>
    <x v="0"/>
    <n v="3"/>
    <n v="1"/>
    <x v="1"/>
    <x v="0"/>
    <s v="Mid ($100-150k)"/>
  </r>
  <r>
    <x v="124"/>
    <x v="4"/>
    <x v="2"/>
    <x v="1"/>
    <x v="8"/>
    <x v="2"/>
    <n v="140000"/>
    <n v="140000"/>
    <n v="260000"/>
    <s v="Beijing"/>
    <x v="6"/>
    <s v="On-site"/>
    <s v="Enterprise (5000+)"/>
    <x v="4"/>
    <s v="Data Analysis|AI Literacy|Stakeholder Mgmt|Agile|Problem Solving|Git|Linux"/>
    <n v="11.1"/>
    <x v="4"/>
    <x v="104"/>
    <n v="8.6"/>
    <x v="0"/>
    <n v="2"/>
    <n v="1"/>
    <x v="0"/>
    <x v="1"/>
    <s v="Mid ($100-150k)"/>
  </r>
  <r>
    <x v="125"/>
    <x v="15"/>
    <x v="0"/>
    <x v="1"/>
    <x v="0"/>
    <x v="3"/>
    <n v="336000"/>
    <n v="145000"/>
    <n v="280000"/>
    <s v="Austin"/>
    <x v="0"/>
    <s v="Fully Remote"/>
    <s v="Big Tech (FAANG+)"/>
    <x v="4"/>
    <s v="Search Systems|Vector DBs|Embeddings|LangChain|Linux"/>
    <n v="7.3"/>
    <x v="14"/>
    <x v="106"/>
    <n v="9.6"/>
    <x v="0"/>
    <n v="1"/>
    <n v="1"/>
    <x v="1"/>
    <x v="0"/>
    <s v="Elite (&gt;$300k)"/>
  </r>
  <r>
    <x v="126"/>
    <x v="2"/>
    <x v="0"/>
    <x v="1"/>
    <x v="4"/>
    <x v="3"/>
    <n v="327000"/>
    <n v="160000"/>
    <n v="300000"/>
    <s v="Tokyo"/>
    <x v="5"/>
    <s v="Hybrid"/>
    <s v="Big Tech (FAANG+)"/>
    <x v="2"/>
    <s v="RAG|LLM APIs|Python|Fine-tuning|Vector DBs|Prompt Engineering|SQL|Agile"/>
    <n v="4.2"/>
    <x v="2"/>
    <x v="107"/>
    <n v="8.8000000000000007"/>
    <x v="0"/>
    <n v="3"/>
    <n v="1"/>
    <x v="1"/>
    <x v="0"/>
    <s v="Elite (&gt;$300k)"/>
  </r>
  <r>
    <x v="127"/>
    <x v="5"/>
    <x v="3"/>
    <x v="2"/>
    <x v="6"/>
    <x v="4"/>
    <n v="248000"/>
    <n v="140000"/>
    <n v="260000"/>
    <s v="Boston"/>
    <x v="0"/>
    <s v="Fully Remote"/>
    <s v="Big Tech (FAANG+)"/>
    <x v="6"/>
    <s v="Cybersecurity|Red Teaming|Python|Risk Analysis|ML Security|Communication"/>
    <n v="8.3000000000000007"/>
    <x v="5"/>
    <x v="1"/>
    <n v="9.3000000000000007"/>
    <x v="1"/>
    <n v="2"/>
    <n v="0"/>
    <x v="1"/>
    <x v="1"/>
    <s v="Senior ($200-300k)"/>
  </r>
  <r>
    <x v="128"/>
    <x v="23"/>
    <x v="9"/>
    <x v="0"/>
    <x v="4"/>
    <x v="2"/>
    <n v="121000"/>
    <n v="100000"/>
    <n v="200000"/>
    <s v="London"/>
    <x v="1"/>
    <s v="Fully Remote"/>
    <s v="SME (51-500)"/>
    <x v="4"/>
    <s v="Risk Management|Auditing|EU AI Act|Documentation|Legal Knowledge|Agile|Leadership|Linux"/>
    <n v="10.9"/>
    <x v="19"/>
    <x v="108"/>
    <n v="9.6"/>
    <x v="0"/>
    <n v="3"/>
    <n v="1"/>
    <x v="1"/>
    <x v="1"/>
    <s v="Mid ($100-150k)"/>
  </r>
  <r>
    <x v="129"/>
    <x v="21"/>
    <x v="8"/>
    <x v="2"/>
    <x v="3"/>
    <x v="4"/>
    <n v="168000"/>
    <n v="138000"/>
    <n v="195000"/>
    <s v="Austin"/>
    <x v="0"/>
    <s v="Hybrid"/>
    <s v="Enterprise (5000+)"/>
    <x v="11"/>
    <s v="Statistics|ML Algorithms|SQL|Python|Cloud|Research|Linux"/>
    <n v="7.4"/>
    <x v="17"/>
    <x v="109"/>
    <n v="6.3"/>
    <x v="0"/>
    <n v="1"/>
    <n v="0"/>
    <x v="1"/>
    <x v="1"/>
    <s v="Upper-Mid ($150-200k)"/>
  </r>
  <r>
    <x v="130"/>
    <x v="2"/>
    <x v="0"/>
    <x v="0"/>
    <x v="2"/>
    <x v="3"/>
    <n v="232000"/>
    <n v="160000"/>
    <n v="300000"/>
    <s v="Dubai"/>
    <x v="8"/>
    <s v="Fully Remote"/>
    <s v="Mid-size (501-5000)"/>
    <x v="2"/>
    <s v="Vector DBs|Python|RAG|Statistics|Git|Cloud"/>
    <n v="8.8000000000000007"/>
    <x v="2"/>
    <x v="110"/>
    <n v="7.2"/>
    <x v="1"/>
    <n v="9"/>
    <n v="1"/>
    <x v="1"/>
    <x v="0"/>
    <s v="Senior ($200-300k)"/>
  </r>
  <r>
    <x v="131"/>
    <x v="14"/>
    <x v="6"/>
    <x v="1"/>
    <x v="6"/>
    <x v="4"/>
    <n v="216000"/>
    <n v="95000"/>
    <n v="180000"/>
    <s v="Austin"/>
    <x v="0"/>
    <s v="Hybrid"/>
    <s v="Big Tech (FAANG+)"/>
    <x v="9"/>
    <s v="SQL|Communication|Business Analysis|SQL|Git"/>
    <n v="8"/>
    <x v="13"/>
    <x v="111"/>
    <n v="6.8"/>
    <x v="0"/>
    <n v="1"/>
    <n v="1"/>
    <x v="1"/>
    <x v="1"/>
    <s v="Senior ($200-300k)"/>
  </r>
  <r>
    <x v="132"/>
    <x v="0"/>
    <x v="0"/>
    <x v="0"/>
    <x v="2"/>
    <x v="1"/>
    <n v="193000"/>
    <n v="155000"/>
    <n v="290000"/>
    <s v="Paris"/>
    <x v="10"/>
    <s v="Hybrid"/>
    <s v="SME (51-500)"/>
    <x v="3"/>
    <s v="AutoGen|LangChain|Python|Agile|Communication"/>
    <n v="15"/>
    <x v="0"/>
    <x v="36"/>
    <n v="7.8"/>
    <x v="1"/>
    <n v="4"/>
    <n v="1"/>
    <x v="1"/>
    <x v="0"/>
    <s v="Upper-Mid ($150-200k)"/>
  </r>
  <r>
    <x v="133"/>
    <x v="5"/>
    <x v="3"/>
    <x v="2"/>
    <x v="9"/>
    <x v="4"/>
    <n v="140000"/>
    <n v="140000"/>
    <n v="260000"/>
    <s v="Zurich"/>
    <x v="13"/>
    <s v="Hybrid"/>
    <s v="Startup (1-50)"/>
    <x v="0"/>
    <s v="ML Security|Red Teaming|Cybersecurity|Python|Risk Analysis|Git"/>
    <n v="16.8"/>
    <x v="5"/>
    <x v="112"/>
    <n v="8.9"/>
    <x v="0"/>
    <n v="1"/>
    <n v="0"/>
    <x v="1"/>
    <x v="1"/>
    <s v="Mid ($100-150k)"/>
  </r>
  <r>
    <x v="134"/>
    <x v="0"/>
    <x v="0"/>
    <x v="2"/>
    <x v="4"/>
    <x v="2"/>
    <n v="155000"/>
    <n v="155000"/>
    <n v="290000"/>
    <s v="Austin"/>
    <x v="0"/>
    <s v="On-site"/>
    <s v="Startup (1-50)"/>
    <x v="0"/>
    <s v="APIs|LangChain|Planning Systems|Tool Use|AutoGen|Git"/>
    <n v="9.1999999999999993"/>
    <x v="0"/>
    <x v="113"/>
    <n v="7.3"/>
    <x v="0"/>
    <n v="1"/>
    <n v="0"/>
    <x v="0"/>
    <x v="0"/>
    <s v="Upper-Mid ($150-200k)"/>
  </r>
  <r>
    <x v="135"/>
    <x v="7"/>
    <x v="0"/>
    <x v="3"/>
    <x v="0"/>
    <x v="2"/>
    <n v="145000"/>
    <n v="145000"/>
    <n v="290000"/>
    <s v="Berlin"/>
    <x v="12"/>
    <s v="Hybrid"/>
    <s v="Startup (1-50)"/>
    <x v="8"/>
    <s v="Text Processing|BERT|Transformers|Problem Solving|Leadership|Communication"/>
    <n v="7.5"/>
    <x v="6"/>
    <x v="114"/>
    <n v="9"/>
    <x v="1"/>
    <n v="7"/>
    <n v="0"/>
    <x v="1"/>
    <x v="1"/>
    <s v="Mid ($100-150k)"/>
  </r>
  <r>
    <x v="136"/>
    <x v="21"/>
    <x v="8"/>
    <x v="2"/>
    <x v="1"/>
    <x v="2"/>
    <n v="138000"/>
    <n v="138000"/>
    <n v="195000"/>
    <s v="London"/>
    <x v="1"/>
    <s v="Fully Remote"/>
    <s v="Enterprise (5000+)"/>
    <x v="5"/>
    <s v="SQL|Statistics|Scikit-learn|ML Algorithms|Data Visualization|Leadership|Linux"/>
    <n v="8.4"/>
    <x v="17"/>
    <x v="115"/>
    <n v="6.3"/>
    <x v="1"/>
    <n v="1"/>
    <n v="0"/>
    <x v="1"/>
    <x v="1"/>
    <s v="Mid ($100-150k)"/>
  </r>
  <r>
    <x v="137"/>
    <x v="9"/>
    <x v="0"/>
    <x v="0"/>
    <x v="9"/>
    <x v="2"/>
    <n v="241000"/>
    <n v="120000"/>
    <n v="280000"/>
    <s v="Sydney"/>
    <x v="11"/>
    <s v="Fully Remote"/>
    <s v="Big Tech (FAANG+)"/>
    <x v="2"/>
    <s v="Python|Kubernetes|PyTorch|MLOps|SQL|TensorFlow|Leadership"/>
    <n v="9.6"/>
    <x v="8"/>
    <x v="116"/>
    <n v="8.1999999999999993"/>
    <x v="0"/>
    <n v="3"/>
    <n v="1"/>
    <x v="1"/>
    <x v="1"/>
    <s v="Senior ($200-300k)"/>
  </r>
  <r>
    <x v="138"/>
    <x v="12"/>
    <x v="0"/>
    <x v="1"/>
    <x v="3"/>
    <x v="0"/>
    <n v="354000"/>
    <n v="160000"/>
    <n v="300000"/>
    <s v="Seattle"/>
    <x v="0"/>
    <s v="Fully Remote"/>
    <s v="Mid-size (501-5000)"/>
    <x v="1"/>
    <s v="Python|APIs|PyTorch|Fine-tuning|Linux|Git"/>
    <n v="15"/>
    <x v="11"/>
    <x v="117"/>
    <n v="9.6"/>
    <x v="0"/>
    <n v="3"/>
    <n v="1"/>
    <x v="1"/>
    <x v="1"/>
    <s v="Elite (&gt;$300k)"/>
  </r>
  <r>
    <x v="139"/>
    <x v="22"/>
    <x v="0"/>
    <x v="3"/>
    <x v="2"/>
    <x v="4"/>
    <n v="219000"/>
    <n v="145000"/>
    <n v="280000"/>
    <s v="Chicago"/>
    <x v="0"/>
    <s v="Hybrid"/>
    <s v="Mid-size (501-5000)"/>
    <x v="5"/>
    <s v="PyTorch|CNNs|CUDA|Git|Agile|Problem Solving"/>
    <n v="5.5"/>
    <x v="18"/>
    <x v="118"/>
    <n v="8.1999999999999993"/>
    <x v="1"/>
    <n v="5"/>
    <n v="0"/>
    <x v="1"/>
    <x v="1"/>
    <s v="Senior ($200-300k)"/>
  </r>
  <r>
    <x v="140"/>
    <x v="23"/>
    <x v="9"/>
    <x v="2"/>
    <x v="3"/>
    <x v="0"/>
    <n v="176000"/>
    <n v="100000"/>
    <n v="200000"/>
    <s v="Boston"/>
    <x v="0"/>
    <s v="On-site"/>
    <s v="Big Tech (FAANG+)"/>
    <x v="9"/>
    <s v="EU AI Act|Risk Management|Auditing|Statistics|Cloud"/>
    <n v="17.600000000000001"/>
    <x v="19"/>
    <x v="119"/>
    <n v="9.1"/>
    <x v="0"/>
    <n v="3"/>
    <n v="0"/>
    <x v="0"/>
    <x v="1"/>
    <s v="Upper-Mid ($150-200k)"/>
  </r>
  <r>
    <x v="141"/>
    <x v="1"/>
    <x v="0"/>
    <x v="3"/>
    <x v="3"/>
    <x v="3"/>
    <n v="112000"/>
    <n v="90000"/>
    <n v="200000"/>
    <s v="London"/>
    <x v="1"/>
    <s v="Fully Remote"/>
    <s v="Mid-size (501-5000)"/>
    <x v="10"/>
    <s v="Prompt Design|Testing|Python|Documentation|NLP|Communication"/>
    <n v="9.6999999999999993"/>
    <x v="1"/>
    <x v="3"/>
    <n v="7.8"/>
    <x v="1"/>
    <n v="5"/>
    <n v="0"/>
    <x v="1"/>
    <x v="0"/>
    <s v="Mid ($100-150k)"/>
  </r>
  <r>
    <x v="142"/>
    <x v="4"/>
    <x v="2"/>
    <x v="1"/>
    <x v="8"/>
    <x v="1"/>
    <n v="312000"/>
    <n v="140000"/>
    <n v="260000"/>
    <s v="Seattle"/>
    <x v="0"/>
    <s v="On-site"/>
    <s v="Big Tech (FAANG+)"/>
    <x v="2"/>
    <s v="Stakeholder Mgmt|AI Literacy|Agile|Data Analysis|Product Strategy|Leadership"/>
    <n v="17.3"/>
    <x v="4"/>
    <x v="120"/>
    <n v="8.1"/>
    <x v="0"/>
    <n v="3"/>
    <n v="1"/>
    <x v="0"/>
    <x v="1"/>
    <s v="Elite (&gt;$300k)"/>
  </r>
  <r>
    <x v="143"/>
    <x v="20"/>
    <x v="0"/>
    <x v="1"/>
    <x v="8"/>
    <x v="4"/>
    <n v="172000"/>
    <n v="100000"/>
    <n v="250000"/>
    <s v="Toronto"/>
    <x v="7"/>
    <s v="On-site"/>
    <s v="Startup (1-50)"/>
    <x v="0"/>
    <s v="PyTorch|Docker|Python|Agile"/>
    <n v="10.3"/>
    <x v="9"/>
    <x v="121"/>
    <n v="7.6"/>
    <x v="0"/>
    <n v="2"/>
    <n v="1"/>
    <x v="0"/>
    <x v="1"/>
    <s v="Upper-Mid ($150-200k)"/>
  </r>
  <r>
    <x v="144"/>
    <x v="10"/>
    <x v="0"/>
    <x v="2"/>
    <x v="6"/>
    <x v="2"/>
    <n v="190000"/>
    <n v="150000"/>
    <n v="295000"/>
    <s v="Seattle"/>
    <x v="0"/>
    <s v="Fully Remote"/>
    <s v="Big Tech (FAANG+)"/>
    <x v="3"/>
    <s v="Python|LLMs|Deployment|GenAI APIs|Diffusion Models|Fine-tuning|Agile|Statistics"/>
    <n v="15.4"/>
    <x v="9"/>
    <x v="122"/>
    <n v="7"/>
    <x v="1"/>
    <n v="4"/>
    <n v="0"/>
    <x v="1"/>
    <x v="0"/>
    <s v="Upper-Mid ($150-200k)"/>
  </r>
  <r>
    <x v="145"/>
    <x v="17"/>
    <x v="8"/>
    <x v="3"/>
    <x v="12"/>
    <x v="1"/>
    <n v="157000"/>
    <n v="157000"/>
    <n v="218000"/>
    <s v="Bangalore"/>
    <x v="4"/>
    <s v="On-site"/>
    <s v="Startup (1-50)"/>
    <x v="0"/>
    <s v="ML|Python|Causal Inference|Deep Learning|Advanced Statistics|Research|Agile"/>
    <n v="8.6999999999999993"/>
    <x v="11"/>
    <x v="123"/>
    <n v="8.6999999999999993"/>
    <x v="0"/>
    <n v="1"/>
    <n v="0"/>
    <x v="0"/>
    <x v="1"/>
    <s v="Upper-Mid ($150-200k)"/>
  </r>
  <r>
    <x v="146"/>
    <x v="4"/>
    <x v="2"/>
    <x v="3"/>
    <x v="2"/>
    <x v="4"/>
    <n v="180000"/>
    <n v="140000"/>
    <n v="260000"/>
    <s v="Austin"/>
    <x v="0"/>
    <s v="On-site"/>
    <s v="Startup (1-50)"/>
    <x v="2"/>
    <s v="Stakeholder Mgmt|Data Analysis|Product Strategy|Agile|AI Literacy|Leadership|Problem Solving"/>
    <n v="9"/>
    <x v="4"/>
    <x v="124"/>
    <n v="6.5"/>
    <x v="1"/>
    <n v="4"/>
    <n v="0"/>
    <x v="0"/>
    <x v="1"/>
    <s v="Upper-Mid ($150-200k)"/>
  </r>
  <r>
    <x v="147"/>
    <x v="17"/>
    <x v="8"/>
    <x v="0"/>
    <x v="9"/>
    <x v="1"/>
    <n v="261600"/>
    <n v="157000"/>
    <n v="218000"/>
    <s v="Los Angeles"/>
    <x v="0"/>
    <s v="On-site"/>
    <s v="Enterprise (5000+)"/>
    <x v="4"/>
    <s v="Python|Leadership|Advanced Statistics|Research|Linux|Git"/>
    <n v="9.6"/>
    <x v="11"/>
    <x v="125"/>
    <n v="9.5"/>
    <x v="0"/>
    <n v="3"/>
    <n v="1"/>
    <x v="0"/>
    <x v="1"/>
    <s v="Senior ($200-300k)"/>
  </r>
  <r>
    <x v="148"/>
    <x v="2"/>
    <x v="0"/>
    <x v="1"/>
    <x v="3"/>
    <x v="3"/>
    <n v="238000"/>
    <n v="160000"/>
    <n v="300000"/>
    <s v="Remote"/>
    <x v="3"/>
    <s v="Hybrid"/>
    <s v="Startup (1-50)"/>
    <x v="11"/>
    <s v="Fine-tuning|Vector DBs|RAG|Python|Problem Solving"/>
    <n v="7.5"/>
    <x v="2"/>
    <x v="126"/>
    <n v="9.4"/>
    <x v="0"/>
    <n v="1"/>
    <n v="1"/>
    <x v="1"/>
    <x v="0"/>
    <s v="Senior ($200-300k)"/>
  </r>
  <r>
    <x v="149"/>
    <x v="22"/>
    <x v="0"/>
    <x v="1"/>
    <x v="8"/>
    <x v="0"/>
    <n v="238000"/>
    <n v="145000"/>
    <n v="280000"/>
    <s v="Sydney"/>
    <x v="11"/>
    <s v="Hybrid"/>
    <s v="SME (51-500)"/>
    <x v="3"/>
    <s v="CNNs|PyTorch|CUDA|Research|Statistics|Leadership"/>
    <n v="3.2"/>
    <x v="18"/>
    <x v="127"/>
    <n v="6.1"/>
    <x v="0"/>
    <n v="2"/>
    <n v="1"/>
    <x v="1"/>
    <x v="1"/>
    <s v="Senior ($200-300k)"/>
  </r>
  <r>
    <x v="150"/>
    <x v="9"/>
    <x v="0"/>
    <x v="0"/>
    <x v="4"/>
    <x v="2"/>
    <n v="313000"/>
    <n v="120000"/>
    <n v="280000"/>
    <s v="Remote"/>
    <x v="3"/>
    <s v="Fully Remote"/>
    <s v="Big Tech (FAANG+)"/>
    <x v="4"/>
    <s v="PyTorch|SQL|TensorFlow|SQL|Communication|Cloud"/>
    <n v="17.899999999999999"/>
    <x v="8"/>
    <x v="128"/>
    <n v="6.9"/>
    <x v="1"/>
    <n v="12"/>
    <n v="1"/>
    <x v="1"/>
    <x v="1"/>
    <s v="Elite (&gt;$300k)"/>
  </r>
  <r>
    <x v="151"/>
    <x v="19"/>
    <x v="10"/>
    <x v="2"/>
    <x v="0"/>
    <x v="4"/>
    <n v="217000"/>
    <n v="140000"/>
    <n v="270000"/>
    <s v="Singapore"/>
    <x v="2"/>
    <s v="On-site"/>
    <s v="Big Tech (FAANG+)"/>
    <x v="1"/>
    <s v="Storage|Kubernetes|Distributed Systems|CUDA|Linux|Research"/>
    <n v="10.3"/>
    <x v="4"/>
    <x v="129"/>
    <n v="8"/>
    <x v="1"/>
    <n v="10"/>
    <n v="0"/>
    <x v="0"/>
    <x v="1"/>
    <s v="Senior ($200-300k)"/>
  </r>
  <r>
    <x v="152"/>
    <x v="11"/>
    <x v="0"/>
    <x v="3"/>
    <x v="4"/>
    <x v="4"/>
    <n v="197000"/>
    <n v="141000"/>
    <n v="270000"/>
    <s v="Austin"/>
    <x v="0"/>
    <s v="Hybrid"/>
    <s v="Mid-size (501-5000)"/>
    <x v="4"/>
    <s v="Python|GPU Computing|TensorFlow|CUDA|Cloud|Git"/>
    <n v="4"/>
    <x v="10"/>
    <x v="11"/>
    <n v="9.6"/>
    <x v="0"/>
    <n v="2"/>
    <n v="0"/>
    <x v="1"/>
    <x v="1"/>
    <s v="Upper-Mid ($150-200k)"/>
  </r>
  <r>
    <x v="153"/>
    <x v="0"/>
    <x v="0"/>
    <x v="0"/>
    <x v="3"/>
    <x v="0"/>
    <n v="214000"/>
    <n v="155000"/>
    <n v="290000"/>
    <s v="Toronto"/>
    <x v="7"/>
    <s v="On-site"/>
    <s v="SME (51-500)"/>
    <x v="11"/>
    <s v="AutoGen|APIs|LangChain|Python|Planning Systems|Tool Use|SQL|Linux|Statistics"/>
    <n v="13.7"/>
    <x v="0"/>
    <x v="130"/>
    <n v="6.5"/>
    <x v="0"/>
    <n v="1"/>
    <n v="1"/>
    <x v="0"/>
    <x v="0"/>
    <s v="Senior ($200-300k)"/>
  </r>
  <r>
    <x v="154"/>
    <x v="3"/>
    <x v="1"/>
    <x v="2"/>
    <x v="2"/>
    <x v="4"/>
    <n v="130000"/>
    <n v="130000"/>
    <n v="220000"/>
    <s v="Toronto"/>
    <x v="7"/>
    <s v="Hybrid"/>
    <s v="SME (51-500)"/>
    <x v="1"/>
    <s v="Spark|Feature Stores|Python|SQL|Git|SQL"/>
    <n v="15.3"/>
    <x v="3"/>
    <x v="61"/>
    <n v="9.4"/>
    <x v="0"/>
    <n v="2"/>
    <n v="0"/>
    <x v="1"/>
    <x v="1"/>
    <s v="Mid ($100-150k)"/>
  </r>
  <r>
    <x v="155"/>
    <x v="3"/>
    <x v="1"/>
    <x v="2"/>
    <x v="8"/>
    <x v="3"/>
    <n v="130000"/>
    <n v="130000"/>
    <n v="220000"/>
    <s v="Tokyo"/>
    <x v="5"/>
    <s v="Fully Remote"/>
    <s v="Enterprise (5000+)"/>
    <x v="6"/>
    <s v="Spark|Airflow|Python|dbt|SQL|Statistics"/>
    <n v="8.6999999999999993"/>
    <x v="3"/>
    <x v="131"/>
    <n v="7.4"/>
    <x v="0"/>
    <n v="3"/>
    <n v="0"/>
    <x v="1"/>
    <x v="1"/>
    <s v="Mid ($100-150k)"/>
  </r>
  <r>
    <x v="156"/>
    <x v="6"/>
    <x v="0"/>
    <x v="1"/>
    <x v="0"/>
    <x v="1"/>
    <n v="373000"/>
    <n v="180000"/>
    <n v="312000"/>
    <s v="Toronto"/>
    <x v="7"/>
    <s v="Hybrid"/>
    <s v="Big Tech (FAANG+)"/>
    <x v="6"/>
    <s v="PyTorch|Python|LLM Fine-tuning|Distributed Systems|MLOps|System Design|Leadership|Problem Solving"/>
    <n v="11"/>
    <x v="0"/>
    <x v="55"/>
    <n v="7.5"/>
    <x v="0"/>
    <n v="2"/>
    <n v="1"/>
    <x v="1"/>
    <x v="1"/>
    <s v="Elite (&gt;$300k)"/>
  </r>
  <r>
    <x v="157"/>
    <x v="17"/>
    <x v="8"/>
    <x v="2"/>
    <x v="12"/>
    <x v="3"/>
    <n v="157000"/>
    <n v="157000"/>
    <n v="218000"/>
    <s v="New York"/>
    <x v="0"/>
    <s v="Hybrid"/>
    <s v="Mid-size (501-5000)"/>
    <x v="0"/>
    <s v="Python|Leadership|Advanced Statistics|Deep Learning|Agile|Git|Research"/>
    <n v="5.8"/>
    <x v="11"/>
    <x v="132"/>
    <n v="8.5"/>
    <x v="1"/>
    <n v="9"/>
    <n v="0"/>
    <x v="1"/>
    <x v="1"/>
    <s v="Upper-Mid ($150-200k)"/>
  </r>
  <r>
    <x v="158"/>
    <x v="2"/>
    <x v="0"/>
    <x v="1"/>
    <x v="1"/>
    <x v="4"/>
    <n v="344000"/>
    <n v="160000"/>
    <n v="300000"/>
    <s v="Chicago"/>
    <x v="0"/>
    <s v="Hybrid"/>
    <s v="Mid-size (501-5000)"/>
    <x v="0"/>
    <s v="RAG|Vector DBs|Fine-tuning|Python|LLM APIs|SQL|Linux|Git"/>
    <n v="8.6999999999999993"/>
    <x v="2"/>
    <x v="133"/>
    <n v="8.9"/>
    <x v="1"/>
    <n v="1"/>
    <n v="1"/>
    <x v="1"/>
    <x v="0"/>
    <s v="Elite (&gt;$300k)"/>
  </r>
  <r>
    <x v="159"/>
    <x v="2"/>
    <x v="0"/>
    <x v="1"/>
    <x v="4"/>
    <x v="2"/>
    <n v="293000"/>
    <n v="160000"/>
    <n v="300000"/>
    <s v="Dubai"/>
    <x v="8"/>
    <s v="Fully Remote"/>
    <s v="Enterprise (5000+)"/>
    <x v="9"/>
    <s v="Python|RAG|Vector DBs|Fine-tuning|Prompt Engineering|Research"/>
    <n v="4.2"/>
    <x v="2"/>
    <x v="134"/>
    <n v="6.7"/>
    <x v="1"/>
    <n v="2"/>
    <n v="1"/>
    <x v="1"/>
    <x v="0"/>
    <s v="Senior ($200-300k)"/>
  </r>
  <r>
    <x v="160"/>
    <x v="12"/>
    <x v="0"/>
    <x v="3"/>
    <x v="6"/>
    <x v="2"/>
    <n v="160000"/>
    <n v="160000"/>
    <n v="300000"/>
    <s v="Amsterdam"/>
    <x v="9"/>
    <s v="Hybrid"/>
    <s v="SME (51-500)"/>
    <x v="6"/>
    <s v="Python|APIs|PyTorch|Leadership|Statistics"/>
    <n v="17.2"/>
    <x v="11"/>
    <x v="135"/>
    <n v="8.6999999999999993"/>
    <x v="0"/>
    <n v="2"/>
    <n v="0"/>
    <x v="1"/>
    <x v="1"/>
    <s v="Upper-Mid ($150-200k)"/>
  </r>
  <r>
    <x v="161"/>
    <x v="21"/>
    <x v="8"/>
    <x v="3"/>
    <x v="6"/>
    <x v="2"/>
    <n v="138000"/>
    <n v="138000"/>
    <n v="195000"/>
    <s v="Amsterdam"/>
    <x v="9"/>
    <s v="Hybrid"/>
    <s v="SME (51-500)"/>
    <x v="3"/>
    <s v="Python|Data Visualization|ML Algorithms|Leadership|Statistics"/>
    <n v="7.6"/>
    <x v="17"/>
    <x v="136"/>
    <n v="7.8"/>
    <x v="1"/>
    <n v="7"/>
    <n v="0"/>
    <x v="1"/>
    <x v="1"/>
    <s v="Mid ($100-150k)"/>
  </r>
  <r>
    <x v="162"/>
    <x v="17"/>
    <x v="8"/>
    <x v="1"/>
    <x v="10"/>
    <x v="1"/>
    <n v="157000"/>
    <n v="157000"/>
    <n v="218000"/>
    <s v="Beijing"/>
    <x v="6"/>
    <s v="Hybrid"/>
    <s v="Big Tech (FAANG+)"/>
    <x v="6"/>
    <s v="Python|ML|Causal Inference|Advanced Statistics|Statistics"/>
    <n v="8.9"/>
    <x v="11"/>
    <x v="137"/>
    <n v="8.6"/>
    <x v="0"/>
    <n v="1"/>
    <n v="1"/>
    <x v="1"/>
    <x v="1"/>
    <s v="Upper-Mid ($150-200k)"/>
  </r>
  <r>
    <x v="163"/>
    <x v="17"/>
    <x v="8"/>
    <x v="0"/>
    <x v="8"/>
    <x v="4"/>
    <n v="229000"/>
    <n v="157000"/>
    <n v="218000"/>
    <s v="Paris"/>
    <x v="10"/>
    <s v="Hybrid"/>
    <s v="Enterprise (5000+)"/>
    <x v="1"/>
    <s v="ML|Advanced Statistics|Leadership|Causal Inference|Leadership|Statistics"/>
    <n v="4.0999999999999996"/>
    <x v="11"/>
    <x v="138"/>
    <n v="7.9"/>
    <x v="1"/>
    <n v="9"/>
    <n v="1"/>
    <x v="1"/>
    <x v="1"/>
    <s v="Senior ($200-300k)"/>
  </r>
  <r>
    <x v="164"/>
    <x v="14"/>
    <x v="6"/>
    <x v="3"/>
    <x v="3"/>
    <x v="0"/>
    <n v="176000"/>
    <n v="95000"/>
    <n v="180000"/>
    <s v="San Francisco"/>
    <x v="0"/>
    <s v="Hybrid"/>
    <s v="SME (51-500)"/>
    <x v="5"/>
    <s v="Data Visualization|SQL|Python|Communication|Agile|Statistics"/>
    <n v="14.4"/>
    <x v="13"/>
    <x v="73"/>
    <n v="6.1"/>
    <x v="1"/>
    <n v="10"/>
    <n v="0"/>
    <x v="1"/>
    <x v="1"/>
    <s v="Upper-Mid ($150-200k)"/>
  </r>
  <r>
    <x v="165"/>
    <x v="8"/>
    <x v="4"/>
    <x v="0"/>
    <x v="10"/>
    <x v="4"/>
    <n v="336000"/>
    <n v="180000"/>
    <n v="320000"/>
    <s v="Chicago"/>
    <x v="0"/>
    <s v="Fully Remote"/>
    <s v="Enterprise (5000+)"/>
    <x v="11"/>
    <s v="ML|System Design|Python|Linux"/>
    <n v="10.1"/>
    <x v="7"/>
    <x v="129"/>
    <n v="6.9"/>
    <x v="1"/>
    <n v="11"/>
    <n v="1"/>
    <x v="1"/>
    <x v="1"/>
    <s v="Elite (&gt;$300k)"/>
  </r>
  <r>
    <x v="166"/>
    <x v="1"/>
    <x v="0"/>
    <x v="2"/>
    <x v="1"/>
    <x v="3"/>
    <n v="90000"/>
    <n v="90000"/>
    <n v="200000"/>
    <s v="Dubai"/>
    <x v="8"/>
    <s v="Hybrid"/>
    <s v="Startup (1-50)"/>
    <x v="4"/>
    <s v="LLM APIs|Python|Testing|Agile|Cloud|Leadership"/>
    <n v="4.5"/>
    <x v="1"/>
    <x v="123"/>
    <n v="8"/>
    <x v="0"/>
    <n v="3"/>
    <n v="0"/>
    <x v="1"/>
    <x v="0"/>
    <s v="Entry (&lt;$100k)"/>
  </r>
  <r>
    <x v="167"/>
    <x v="21"/>
    <x v="8"/>
    <x v="0"/>
    <x v="8"/>
    <x v="2"/>
    <n v="234000"/>
    <n v="138000"/>
    <n v="195000"/>
    <s v="San Francisco"/>
    <x v="0"/>
    <s v="Hybrid"/>
    <s v="Big Tech (FAANG+)"/>
    <x v="6"/>
    <s v="SQL|Python|Scikit-learn|Data Visualization|Statistics|Statistics|Agile"/>
    <n v="9.6999999999999993"/>
    <x v="17"/>
    <x v="139"/>
    <n v="6.7"/>
    <x v="0"/>
    <n v="1"/>
    <n v="1"/>
    <x v="1"/>
    <x v="1"/>
    <s v="Senior ($200-300k)"/>
  </r>
  <r>
    <x v="168"/>
    <x v="9"/>
    <x v="0"/>
    <x v="0"/>
    <x v="10"/>
    <x v="0"/>
    <n v="120000"/>
    <n v="120000"/>
    <n v="280000"/>
    <s v="Beijing"/>
    <x v="6"/>
    <s v="Fully Remote"/>
    <s v="Enterprise (5000+)"/>
    <x v="8"/>
    <s v="TensorFlow|MLOps|Kubernetes|PyTorch|Python|Problem Solving|Communication|Statistics"/>
    <n v="14.9"/>
    <x v="8"/>
    <x v="140"/>
    <n v="7.8"/>
    <x v="0"/>
    <n v="2"/>
    <n v="1"/>
    <x v="1"/>
    <x v="1"/>
    <s v="Mid ($100-150k)"/>
  </r>
  <r>
    <x v="169"/>
    <x v="5"/>
    <x v="3"/>
    <x v="3"/>
    <x v="4"/>
    <x v="4"/>
    <n v="140000"/>
    <n v="140000"/>
    <n v="260000"/>
    <s v="Paris"/>
    <x v="10"/>
    <s v="Fully Remote"/>
    <s v="SME (51-500)"/>
    <x v="2"/>
    <s v="Python|ML Security|Risk Analysis|Red Teaming|Cybersecurity|Statistics"/>
    <n v="11.1"/>
    <x v="5"/>
    <x v="141"/>
    <n v="7.3"/>
    <x v="1"/>
    <n v="5"/>
    <n v="0"/>
    <x v="1"/>
    <x v="1"/>
    <s v="Mid ($100-150k)"/>
  </r>
  <r>
    <x v="170"/>
    <x v="8"/>
    <x v="4"/>
    <x v="2"/>
    <x v="7"/>
    <x v="2"/>
    <n v="186000"/>
    <n v="180000"/>
    <n v="320000"/>
    <s v="Boston"/>
    <x v="0"/>
    <s v="On-site"/>
    <s v="Enterprise (5000+)"/>
    <x v="3"/>
    <s v="Python|Cloud|System Design|Cloud|Leadership|Agile"/>
    <n v="16.5"/>
    <x v="7"/>
    <x v="112"/>
    <n v="6.8"/>
    <x v="0"/>
    <n v="3"/>
    <n v="0"/>
    <x v="0"/>
    <x v="1"/>
    <s v="Upper-Mid ($150-200k)"/>
  </r>
  <r>
    <x v="171"/>
    <x v="8"/>
    <x v="4"/>
    <x v="3"/>
    <x v="6"/>
    <x v="1"/>
    <n v="231000"/>
    <n v="180000"/>
    <n v="320000"/>
    <s v="Austin"/>
    <x v="0"/>
    <s v="Fully Remote"/>
    <s v="Mid-size (501-5000)"/>
    <x v="11"/>
    <s v="Enterprise Architecture|System Design|Leadership|Cloud|ML|Linux"/>
    <n v="12.9"/>
    <x v="7"/>
    <x v="95"/>
    <n v="6.3"/>
    <x v="0"/>
    <n v="3"/>
    <n v="0"/>
    <x v="1"/>
    <x v="1"/>
    <s v="Senior ($200-300k)"/>
  </r>
  <r>
    <x v="172"/>
    <x v="1"/>
    <x v="0"/>
    <x v="1"/>
    <x v="4"/>
    <x v="3"/>
    <n v="154000"/>
    <n v="90000"/>
    <n v="200000"/>
    <s v="Sydney"/>
    <x v="11"/>
    <s v="Fully Remote"/>
    <s v="Enterprise (5000+)"/>
    <x v="7"/>
    <s v="Documentation|Python|Prompt Design|LLM APIs|Communication|SQL|Leadership"/>
    <n v="4.5999999999999996"/>
    <x v="1"/>
    <x v="84"/>
    <n v="7.2"/>
    <x v="1"/>
    <n v="9"/>
    <n v="1"/>
    <x v="1"/>
    <x v="0"/>
    <s v="Upper-Mid ($150-200k)"/>
  </r>
  <r>
    <x v="173"/>
    <x v="14"/>
    <x v="6"/>
    <x v="2"/>
    <x v="2"/>
    <x v="1"/>
    <n v="95000"/>
    <n v="95000"/>
    <n v="180000"/>
    <s v="Paris"/>
    <x v="10"/>
    <s v="On-site"/>
    <s v="SME (51-500)"/>
    <x v="2"/>
    <s v="Communication|Business Analysis|Python|SQL|Research|Statistics"/>
    <n v="17.100000000000001"/>
    <x v="13"/>
    <x v="142"/>
    <n v="6.1"/>
    <x v="1"/>
    <n v="3"/>
    <n v="0"/>
    <x v="0"/>
    <x v="1"/>
    <s v="Entry (&lt;$100k)"/>
  </r>
  <r>
    <x v="174"/>
    <x v="11"/>
    <x v="0"/>
    <x v="3"/>
    <x v="3"/>
    <x v="1"/>
    <n v="314000"/>
    <n v="141000"/>
    <n v="270000"/>
    <s v="San Francisco"/>
    <x v="0"/>
    <s v="Hybrid"/>
    <s v="Big Tech (FAANG+)"/>
    <x v="3"/>
    <s v="CUDA|TensorFlow|Python|GPU Computing|Neural Networks|PyTorch|SQL|Problem Solving|Git"/>
    <n v="3.9"/>
    <x v="10"/>
    <x v="143"/>
    <n v="8.6999999999999993"/>
    <x v="1"/>
    <n v="11"/>
    <n v="0"/>
    <x v="1"/>
    <x v="1"/>
    <s v="Elite (&gt;$300k)"/>
  </r>
  <r>
    <x v="175"/>
    <x v="0"/>
    <x v="0"/>
    <x v="1"/>
    <x v="2"/>
    <x v="1"/>
    <n v="348000"/>
    <n v="155000"/>
    <n v="290000"/>
    <s v="San Francisco"/>
    <x v="0"/>
    <s v="On-site"/>
    <s v="Mid-size (501-5000)"/>
    <x v="5"/>
    <s v="Tool Use|Python|Planning Systems|LangChain|Git"/>
    <n v="10"/>
    <x v="0"/>
    <x v="144"/>
    <n v="8"/>
    <x v="1"/>
    <n v="12"/>
    <n v="1"/>
    <x v="0"/>
    <x v="0"/>
    <s v="Elite (&gt;$300k)"/>
  </r>
  <r>
    <x v="176"/>
    <x v="1"/>
    <x v="0"/>
    <x v="2"/>
    <x v="1"/>
    <x v="2"/>
    <n v="90000"/>
    <n v="90000"/>
    <n v="200000"/>
    <s v="Paris"/>
    <x v="10"/>
    <s v="On-site"/>
    <s v="SME (51-500)"/>
    <x v="10"/>
    <s v="Python|LLM APIs|Prompt Design|NLP|Documentation|Testing|Research|Linux|Git"/>
    <n v="8.1"/>
    <x v="1"/>
    <x v="145"/>
    <n v="8.4"/>
    <x v="0"/>
    <n v="2"/>
    <n v="0"/>
    <x v="0"/>
    <x v="0"/>
    <s v="Entry (&lt;$100k)"/>
  </r>
  <r>
    <x v="177"/>
    <x v="22"/>
    <x v="0"/>
    <x v="2"/>
    <x v="0"/>
    <x v="0"/>
    <n v="145000"/>
    <n v="145000"/>
    <n v="280000"/>
    <s v="Zurich"/>
    <x v="13"/>
    <s v="Fully Remote"/>
    <s v="Startup (1-50)"/>
    <x v="1"/>
    <s v="CUDA|PyTorch|CNNs|Image Processing|Python|SQL"/>
    <n v="7.6"/>
    <x v="18"/>
    <x v="131"/>
    <n v="7.4"/>
    <x v="0"/>
    <n v="3"/>
    <n v="0"/>
    <x v="1"/>
    <x v="1"/>
    <s v="Mid ($100-150k)"/>
  </r>
  <r>
    <x v="178"/>
    <x v="22"/>
    <x v="0"/>
    <x v="0"/>
    <x v="9"/>
    <x v="0"/>
    <n v="253000"/>
    <n v="145000"/>
    <n v="280000"/>
    <s v="Seattle"/>
    <x v="0"/>
    <s v="On-site"/>
    <s v="Mid-size (501-5000)"/>
    <x v="9"/>
    <s v="PyTorch|CNNs|Image Processing|OpenCV|Python|CUDA|SQL"/>
    <n v="9.4"/>
    <x v="18"/>
    <x v="146"/>
    <n v="8.1999999999999993"/>
    <x v="0"/>
    <n v="3"/>
    <n v="1"/>
    <x v="0"/>
    <x v="1"/>
    <s v="Senior ($200-300k)"/>
  </r>
  <r>
    <x v="179"/>
    <x v="2"/>
    <x v="0"/>
    <x v="2"/>
    <x v="4"/>
    <x v="0"/>
    <n v="206000"/>
    <n v="160000"/>
    <n v="300000"/>
    <s v="Singapore"/>
    <x v="2"/>
    <s v="Hybrid"/>
    <s v="Big Tech (FAANG+)"/>
    <x v="7"/>
    <s v="RAG|Vector DBs|Python|Agile"/>
    <n v="7.9"/>
    <x v="2"/>
    <x v="147"/>
    <n v="8.9"/>
    <x v="0"/>
    <n v="3"/>
    <n v="0"/>
    <x v="1"/>
    <x v="0"/>
    <s v="Senior ($200-300k)"/>
  </r>
  <r>
    <x v="180"/>
    <x v="7"/>
    <x v="0"/>
    <x v="2"/>
    <x v="8"/>
    <x v="3"/>
    <n v="156000"/>
    <n v="145000"/>
    <n v="290000"/>
    <s v="Toronto"/>
    <x v="7"/>
    <s v="Fully Remote"/>
    <s v="Big Tech (FAANG+)"/>
    <x v="5"/>
    <s v="BERT|LLMs|Transformers|Text Processing|Python|Hugging Face|Linux|Leadership|Research"/>
    <n v="3.5"/>
    <x v="6"/>
    <x v="148"/>
    <n v="6.9"/>
    <x v="0"/>
    <n v="1"/>
    <n v="0"/>
    <x v="1"/>
    <x v="1"/>
    <s v="Upper-Mid ($150-200k)"/>
  </r>
  <r>
    <x v="181"/>
    <x v="5"/>
    <x v="3"/>
    <x v="1"/>
    <x v="2"/>
    <x v="3"/>
    <n v="302000"/>
    <n v="140000"/>
    <n v="260000"/>
    <s v="London"/>
    <x v="1"/>
    <s v="Fully Remote"/>
    <s v="Big Tech (FAANG+)"/>
    <x v="5"/>
    <s v="Red Teaming|Risk Analysis|Cybersecurity|ML Security|Statistics|Git"/>
    <n v="8.1999999999999993"/>
    <x v="5"/>
    <x v="36"/>
    <n v="6.1"/>
    <x v="0"/>
    <n v="1"/>
    <n v="1"/>
    <x v="1"/>
    <x v="1"/>
    <s v="Elite (&gt;$300k)"/>
  </r>
  <r>
    <x v="182"/>
    <x v="15"/>
    <x v="0"/>
    <x v="3"/>
    <x v="2"/>
    <x v="3"/>
    <n v="145000"/>
    <n v="145000"/>
    <n v="280000"/>
    <s v="Beijing"/>
    <x v="6"/>
    <s v="Hybrid"/>
    <s v="Mid-size (501-5000)"/>
    <x v="8"/>
    <s v="Vector DBs|Embeddings|LLMs|Problem Solving|Research|Statistics"/>
    <n v="3.7"/>
    <x v="14"/>
    <x v="149"/>
    <n v="6"/>
    <x v="1"/>
    <n v="11"/>
    <n v="0"/>
    <x v="1"/>
    <x v="0"/>
    <s v="Mid ($100-150k)"/>
  </r>
  <r>
    <x v="183"/>
    <x v="13"/>
    <x v="5"/>
    <x v="0"/>
    <x v="2"/>
    <x v="1"/>
    <n v="205000"/>
    <n v="130000"/>
    <n v="260000"/>
    <s v="Tokyo"/>
    <x v="5"/>
    <s v="On-site"/>
    <s v="Big Tech (FAANG+)"/>
    <x v="3"/>
    <s v="Kubernetes|Monitoring|CI/CD|Python|Cloud|MLflow|Git"/>
    <n v="16.2"/>
    <x v="12"/>
    <x v="42"/>
    <n v="7.3"/>
    <x v="0"/>
    <n v="1"/>
    <n v="1"/>
    <x v="0"/>
    <x v="1"/>
    <s v="Senior ($200-300k)"/>
  </r>
  <r>
    <x v="184"/>
    <x v="0"/>
    <x v="0"/>
    <x v="1"/>
    <x v="8"/>
    <x v="3"/>
    <n v="155000"/>
    <n v="155000"/>
    <n v="290000"/>
    <s v="Bangalore"/>
    <x v="4"/>
    <s v="Fully Remote"/>
    <s v="Startup (1-50)"/>
    <x v="10"/>
    <s v="Tool Use|Python|Planning Systems|AutoGen|Problem Solving|Research"/>
    <n v="17.100000000000001"/>
    <x v="0"/>
    <x v="150"/>
    <n v="6.7"/>
    <x v="0"/>
    <n v="1"/>
    <n v="1"/>
    <x v="1"/>
    <x v="0"/>
    <s v="Upper-Mid ($150-200k)"/>
  </r>
  <r>
    <x v="185"/>
    <x v="2"/>
    <x v="0"/>
    <x v="0"/>
    <x v="4"/>
    <x v="2"/>
    <n v="160000"/>
    <n v="160000"/>
    <n v="300000"/>
    <s v="Beijing"/>
    <x v="6"/>
    <s v="Hybrid"/>
    <s v="Big Tech (FAANG+)"/>
    <x v="3"/>
    <s v="Fine-tuning|RAG|Vector DBs|LLM APIs|Linux|Problem Solving"/>
    <n v="9.1999999999999993"/>
    <x v="2"/>
    <x v="151"/>
    <n v="9.1999999999999993"/>
    <x v="0"/>
    <n v="2"/>
    <n v="1"/>
    <x v="1"/>
    <x v="0"/>
    <s v="Upper-Mid ($150-200k)"/>
  </r>
  <r>
    <x v="186"/>
    <x v="19"/>
    <x v="10"/>
    <x v="3"/>
    <x v="4"/>
    <x v="0"/>
    <n v="144000"/>
    <n v="140000"/>
    <n v="270000"/>
    <s v="Tokyo"/>
    <x v="5"/>
    <s v="Hybrid"/>
    <s v="SME (51-500)"/>
    <x v="11"/>
    <s v="Networking|Kubernetes|Storage|CUDA|Distributed Systems|Git|Statistics|Research"/>
    <n v="14.7"/>
    <x v="4"/>
    <x v="152"/>
    <n v="8.8000000000000007"/>
    <x v="0"/>
    <n v="2"/>
    <n v="0"/>
    <x v="1"/>
    <x v="1"/>
    <s v="Mid ($100-150k)"/>
  </r>
  <r>
    <x v="187"/>
    <x v="1"/>
    <x v="0"/>
    <x v="2"/>
    <x v="5"/>
    <x v="1"/>
    <n v="180000"/>
    <n v="90000"/>
    <n v="200000"/>
    <s v="San Francisco"/>
    <x v="0"/>
    <s v="Hybrid"/>
    <s v="Big Tech (FAANG+)"/>
    <x v="1"/>
    <s v="LLM APIs|Python|Documentation|Agile|Linux"/>
    <n v="5.0999999999999996"/>
    <x v="1"/>
    <x v="153"/>
    <n v="6.1"/>
    <x v="0"/>
    <n v="1"/>
    <n v="0"/>
    <x v="1"/>
    <x v="0"/>
    <s v="Upper-Mid ($150-200k)"/>
  </r>
  <r>
    <x v="188"/>
    <x v="15"/>
    <x v="0"/>
    <x v="1"/>
    <x v="0"/>
    <x v="0"/>
    <n v="234000"/>
    <n v="145000"/>
    <n v="280000"/>
    <s v="Tokyo"/>
    <x v="5"/>
    <s v="Fully Remote"/>
    <s v="SME (51-500)"/>
    <x v="1"/>
    <s v="LangChain|Python|Embeddings|Vector DBs|LLMs|Statistics|Leadership|SQL"/>
    <n v="4.4000000000000004"/>
    <x v="14"/>
    <x v="154"/>
    <n v="9.3000000000000007"/>
    <x v="0"/>
    <n v="1"/>
    <n v="1"/>
    <x v="1"/>
    <x v="0"/>
    <s v="Senior ($200-300k)"/>
  </r>
  <r>
    <x v="189"/>
    <x v="0"/>
    <x v="0"/>
    <x v="3"/>
    <x v="3"/>
    <x v="0"/>
    <n v="247000"/>
    <n v="155000"/>
    <n v="290000"/>
    <s v="Singapore"/>
    <x v="2"/>
    <s v="Hybrid"/>
    <s v="Big Tech (FAANG+)"/>
    <x v="6"/>
    <s v="LangChain|APIs|Python|SQL|Cloud"/>
    <n v="9.3000000000000007"/>
    <x v="0"/>
    <x v="155"/>
    <n v="7"/>
    <x v="1"/>
    <n v="12"/>
    <n v="0"/>
    <x v="1"/>
    <x v="0"/>
    <s v="Senior ($200-300k)"/>
  </r>
  <r>
    <x v="190"/>
    <x v="17"/>
    <x v="8"/>
    <x v="0"/>
    <x v="9"/>
    <x v="2"/>
    <n v="181000"/>
    <n v="157000"/>
    <n v="218000"/>
    <s v="New York"/>
    <x v="0"/>
    <s v="Fully Remote"/>
    <s v="SME (51-500)"/>
    <x v="0"/>
    <s v="Deep Learning|Leadership|Causal Inference|Python|Advanced Statistics|ML|Leadership"/>
    <n v="4.0999999999999996"/>
    <x v="11"/>
    <x v="71"/>
    <n v="7.5"/>
    <x v="1"/>
    <n v="4"/>
    <n v="1"/>
    <x v="1"/>
    <x v="1"/>
    <s v="Upper-Mid ($150-200k)"/>
  </r>
  <r>
    <x v="191"/>
    <x v="12"/>
    <x v="0"/>
    <x v="0"/>
    <x v="9"/>
    <x v="4"/>
    <n v="237000"/>
    <n v="160000"/>
    <n v="300000"/>
    <s v="Toronto"/>
    <x v="7"/>
    <s v="Hybrid"/>
    <s v="Mid-size (501-5000)"/>
    <x v="7"/>
    <s v="Fine-tuning|APIs|PyTorch|Python|Vision-Language Models|Statistics|Research|Communication"/>
    <n v="14.2"/>
    <x v="11"/>
    <x v="111"/>
    <n v="8.6"/>
    <x v="1"/>
    <n v="2"/>
    <n v="1"/>
    <x v="1"/>
    <x v="1"/>
    <s v="Senior ($200-300k)"/>
  </r>
  <r>
    <x v="192"/>
    <x v="2"/>
    <x v="0"/>
    <x v="0"/>
    <x v="6"/>
    <x v="1"/>
    <n v="299000"/>
    <n v="160000"/>
    <n v="300000"/>
    <s v="Berlin"/>
    <x v="12"/>
    <s v="On-site"/>
    <s v="Big Tech (FAANG+)"/>
    <x v="10"/>
    <s v="Prompt Engineering|Vector DBs|RAG|LLM APIs|Python|Communication|Statistics"/>
    <n v="3.7"/>
    <x v="2"/>
    <x v="156"/>
    <n v="8.9"/>
    <x v="0"/>
    <n v="3"/>
    <n v="1"/>
    <x v="0"/>
    <x v="0"/>
    <s v="Senior ($200-300k)"/>
  </r>
  <r>
    <x v="193"/>
    <x v="6"/>
    <x v="0"/>
    <x v="1"/>
    <x v="11"/>
    <x v="1"/>
    <n v="328000"/>
    <n v="180000"/>
    <n v="312000"/>
    <s v="Los Angeles"/>
    <x v="0"/>
    <s v="On-site"/>
    <s v="SME (51-500)"/>
    <x v="0"/>
    <s v="Distributed Systems|PyTorch|Python|Statistics|SQL"/>
    <n v="9.8000000000000007"/>
    <x v="0"/>
    <x v="157"/>
    <n v="6.3"/>
    <x v="0"/>
    <n v="2"/>
    <n v="1"/>
    <x v="0"/>
    <x v="1"/>
    <s v="Elite (&gt;$300k)"/>
  </r>
  <r>
    <x v="194"/>
    <x v="1"/>
    <x v="0"/>
    <x v="1"/>
    <x v="2"/>
    <x v="3"/>
    <n v="167000"/>
    <n v="90000"/>
    <n v="200000"/>
    <s v="Sydney"/>
    <x v="11"/>
    <s v="Fully Remote"/>
    <s v="Enterprise (5000+)"/>
    <x v="4"/>
    <s v="Testing|Prompt Design|Documentation|Problem Solving|SQL|Git"/>
    <n v="3.7"/>
    <x v="1"/>
    <x v="141"/>
    <n v="7.1"/>
    <x v="1"/>
    <n v="8"/>
    <n v="1"/>
    <x v="1"/>
    <x v="0"/>
    <s v="Upper-Mid ($150-200k)"/>
  </r>
  <r>
    <x v="195"/>
    <x v="2"/>
    <x v="0"/>
    <x v="1"/>
    <x v="3"/>
    <x v="0"/>
    <n v="248000"/>
    <n v="160000"/>
    <n v="300000"/>
    <s v="Sydney"/>
    <x v="11"/>
    <s v="On-site"/>
    <s v="Startup (1-50)"/>
    <x v="1"/>
    <s v="Prompt Engineering|Fine-tuning|LLM APIs|RAG|Vector DBs|Python|Leadership|Linux|Git"/>
    <n v="7.2"/>
    <x v="2"/>
    <x v="158"/>
    <n v="9.6"/>
    <x v="1"/>
    <n v="12"/>
    <n v="1"/>
    <x v="0"/>
    <x v="0"/>
    <s v="Senior ($200-300k)"/>
  </r>
  <r>
    <x v="196"/>
    <x v="10"/>
    <x v="0"/>
    <x v="1"/>
    <x v="3"/>
    <x v="2"/>
    <n v="203000"/>
    <n v="150000"/>
    <n v="295000"/>
    <s v="Singapore"/>
    <x v="2"/>
    <s v="Fully Remote"/>
    <s v="SME (51-500)"/>
    <x v="1"/>
    <s v="LLMs|Fine-tuning|GenAI APIs|Python|Problem Solving"/>
    <n v="17.3"/>
    <x v="9"/>
    <x v="159"/>
    <n v="7.8"/>
    <x v="0"/>
    <n v="2"/>
    <n v="1"/>
    <x v="1"/>
    <x v="0"/>
    <s v="Senior ($200-300k)"/>
  </r>
  <r>
    <x v="197"/>
    <x v="12"/>
    <x v="0"/>
    <x v="2"/>
    <x v="8"/>
    <x v="0"/>
    <n v="209000"/>
    <n v="160000"/>
    <n v="300000"/>
    <s v="Seattle"/>
    <x v="0"/>
    <s v="On-site"/>
    <s v="Mid-size (501-5000)"/>
    <x v="11"/>
    <s v="PyTorch|Vision-Language Models|Fine-tuning|Python|Agile"/>
    <n v="9.9"/>
    <x v="11"/>
    <x v="146"/>
    <n v="7.2"/>
    <x v="0"/>
    <n v="3"/>
    <n v="0"/>
    <x v="0"/>
    <x v="1"/>
    <s v="Senior ($200-300k)"/>
  </r>
  <r>
    <x v="198"/>
    <x v="14"/>
    <x v="6"/>
    <x v="0"/>
    <x v="3"/>
    <x v="4"/>
    <n v="216000"/>
    <n v="95000"/>
    <n v="180000"/>
    <s v="Austin"/>
    <x v="0"/>
    <s v="Hybrid"/>
    <s v="Big Tech (FAANG+)"/>
    <x v="9"/>
    <s v="Business Analysis|Python|SQL|Cloud|Agile|Statistics"/>
    <n v="11.3"/>
    <x v="13"/>
    <x v="160"/>
    <n v="7.7"/>
    <x v="0"/>
    <n v="2"/>
    <n v="1"/>
    <x v="1"/>
    <x v="1"/>
    <s v="Senior ($200-300k)"/>
  </r>
  <r>
    <x v="199"/>
    <x v="16"/>
    <x v="7"/>
    <x v="2"/>
    <x v="4"/>
    <x v="4"/>
    <n v="159000"/>
    <n v="125000"/>
    <n v="240000"/>
    <s v="Boston"/>
    <x v="0"/>
    <s v="Hybrid"/>
    <s v="SME (51-500)"/>
    <x v="1"/>
    <s v="C++|ROS|Control Systems|Computer Vision|SQL|Cloud|Communication"/>
    <n v="13.4"/>
    <x v="15"/>
    <x v="49"/>
    <n v="7.8"/>
    <x v="0"/>
    <n v="2"/>
    <n v="0"/>
    <x v="1"/>
    <x v="1"/>
    <s v="Upper-Mid ($150-200k)"/>
  </r>
  <r>
    <x v="200"/>
    <x v="2"/>
    <x v="0"/>
    <x v="0"/>
    <x v="8"/>
    <x v="0"/>
    <n v="318000"/>
    <n v="160000"/>
    <n v="300000"/>
    <s v="London"/>
    <x v="1"/>
    <s v="On-site"/>
    <s v="Big Tech (FAANG+)"/>
    <x v="5"/>
    <s v="RAG|Fine-tuning|Python|Communication|Linux|Leadership"/>
    <n v="7"/>
    <x v="2"/>
    <x v="161"/>
    <n v="9.3000000000000007"/>
    <x v="1"/>
    <n v="12"/>
    <n v="1"/>
    <x v="0"/>
    <x v="0"/>
    <s v="Elite (&gt;$300k)"/>
  </r>
  <r>
    <x v="201"/>
    <x v="18"/>
    <x v="9"/>
    <x v="3"/>
    <x v="6"/>
    <x v="3"/>
    <n v="110000"/>
    <n v="110000"/>
    <n v="210000"/>
    <s v="Singapore"/>
    <x v="2"/>
    <s v="Fully Remote"/>
    <s v="Startup (1-50)"/>
    <x v="5"/>
    <s v="Risk Assessment|AI Policy|Ethics Frameworks|Communication|Statistics|Cloud|Research"/>
    <n v="8.4"/>
    <x v="16"/>
    <x v="28"/>
    <n v="6.4"/>
    <x v="0"/>
    <n v="3"/>
    <n v="0"/>
    <x v="1"/>
    <x v="1"/>
    <s v="Mid ($100-150k)"/>
  </r>
  <r>
    <x v="202"/>
    <x v="22"/>
    <x v="0"/>
    <x v="3"/>
    <x v="6"/>
    <x v="3"/>
    <n v="176000"/>
    <n v="145000"/>
    <n v="280000"/>
    <s v="Berlin"/>
    <x v="12"/>
    <s v="Hybrid"/>
    <s v="Big Tech (FAANG+)"/>
    <x v="3"/>
    <s v="Image Processing|PyTorch|CNNs|Leadership"/>
    <n v="9.1"/>
    <x v="18"/>
    <x v="132"/>
    <n v="7.8"/>
    <x v="0"/>
    <n v="3"/>
    <n v="0"/>
    <x v="1"/>
    <x v="1"/>
    <s v="Upper-Mid ($150-200k)"/>
  </r>
  <r>
    <x v="203"/>
    <x v="17"/>
    <x v="8"/>
    <x v="3"/>
    <x v="9"/>
    <x v="1"/>
    <n v="157000"/>
    <n v="157000"/>
    <n v="218000"/>
    <s v="Zurich"/>
    <x v="13"/>
    <s v="Fully Remote"/>
    <s v="SME (51-500)"/>
    <x v="4"/>
    <s v="Advanced Statistics|Leadership|Deep Learning|ML|Git|Communication|Cloud"/>
    <n v="6.4"/>
    <x v="11"/>
    <x v="160"/>
    <n v="6.8"/>
    <x v="1"/>
    <n v="7"/>
    <n v="0"/>
    <x v="1"/>
    <x v="1"/>
    <s v="Upper-Mid ($150-200k)"/>
  </r>
  <r>
    <x v="204"/>
    <x v="20"/>
    <x v="0"/>
    <x v="3"/>
    <x v="3"/>
    <x v="2"/>
    <n v="100000"/>
    <n v="100000"/>
    <n v="250000"/>
    <s v="London"/>
    <x v="1"/>
    <s v="Hybrid"/>
    <s v="Startup (1-50)"/>
    <x v="9"/>
    <s v="Docker|Python|Cloud (AWS/GCP/Azure)|PyTorch|LLM Integration|Agile"/>
    <n v="12.1"/>
    <x v="9"/>
    <x v="162"/>
    <n v="8.4"/>
    <x v="0"/>
    <n v="3"/>
    <n v="0"/>
    <x v="1"/>
    <x v="1"/>
    <s v="Entry (&lt;$100k)"/>
  </r>
  <r>
    <x v="205"/>
    <x v="12"/>
    <x v="0"/>
    <x v="3"/>
    <x v="8"/>
    <x v="3"/>
    <n v="160000"/>
    <n v="160000"/>
    <n v="300000"/>
    <s v="Paris"/>
    <x v="10"/>
    <s v="Fully Remote"/>
    <s v="Startup (1-50)"/>
    <x v="9"/>
    <s v="Vision-Language Models|Fine-tuning|APIs|Python|Linux|Leadership|Agile"/>
    <n v="11.4"/>
    <x v="11"/>
    <x v="29"/>
    <n v="8.1999999999999993"/>
    <x v="1"/>
    <n v="7"/>
    <n v="0"/>
    <x v="1"/>
    <x v="1"/>
    <s v="Upper-Mid ($150-200k)"/>
  </r>
  <r>
    <x v="206"/>
    <x v="17"/>
    <x v="8"/>
    <x v="3"/>
    <x v="11"/>
    <x v="2"/>
    <n v="157000"/>
    <n v="157000"/>
    <n v="218000"/>
    <s v="Boston"/>
    <x v="0"/>
    <s v="Hybrid"/>
    <s v="Startup (1-50)"/>
    <x v="0"/>
    <s v="Deep Learning|Python|Advanced Statistics|ML|Problem Solving|SQL|Git"/>
    <n v="3.9"/>
    <x v="11"/>
    <x v="163"/>
    <n v="9.1"/>
    <x v="0"/>
    <n v="3"/>
    <n v="0"/>
    <x v="1"/>
    <x v="1"/>
    <s v="Upper-Mid ($150-200k)"/>
  </r>
  <r>
    <x v="207"/>
    <x v="0"/>
    <x v="0"/>
    <x v="1"/>
    <x v="0"/>
    <x v="4"/>
    <n v="348000"/>
    <n v="155000"/>
    <n v="290000"/>
    <s v="Amsterdam"/>
    <x v="9"/>
    <s v="Fully Remote"/>
    <s v="Big Tech (FAANG+)"/>
    <x v="5"/>
    <s v="LangChain|Tool Use|Planning Systems|APIs|Python|AutoGen|Agile"/>
    <n v="17.100000000000001"/>
    <x v="0"/>
    <x v="164"/>
    <n v="8.3000000000000007"/>
    <x v="0"/>
    <n v="2"/>
    <n v="1"/>
    <x v="1"/>
    <x v="0"/>
    <s v="Elite (&gt;$300k)"/>
  </r>
  <r>
    <x v="208"/>
    <x v="11"/>
    <x v="0"/>
    <x v="2"/>
    <x v="8"/>
    <x v="2"/>
    <n v="141000"/>
    <n v="141000"/>
    <n v="270000"/>
    <s v="San Francisco"/>
    <x v="0"/>
    <s v="Hybrid"/>
    <s v="Startup (1-50)"/>
    <x v="10"/>
    <s v="Neural Networks|TensorFlow|Python|CUDA|PyTorch|Problem Solving|Agile|Leadership"/>
    <n v="5.6"/>
    <x v="10"/>
    <x v="165"/>
    <n v="8.6"/>
    <x v="0"/>
    <n v="2"/>
    <n v="0"/>
    <x v="1"/>
    <x v="1"/>
    <s v="Mid ($100-150k)"/>
  </r>
  <r>
    <x v="209"/>
    <x v="16"/>
    <x v="7"/>
    <x v="3"/>
    <x v="10"/>
    <x v="4"/>
    <n v="166000"/>
    <n v="125000"/>
    <n v="240000"/>
    <s v="Tokyo"/>
    <x v="5"/>
    <s v="Fully Remote"/>
    <s v="Enterprise (5000+)"/>
    <x v="5"/>
    <s v="C++|Control Systems|Simulation|Computer Vision|Python|Linux|Git|Communication"/>
    <n v="17.5"/>
    <x v="15"/>
    <x v="94"/>
    <n v="7.9"/>
    <x v="0"/>
    <n v="3"/>
    <n v="0"/>
    <x v="1"/>
    <x v="1"/>
    <s v="Upper-Mid ($150-200k)"/>
  </r>
  <r>
    <x v="210"/>
    <x v="15"/>
    <x v="0"/>
    <x v="1"/>
    <x v="3"/>
    <x v="1"/>
    <n v="336000"/>
    <n v="145000"/>
    <n v="280000"/>
    <s v="New York"/>
    <x v="0"/>
    <s v="Hybrid"/>
    <s v="SME (51-500)"/>
    <x v="8"/>
    <s v="Search Systems|Embeddings|Python|LangChain|Vector DBs|LLMs|Git|SQL"/>
    <n v="9.9"/>
    <x v="14"/>
    <x v="166"/>
    <n v="8"/>
    <x v="0"/>
    <n v="3"/>
    <n v="1"/>
    <x v="1"/>
    <x v="0"/>
    <s v="Elite (&gt;$300k)"/>
  </r>
  <r>
    <x v="211"/>
    <x v="9"/>
    <x v="0"/>
    <x v="1"/>
    <x v="0"/>
    <x v="1"/>
    <n v="279000"/>
    <n v="120000"/>
    <n v="280000"/>
    <s v="Chicago"/>
    <x v="0"/>
    <s v="On-site"/>
    <s v="Enterprise (5000+)"/>
    <x v="4"/>
    <s v="Python|Kubernetes|PyTorch|TensorFlow|SQL"/>
    <n v="8"/>
    <x v="8"/>
    <x v="137"/>
    <n v="9.8000000000000007"/>
    <x v="0"/>
    <n v="2"/>
    <n v="1"/>
    <x v="0"/>
    <x v="1"/>
    <s v="Senior ($200-300k)"/>
  </r>
  <r>
    <x v="212"/>
    <x v="12"/>
    <x v="0"/>
    <x v="3"/>
    <x v="6"/>
    <x v="2"/>
    <n v="160000"/>
    <n v="160000"/>
    <n v="300000"/>
    <s v="Sydney"/>
    <x v="11"/>
    <s v="On-site"/>
    <s v="Enterprise (5000+)"/>
    <x v="6"/>
    <s v="Python|PyTorch|APIs|Problem Solving|Statistics|Leadership"/>
    <n v="17.600000000000001"/>
    <x v="11"/>
    <x v="21"/>
    <n v="7.5"/>
    <x v="1"/>
    <n v="3"/>
    <n v="0"/>
    <x v="0"/>
    <x v="1"/>
    <s v="Upper-Mid ($150-200k)"/>
  </r>
  <r>
    <x v="213"/>
    <x v="1"/>
    <x v="0"/>
    <x v="2"/>
    <x v="5"/>
    <x v="2"/>
    <n v="90000"/>
    <n v="90000"/>
    <n v="200000"/>
    <s v="Dubai"/>
    <x v="8"/>
    <s v="Fully Remote"/>
    <s v="Startup (1-50)"/>
    <x v="2"/>
    <s v="Testing|Documentation|Python|NLP|LLM APIs|Problem Solving|Research"/>
    <n v="9.6999999999999993"/>
    <x v="1"/>
    <x v="167"/>
    <n v="7.8"/>
    <x v="0"/>
    <n v="1"/>
    <n v="0"/>
    <x v="1"/>
    <x v="0"/>
    <s v="Entry (&lt;$100k)"/>
  </r>
  <r>
    <x v="214"/>
    <x v="18"/>
    <x v="9"/>
    <x v="2"/>
    <x v="0"/>
    <x v="3"/>
    <n v="113000"/>
    <n v="110000"/>
    <n v="210000"/>
    <s v="Boston"/>
    <x v="0"/>
    <s v="Hybrid"/>
    <s v="Mid-size (501-5000)"/>
    <x v="0"/>
    <s v="Risk Assessment|Ethics Frameworks|Research|Communication|AI Policy|Agile|Communication|Problem Solving"/>
    <n v="15.5"/>
    <x v="16"/>
    <x v="53"/>
    <n v="8.1"/>
    <x v="1"/>
    <n v="6"/>
    <n v="0"/>
    <x v="1"/>
    <x v="1"/>
    <s v="Mid ($100-150k)"/>
  </r>
  <r>
    <x v="215"/>
    <x v="3"/>
    <x v="1"/>
    <x v="0"/>
    <x v="0"/>
    <x v="0"/>
    <n v="264000"/>
    <n v="130000"/>
    <n v="220000"/>
    <s v="Los Angeles"/>
    <x v="0"/>
    <s v="On-site"/>
    <s v="Big Tech (FAANG+)"/>
    <x v="2"/>
    <s v="Airflow|Feature Stores|Spark|dbt|Communication|Agile|Problem Solving"/>
    <n v="10.5"/>
    <x v="3"/>
    <x v="168"/>
    <n v="6.6"/>
    <x v="1"/>
    <n v="2"/>
    <n v="1"/>
    <x v="0"/>
    <x v="1"/>
    <s v="Senior ($200-300k)"/>
  </r>
  <r>
    <x v="216"/>
    <x v="12"/>
    <x v="0"/>
    <x v="2"/>
    <x v="9"/>
    <x v="2"/>
    <n v="221000"/>
    <n v="160000"/>
    <n v="300000"/>
    <s v="Remote"/>
    <x v="3"/>
    <s v="Hybrid"/>
    <s v="Big Tech (FAANG+)"/>
    <x v="6"/>
    <s v="PyTorch|Fine-tuning|Vision-Language Models|APIs|Linux|Leadership"/>
    <n v="15.5"/>
    <x v="11"/>
    <x v="30"/>
    <n v="8"/>
    <x v="0"/>
    <n v="3"/>
    <n v="0"/>
    <x v="1"/>
    <x v="1"/>
    <s v="Senior ($200-300k)"/>
  </r>
  <r>
    <x v="217"/>
    <x v="9"/>
    <x v="0"/>
    <x v="1"/>
    <x v="2"/>
    <x v="0"/>
    <n v="257000"/>
    <n v="120000"/>
    <n v="280000"/>
    <s v="Dubai"/>
    <x v="8"/>
    <s v="Fully Remote"/>
    <s v="Mid-size (501-5000)"/>
    <x v="11"/>
    <s v="TensorFlow|Python|Kubernetes|SQL|MLOps|PyTorch|Git|Statistics|Leadership"/>
    <n v="9.9"/>
    <x v="8"/>
    <x v="144"/>
    <n v="7"/>
    <x v="0"/>
    <n v="2"/>
    <n v="1"/>
    <x v="1"/>
    <x v="1"/>
    <s v="Senior ($200-300k)"/>
  </r>
  <r>
    <x v="218"/>
    <x v="3"/>
    <x v="1"/>
    <x v="1"/>
    <x v="6"/>
    <x v="0"/>
    <n v="264000"/>
    <n v="130000"/>
    <n v="220000"/>
    <s v="Chicago"/>
    <x v="0"/>
    <s v="Hybrid"/>
    <s v="Enterprise (5000+)"/>
    <x v="8"/>
    <s v="SQL|Airflow|ETL|Feature Stores|Python|Linux|Communication|Git"/>
    <n v="10.4"/>
    <x v="3"/>
    <x v="169"/>
    <n v="7.4"/>
    <x v="1"/>
    <n v="12"/>
    <n v="1"/>
    <x v="1"/>
    <x v="1"/>
    <s v="Senior ($200-300k)"/>
  </r>
  <r>
    <x v="219"/>
    <x v="17"/>
    <x v="8"/>
    <x v="3"/>
    <x v="10"/>
    <x v="3"/>
    <n v="157000"/>
    <n v="157000"/>
    <n v="218000"/>
    <s v="Remote"/>
    <x v="3"/>
    <s v="Hybrid"/>
    <s v="Startup (1-50)"/>
    <x v="6"/>
    <s v="Causal Inference|Leadership|Python|Advanced Statistics|ML|Deep Learning|Communication"/>
    <n v="7.4"/>
    <x v="11"/>
    <x v="115"/>
    <n v="7.3"/>
    <x v="1"/>
    <n v="9"/>
    <n v="0"/>
    <x v="1"/>
    <x v="1"/>
    <s v="Upper-Mid ($150-200k)"/>
  </r>
  <r>
    <x v="220"/>
    <x v="16"/>
    <x v="7"/>
    <x v="2"/>
    <x v="8"/>
    <x v="3"/>
    <n v="125000"/>
    <n v="125000"/>
    <n v="240000"/>
    <s v="Berlin"/>
    <x v="12"/>
    <s v="Hybrid"/>
    <s v="Mid-size (501-5000)"/>
    <x v="3"/>
    <s v="C++|Simulation|Control Systems|Computer Vision|Research|Problem Solving|Git"/>
    <n v="12.6"/>
    <x v="15"/>
    <x v="42"/>
    <n v="9.3000000000000007"/>
    <x v="0"/>
    <n v="2"/>
    <n v="0"/>
    <x v="1"/>
    <x v="1"/>
    <s v="Mid ($100-150k)"/>
  </r>
  <r>
    <x v="221"/>
    <x v="1"/>
    <x v="0"/>
    <x v="1"/>
    <x v="3"/>
    <x v="1"/>
    <n v="90000"/>
    <n v="90000"/>
    <n v="200000"/>
    <s v="Beijing"/>
    <x v="6"/>
    <s v="Fully Remote"/>
    <s v="Big Tech (FAANG+)"/>
    <x v="6"/>
    <s v="Python|Documentation|Testing|NLP|Problem Solving|Cloud"/>
    <n v="8.5"/>
    <x v="1"/>
    <x v="98"/>
    <n v="8.8000000000000007"/>
    <x v="0"/>
    <n v="2"/>
    <n v="1"/>
    <x v="1"/>
    <x v="0"/>
    <s v="Entry (&lt;$100k)"/>
  </r>
  <r>
    <x v="222"/>
    <x v="1"/>
    <x v="0"/>
    <x v="2"/>
    <x v="3"/>
    <x v="0"/>
    <n v="106000"/>
    <n v="90000"/>
    <n v="200000"/>
    <s v="Chicago"/>
    <x v="0"/>
    <s v="Fully Remote"/>
    <s v="SME (51-500)"/>
    <x v="0"/>
    <s v="LLM APIs|Documentation|NLP|Git"/>
    <n v="6.3"/>
    <x v="1"/>
    <x v="125"/>
    <n v="8.9"/>
    <x v="0"/>
    <n v="1"/>
    <n v="0"/>
    <x v="1"/>
    <x v="0"/>
    <s v="Mid ($100-150k)"/>
  </r>
  <r>
    <x v="223"/>
    <x v="21"/>
    <x v="8"/>
    <x v="3"/>
    <x v="4"/>
    <x v="1"/>
    <n v="159000"/>
    <n v="138000"/>
    <n v="195000"/>
    <s v="Berlin"/>
    <x v="12"/>
    <s v="On-site"/>
    <s v="Big Tech (FAANG+)"/>
    <x v="9"/>
    <s v="Statistics|ML Algorithms|SQL|Data Visualization|Python|Leadership"/>
    <n v="7.6"/>
    <x v="17"/>
    <x v="170"/>
    <n v="7.2"/>
    <x v="0"/>
    <n v="3"/>
    <n v="0"/>
    <x v="0"/>
    <x v="1"/>
    <s v="Upper-Mid ($150-200k)"/>
  </r>
  <r>
    <x v="224"/>
    <x v="22"/>
    <x v="0"/>
    <x v="3"/>
    <x v="10"/>
    <x v="2"/>
    <n v="145000"/>
    <n v="145000"/>
    <n v="280000"/>
    <s v="Tokyo"/>
    <x v="5"/>
    <s v="Hybrid"/>
    <s v="Enterprise (5000+)"/>
    <x v="6"/>
    <s v="Image Processing|CUDA|PyTorch|OpenCV|CNNs|Python|Research"/>
    <n v="4.8"/>
    <x v="18"/>
    <x v="123"/>
    <n v="6"/>
    <x v="0"/>
    <n v="1"/>
    <n v="0"/>
    <x v="1"/>
    <x v="1"/>
    <s v="Mid ($100-150k)"/>
  </r>
  <r>
    <x v="225"/>
    <x v="3"/>
    <x v="1"/>
    <x v="2"/>
    <x v="4"/>
    <x v="3"/>
    <n v="130000"/>
    <n v="130000"/>
    <n v="220000"/>
    <s v="Paris"/>
    <x v="10"/>
    <s v="Hybrid"/>
    <s v="Enterprise (5000+)"/>
    <x v="10"/>
    <s v="Python|Airflow|SQL|Spark|ETL|Statistics|Communication|Cloud"/>
    <n v="10.5"/>
    <x v="3"/>
    <x v="171"/>
    <n v="8.5"/>
    <x v="0"/>
    <n v="1"/>
    <n v="0"/>
    <x v="1"/>
    <x v="1"/>
    <s v="Mid ($100-150k)"/>
  </r>
  <r>
    <x v="226"/>
    <x v="22"/>
    <x v="0"/>
    <x v="3"/>
    <x v="0"/>
    <x v="2"/>
    <n v="208000"/>
    <n v="145000"/>
    <n v="280000"/>
    <s v="Seattle"/>
    <x v="0"/>
    <s v="Hybrid"/>
    <s v="Enterprise (5000+)"/>
    <x v="9"/>
    <s v="CUDA|Image Processing|PyTorch|OpenCV|Python|Linux"/>
    <n v="7.5"/>
    <x v="18"/>
    <x v="172"/>
    <n v="7"/>
    <x v="0"/>
    <n v="1"/>
    <n v="0"/>
    <x v="1"/>
    <x v="1"/>
    <s v="Senior ($200-300k)"/>
  </r>
  <r>
    <x v="227"/>
    <x v="4"/>
    <x v="2"/>
    <x v="2"/>
    <x v="2"/>
    <x v="2"/>
    <n v="140000"/>
    <n v="140000"/>
    <n v="260000"/>
    <s v="San Francisco"/>
    <x v="0"/>
    <s v="On-site"/>
    <s v="SME (51-500)"/>
    <x v="9"/>
    <s v="Stakeholder Mgmt|AI Literacy|Data Analysis|Agile|SQL|Communication|Git"/>
    <n v="10.199999999999999"/>
    <x v="4"/>
    <x v="9"/>
    <n v="9"/>
    <x v="0"/>
    <n v="2"/>
    <n v="0"/>
    <x v="0"/>
    <x v="1"/>
    <s v="Mid ($100-150k)"/>
  </r>
  <r>
    <x v="228"/>
    <x v="8"/>
    <x v="4"/>
    <x v="2"/>
    <x v="12"/>
    <x v="0"/>
    <n v="199000"/>
    <n v="180000"/>
    <n v="320000"/>
    <s v="New York"/>
    <x v="0"/>
    <s v="Fully Remote"/>
    <s v="Mid-size (501-5000)"/>
    <x v="3"/>
    <s v="Leadership|Python|Cloud|Agile"/>
    <n v="9.1999999999999993"/>
    <x v="7"/>
    <x v="173"/>
    <n v="6.9"/>
    <x v="0"/>
    <n v="2"/>
    <n v="0"/>
    <x v="1"/>
    <x v="1"/>
    <s v="Upper-Mid ($150-200k)"/>
  </r>
  <r>
    <x v="229"/>
    <x v="7"/>
    <x v="0"/>
    <x v="1"/>
    <x v="8"/>
    <x v="1"/>
    <n v="326000"/>
    <n v="145000"/>
    <n v="290000"/>
    <s v="New York"/>
    <x v="0"/>
    <s v="Hybrid"/>
    <s v="SME (51-500)"/>
    <x v="2"/>
    <s v="LLMs|BERT|Hugging Face|Python|Text Processing|Transformers|Research|Agile"/>
    <n v="3.4"/>
    <x v="6"/>
    <x v="174"/>
    <n v="9.6999999999999993"/>
    <x v="1"/>
    <n v="7"/>
    <n v="1"/>
    <x v="1"/>
    <x v="1"/>
    <s v="Elite (&gt;$300k)"/>
  </r>
  <r>
    <x v="230"/>
    <x v="4"/>
    <x v="2"/>
    <x v="0"/>
    <x v="10"/>
    <x v="2"/>
    <n v="223000"/>
    <n v="140000"/>
    <n v="260000"/>
    <s v="San Francisco"/>
    <x v="0"/>
    <s v="On-site"/>
    <s v="SME (51-500)"/>
    <x v="0"/>
    <s v="Product Strategy|Data Analysis|Stakeholder Mgmt|Research|Linux|Statistics"/>
    <n v="13"/>
    <x v="4"/>
    <x v="175"/>
    <n v="7.3"/>
    <x v="0"/>
    <n v="3"/>
    <n v="1"/>
    <x v="0"/>
    <x v="1"/>
    <s v="Senior ($200-300k)"/>
  </r>
  <r>
    <x v="231"/>
    <x v="9"/>
    <x v="0"/>
    <x v="3"/>
    <x v="4"/>
    <x v="2"/>
    <n v="198000"/>
    <n v="120000"/>
    <n v="280000"/>
    <s v="New York"/>
    <x v="0"/>
    <s v="Fully Remote"/>
    <s v="Mid-size (501-5000)"/>
    <x v="6"/>
    <s v="PyTorch|TensorFlow|Kubernetes|SQL|Python|MLOps|Cloud|Statistics|Linux"/>
    <n v="12.9"/>
    <x v="8"/>
    <x v="176"/>
    <n v="7.1"/>
    <x v="0"/>
    <n v="1"/>
    <n v="0"/>
    <x v="1"/>
    <x v="1"/>
    <s v="Upper-Mid ($150-200k)"/>
  </r>
  <r>
    <x v="232"/>
    <x v="14"/>
    <x v="6"/>
    <x v="0"/>
    <x v="2"/>
    <x v="4"/>
    <n v="216000"/>
    <n v="95000"/>
    <n v="180000"/>
    <s v="Chicago"/>
    <x v="0"/>
    <s v="Hybrid"/>
    <s v="Big Tech (FAANG+)"/>
    <x v="4"/>
    <s v="Communication|Python|SQL|Business Analysis|Data Visualization|Agile|Leadership"/>
    <n v="15.8"/>
    <x v="13"/>
    <x v="177"/>
    <n v="8.8000000000000007"/>
    <x v="0"/>
    <n v="3"/>
    <n v="1"/>
    <x v="1"/>
    <x v="1"/>
    <s v="Senior ($200-300k)"/>
  </r>
  <r>
    <x v="233"/>
    <x v="3"/>
    <x v="1"/>
    <x v="0"/>
    <x v="8"/>
    <x v="1"/>
    <n v="130000"/>
    <n v="130000"/>
    <n v="220000"/>
    <s v="Beijing"/>
    <x v="6"/>
    <s v="On-site"/>
    <s v="SME (51-500)"/>
    <x v="0"/>
    <s v="Spark|dbt|Airflow|ETL|SQL|Feature Stores|Cloud|Statistics"/>
    <n v="14.6"/>
    <x v="3"/>
    <x v="178"/>
    <n v="9.6"/>
    <x v="1"/>
    <n v="1"/>
    <n v="1"/>
    <x v="0"/>
    <x v="1"/>
    <s v="Mid ($100-150k)"/>
  </r>
  <r>
    <x v="234"/>
    <x v="11"/>
    <x v="0"/>
    <x v="3"/>
    <x v="9"/>
    <x v="1"/>
    <n v="191000"/>
    <n v="141000"/>
    <n v="270000"/>
    <s v="Boston"/>
    <x v="0"/>
    <s v="Hybrid"/>
    <s v="Enterprise (5000+)"/>
    <x v="7"/>
    <s v="GPU Computing|CUDA|TensorFlow|Python|PyTorch|Neural Networks|Git|SQL|Communication"/>
    <n v="9.1999999999999993"/>
    <x v="10"/>
    <x v="179"/>
    <n v="9"/>
    <x v="1"/>
    <n v="9"/>
    <n v="0"/>
    <x v="1"/>
    <x v="1"/>
    <s v="Upper-Mid ($150-200k)"/>
  </r>
  <r>
    <x v="235"/>
    <x v="10"/>
    <x v="0"/>
    <x v="2"/>
    <x v="1"/>
    <x v="2"/>
    <n v="150000"/>
    <n v="150000"/>
    <n v="295000"/>
    <s v="Amsterdam"/>
    <x v="9"/>
    <s v="Hybrid"/>
    <s v="Mid-size (501-5000)"/>
    <x v="10"/>
    <s v="Fine-tuning|Python|GenAI APIs|Git|Problem Solving|Communication"/>
    <n v="9.9"/>
    <x v="9"/>
    <x v="180"/>
    <n v="8.1999999999999993"/>
    <x v="0"/>
    <n v="3"/>
    <n v="0"/>
    <x v="1"/>
    <x v="0"/>
    <s v="Mid ($100-150k)"/>
  </r>
  <r>
    <x v="236"/>
    <x v="10"/>
    <x v="0"/>
    <x v="2"/>
    <x v="4"/>
    <x v="2"/>
    <n v="150000"/>
    <n v="150000"/>
    <n v="295000"/>
    <s v="Tokyo"/>
    <x v="5"/>
    <s v="Fully Remote"/>
    <s v="Enterprise (5000+)"/>
    <x v="4"/>
    <s v="Python|GenAI APIs|LLMs|Fine-tuning|Diffusion Models|Deployment|Linux|Leadership|Research"/>
    <n v="13.5"/>
    <x v="9"/>
    <x v="181"/>
    <n v="9.1999999999999993"/>
    <x v="0"/>
    <n v="3"/>
    <n v="0"/>
    <x v="1"/>
    <x v="0"/>
    <s v="Mid ($100-150k)"/>
  </r>
  <r>
    <x v="237"/>
    <x v="1"/>
    <x v="0"/>
    <x v="3"/>
    <x v="2"/>
    <x v="2"/>
    <n v="129000"/>
    <n v="90000"/>
    <n v="200000"/>
    <s v="Toronto"/>
    <x v="7"/>
    <s v="On-site"/>
    <s v="Big Tech (FAANG+)"/>
    <x v="10"/>
    <s v="Python|NLP|Testing|LLM APIs|Prompt Design|SQL|Agile|Problem Solving"/>
    <n v="9.1999999999999993"/>
    <x v="1"/>
    <x v="182"/>
    <n v="9.6999999999999993"/>
    <x v="1"/>
    <n v="6"/>
    <n v="0"/>
    <x v="0"/>
    <x v="0"/>
    <s v="Mid ($100-150k)"/>
  </r>
  <r>
    <x v="238"/>
    <x v="20"/>
    <x v="0"/>
    <x v="3"/>
    <x v="2"/>
    <x v="1"/>
    <n v="139000"/>
    <n v="100000"/>
    <n v="250000"/>
    <s v="Berlin"/>
    <x v="12"/>
    <s v="On-site"/>
    <s v="Big Tech (FAANG+)"/>
    <x v="6"/>
    <s v="LLM Integration|Cloud (AWS/GCP/Azure)|Docker|Communication|Problem Solving|Agile"/>
    <n v="12"/>
    <x v="9"/>
    <x v="183"/>
    <n v="8.8000000000000007"/>
    <x v="0"/>
    <n v="2"/>
    <n v="0"/>
    <x v="0"/>
    <x v="1"/>
    <s v="Mid ($100-150k)"/>
  </r>
  <r>
    <x v="239"/>
    <x v="24"/>
    <x v="11"/>
    <x v="2"/>
    <x v="2"/>
    <x v="2"/>
    <n v="167000"/>
    <n v="115000"/>
    <n v="280000"/>
    <s v="Remote"/>
    <x v="3"/>
    <s v="Hybrid"/>
    <s v="Big Tech (FAANG+)"/>
    <x v="8"/>
    <s v="Python|Publishing|Research|PyTorch|Deep Learning|Mathematics|Communication"/>
    <n v="14"/>
    <x v="3"/>
    <x v="135"/>
    <n v="9"/>
    <x v="1"/>
    <n v="5"/>
    <n v="0"/>
    <x v="1"/>
    <x v="1"/>
    <s v="Upper-Mid ($150-200k)"/>
  </r>
  <r>
    <x v="240"/>
    <x v="5"/>
    <x v="3"/>
    <x v="3"/>
    <x v="8"/>
    <x v="4"/>
    <n v="242000"/>
    <n v="140000"/>
    <n v="260000"/>
    <s v="New York"/>
    <x v="0"/>
    <s v="Hybrid"/>
    <s v="Mid-size (501-5000)"/>
    <x v="2"/>
    <s v="Cybersecurity|Red Teaming|ML Security|Problem Solving|Leadership|Git"/>
    <n v="15.9"/>
    <x v="5"/>
    <x v="184"/>
    <n v="7.3"/>
    <x v="0"/>
    <n v="3"/>
    <n v="0"/>
    <x v="1"/>
    <x v="1"/>
    <s v="Senior ($200-300k)"/>
  </r>
  <r>
    <x v="241"/>
    <x v="9"/>
    <x v="0"/>
    <x v="0"/>
    <x v="9"/>
    <x v="1"/>
    <n v="193000"/>
    <n v="120000"/>
    <n v="280000"/>
    <s v="Tokyo"/>
    <x v="5"/>
    <s v="Hybrid"/>
    <s v="Enterprise (5000+)"/>
    <x v="10"/>
    <s v="PyTorch|MLOps|SQL|Kubernetes|Problem Solving|Communication"/>
    <n v="15.4"/>
    <x v="8"/>
    <x v="185"/>
    <n v="6.3"/>
    <x v="0"/>
    <n v="2"/>
    <n v="1"/>
    <x v="1"/>
    <x v="1"/>
    <s v="Upper-Mid ($150-200k)"/>
  </r>
  <r>
    <x v="242"/>
    <x v="12"/>
    <x v="0"/>
    <x v="2"/>
    <x v="4"/>
    <x v="3"/>
    <n v="160000"/>
    <n v="160000"/>
    <n v="300000"/>
    <s v="Bangalore"/>
    <x v="4"/>
    <s v="Hybrid"/>
    <s v="Startup (1-50)"/>
    <x v="4"/>
    <s v="PyTorch|Fine-tuning|APIs|SQL|Agile|Linux"/>
    <n v="17.899999999999999"/>
    <x v="11"/>
    <x v="186"/>
    <n v="6.6"/>
    <x v="1"/>
    <n v="4"/>
    <n v="0"/>
    <x v="1"/>
    <x v="1"/>
    <s v="Upper-Mid ($150-200k)"/>
  </r>
  <r>
    <x v="243"/>
    <x v="11"/>
    <x v="0"/>
    <x v="2"/>
    <x v="8"/>
    <x v="1"/>
    <n v="141000"/>
    <n v="141000"/>
    <n v="270000"/>
    <s v="Singapore"/>
    <x v="2"/>
    <s v="Hybrid"/>
    <s v="SME (51-500)"/>
    <x v="5"/>
    <s v="TensorFlow|Python|CUDA|Neural Networks|Agile"/>
    <n v="5.3"/>
    <x v="10"/>
    <x v="187"/>
    <n v="6.8"/>
    <x v="0"/>
    <n v="2"/>
    <n v="0"/>
    <x v="1"/>
    <x v="1"/>
    <s v="Mid ($100-150k)"/>
  </r>
  <r>
    <x v="244"/>
    <x v="16"/>
    <x v="7"/>
    <x v="3"/>
    <x v="3"/>
    <x v="1"/>
    <n v="217000"/>
    <n v="125000"/>
    <n v="240000"/>
    <s v="Remote"/>
    <x v="3"/>
    <s v="Fully Remote"/>
    <s v="Big Tech (FAANG+)"/>
    <x v="7"/>
    <s v="Python|ROS|C++|Control Systems|Simulation|Research"/>
    <n v="8.6999999999999993"/>
    <x v="15"/>
    <x v="188"/>
    <n v="8.5"/>
    <x v="0"/>
    <n v="2"/>
    <n v="0"/>
    <x v="1"/>
    <x v="1"/>
    <s v="Senior ($200-300k)"/>
  </r>
  <r>
    <x v="245"/>
    <x v="21"/>
    <x v="8"/>
    <x v="1"/>
    <x v="8"/>
    <x v="0"/>
    <n v="234000"/>
    <n v="138000"/>
    <n v="195000"/>
    <s v="San Francisco"/>
    <x v="0"/>
    <s v="Fully Remote"/>
    <s v="Mid-size (501-5000)"/>
    <x v="10"/>
    <s v="SQL|Scikit-learn|Python|Communication"/>
    <n v="6.9"/>
    <x v="17"/>
    <x v="189"/>
    <n v="6.2"/>
    <x v="0"/>
    <n v="2"/>
    <n v="1"/>
    <x v="1"/>
    <x v="1"/>
    <s v="Senior ($200-300k)"/>
  </r>
  <r>
    <x v="246"/>
    <x v="4"/>
    <x v="2"/>
    <x v="3"/>
    <x v="8"/>
    <x v="1"/>
    <n v="195000"/>
    <n v="140000"/>
    <n v="260000"/>
    <s v="Remote"/>
    <x v="3"/>
    <s v="Fully Remote"/>
    <s v="Enterprise (5000+)"/>
    <x v="3"/>
    <s v="Stakeholder Mgmt|AI Literacy|Data Analysis|Agile|Agile"/>
    <n v="16.100000000000001"/>
    <x v="4"/>
    <x v="190"/>
    <n v="8.1"/>
    <x v="1"/>
    <n v="3"/>
    <n v="0"/>
    <x v="1"/>
    <x v="1"/>
    <s v="Upper-Mid ($150-200k)"/>
  </r>
  <r>
    <x v="247"/>
    <x v="4"/>
    <x v="2"/>
    <x v="2"/>
    <x v="9"/>
    <x v="3"/>
    <n v="140000"/>
    <n v="140000"/>
    <n v="260000"/>
    <s v="Sydney"/>
    <x v="11"/>
    <s v="Hybrid"/>
    <s v="SME (51-500)"/>
    <x v="5"/>
    <s v="AI Literacy|Agile|Product Strategy|Stakeholder Mgmt|Data Analysis|Problem Solving|Statistics"/>
    <n v="10.1"/>
    <x v="4"/>
    <x v="191"/>
    <n v="8.1"/>
    <x v="0"/>
    <n v="1"/>
    <n v="0"/>
    <x v="1"/>
    <x v="1"/>
    <s v="Mid ($100-150k)"/>
  </r>
  <r>
    <x v="248"/>
    <x v="13"/>
    <x v="5"/>
    <x v="1"/>
    <x v="0"/>
    <x v="0"/>
    <n v="235000"/>
    <n v="130000"/>
    <n v="260000"/>
    <s v="Dubai"/>
    <x v="8"/>
    <s v="Fully Remote"/>
    <s v="SME (51-500)"/>
    <x v="9"/>
    <s v="Docker|Python|MLflow|Monitoring|Statistics"/>
    <n v="15.7"/>
    <x v="12"/>
    <x v="192"/>
    <n v="7.6"/>
    <x v="0"/>
    <n v="2"/>
    <n v="1"/>
    <x v="1"/>
    <x v="1"/>
    <s v="Senior ($200-300k)"/>
  </r>
  <r>
    <x v="249"/>
    <x v="10"/>
    <x v="0"/>
    <x v="3"/>
    <x v="1"/>
    <x v="1"/>
    <n v="150000"/>
    <n v="150000"/>
    <n v="295000"/>
    <s v="Berlin"/>
    <x v="12"/>
    <s v="On-site"/>
    <s v="SME (51-500)"/>
    <x v="4"/>
    <s v="LLMs|Deployment|GenAI APIs|Fine-tuning|Python|SQL"/>
    <n v="15.8"/>
    <x v="9"/>
    <x v="124"/>
    <n v="9.1999999999999993"/>
    <x v="0"/>
    <n v="3"/>
    <n v="0"/>
    <x v="0"/>
    <x v="0"/>
    <s v="Mid ($100-150k)"/>
  </r>
  <r>
    <x v="250"/>
    <x v="3"/>
    <x v="1"/>
    <x v="1"/>
    <x v="3"/>
    <x v="3"/>
    <n v="213000"/>
    <n v="130000"/>
    <n v="220000"/>
    <s v="Chicago"/>
    <x v="0"/>
    <s v="On-site"/>
    <s v="Enterprise (5000+)"/>
    <x v="2"/>
    <s v="Python|Airflow|ETL|SQL|Communication|Problem Solving"/>
    <n v="17.3"/>
    <x v="3"/>
    <x v="193"/>
    <n v="9.3000000000000007"/>
    <x v="0"/>
    <n v="2"/>
    <n v="1"/>
    <x v="0"/>
    <x v="1"/>
    <s v="Senior ($200-300k)"/>
  </r>
  <r>
    <x v="251"/>
    <x v="8"/>
    <x v="4"/>
    <x v="1"/>
    <x v="12"/>
    <x v="1"/>
    <n v="329000"/>
    <n v="180000"/>
    <n v="320000"/>
    <s v="London"/>
    <x v="1"/>
    <s v="Hybrid"/>
    <s v="Enterprise (5000+)"/>
    <x v="2"/>
    <s v="Python|Leadership|System Design|ML|Enterprise Architecture|Research|SQL"/>
    <n v="12"/>
    <x v="7"/>
    <x v="26"/>
    <n v="8.1"/>
    <x v="0"/>
    <n v="3"/>
    <n v="1"/>
    <x v="1"/>
    <x v="1"/>
    <s v="Elite (&gt;$300k)"/>
  </r>
  <r>
    <x v="252"/>
    <x v="9"/>
    <x v="0"/>
    <x v="1"/>
    <x v="0"/>
    <x v="3"/>
    <n v="307000"/>
    <n v="120000"/>
    <n v="280000"/>
    <s v="Los Angeles"/>
    <x v="0"/>
    <s v="Hybrid"/>
    <s v="Mid-size (501-5000)"/>
    <x v="8"/>
    <s v="PyTorch|MLOps|TensorFlow|Kubernetes|Python|SQL|Research|Git"/>
    <n v="9.8000000000000007"/>
    <x v="8"/>
    <x v="194"/>
    <n v="9.4"/>
    <x v="0"/>
    <n v="2"/>
    <n v="1"/>
    <x v="1"/>
    <x v="1"/>
    <s v="Elite (&gt;$300k)"/>
  </r>
  <r>
    <x v="253"/>
    <x v="1"/>
    <x v="0"/>
    <x v="2"/>
    <x v="1"/>
    <x v="0"/>
    <n v="98000"/>
    <n v="90000"/>
    <n v="200000"/>
    <s v="Toronto"/>
    <x v="7"/>
    <s v="Hybrid"/>
    <s v="Enterprise (5000+)"/>
    <x v="8"/>
    <s v="Prompt Design|Python|Testing|NLP|Documentation|LLM APIs|Git"/>
    <n v="5.5"/>
    <x v="1"/>
    <x v="195"/>
    <n v="7.5"/>
    <x v="0"/>
    <n v="3"/>
    <n v="0"/>
    <x v="1"/>
    <x v="0"/>
    <s v="Entry (&lt;$100k)"/>
  </r>
  <r>
    <x v="254"/>
    <x v="15"/>
    <x v="0"/>
    <x v="1"/>
    <x v="2"/>
    <x v="1"/>
    <n v="336000"/>
    <n v="145000"/>
    <n v="280000"/>
    <s v="Chicago"/>
    <x v="0"/>
    <s v="Hybrid"/>
    <s v="Enterprise (5000+)"/>
    <x v="6"/>
    <s v="Vector DBs|LangChain|Search Systems|LLMs|Cloud"/>
    <n v="8.4"/>
    <x v="14"/>
    <x v="196"/>
    <n v="8.4"/>
    <x v="1"/>
    <n v="3"/>
    <n v="1"/>
    <x v="1"/>
    <x v="0"/>
    <s v="Elite (&gt;$300k)"/>
  </r>
  <r>
    <x v="255"/>
    <x v="11"/>
    <x v="0"/>
    <x v="0"/>
    <x v="10"/>
    <x v="1"/>
    <n v="324000"/>
    <n v="141000"/>
    <n v="270000"/>
    <s v="San Francisco"/>
    <x v="0"/>
    <s v="Hybrid"/>
    <s v="Big Tech (FAANG+)"/>
    <x v="7"/>
    <s v="GPU Computing|Neural Networks|PyTorch|Problem Solving"/>
    <n v="5.9"/>
    <x v="10"/>
    <x v="179"/>
    <n v="8.3000000000000007"/>
    <x v="1"/>
    <n v="9"/>
    <n v="1"/>
    <x v="1"/>
    <x v="1"/>
    <s v="Elite (&gt;$300k)"/>
  </r>
  <r>
    <x v="256"/>
    <x v="22"/>
    <x v="0"/>
    <x v="3"/>
    <x v="3"/>
    <x v="1"/>
    <n v="145000"/>
    <n v="145000"/>
    <n v="280000"/>
    <s v="Beijing"/>
    <x v="6"/>
    <s v="Hybrid"/>
    <s v="Big Tech (FAANG+)"/>
    <x v="0"/>
    <s v="Python|OpenCV|CUDA|PyTorch|Image Processing|Git|SQL"/>
    <n v="4.2"/>
    <x v="18"/>
    <x v="197"/>
    <n v="8.3000000000000007"/>
    <x v="0"/>
    <n v="3"/>
    <n v="0"/>
    <x v="1"/>
    <x v="1"/>
    <s v="Mid ($100-150k)"/>
  </r>
  <r>
    <x v="257"/>
    <x v="14"/>
    <x v="6"/>
    <x v="1"/>
    <x v="1"/>
    <x v="2"/>
    <n v="118000"/>
    <n v="95000"/>
    <n v="180000"/>
    <s v="Tokyo"/>
    <x v="5"/>
    <s v="On-site"/>
    <s v="SME (51-500)"/>
    <x v="10"/>
    <s v="Business Analysis|Communication|Python|Git|Cloud"/>
    <n v="12.7"/>
    <x v="13"/>
    <x v="73"/>
    <n v="9.3000000000000007"/>
    <x v="1"/>
    <n v="7"/>
    <n v="1"/>
    <x v="0"/>
    <x v="1"/>
    <s v="Mid ($100-150k)"/>
  </r>
  <r>
    <x v="258"/>
    <x v="5"/>
    <x v="3"/>
    <x v="2"/>
    <x v="2"/>
    <x v="1"/>
    <n v="140000"/>
    <n v="140000"/>
    <n v="260000"/>
    <s v="Los Angeles"/>
    <x v="0"/>
    <s v="Hybrid"/>
    <s v="SME (51-500)"/>
    <x v="9"/>
    <s v="Risk Analysis|Python|ML Security|Red Teaming|Leadership|Statistics"/>
    <n v="13"/>
    <x v="5"/>
    <x v="198"/>
    <n v="7.9"/>
    <x v="0"/>
    <n v="3"/>
    <n v="0"/>
    <x v="1"/>
    <x v="1"/>
    <s v="Mid ($100-150k)"/>
  </r>
  <r>
    <x v="259"/>
    <x v="7"/>
    <x v="0"/>
    <x v="2"/>
    <x v="2"/>
    <x v="1"/>
    <n v="145000"/>
    <n v="145000"/>
    <n v="290000"/>
    <s v="Paris"/>
    <x v="10"/>
    <s v="On-site"/>
    <s v="SME (51-500)"/>
    <x v="7"/>
    <s v="Hugging Face|LLMs|Text Processing|Python|Statistics|Leadership"/>
    <n v="7.5"/>
    <x v="6"/>
    <x v="199"/>
    <n v="7"/>
    <x v="1"/>
    <n v="5"/>
    <n v="0"/>
    <x v="0"/>
    <x v="1"/>
    <s v="Mid ($100-150k)"/>
  </r>
  <r>
    <x v="260"/>
    <x v="5"/>
    <x v="3"/>
    <x v="2"/>
    <x v="6"/>
    <x v="1"/>
    <n v="140000"/>
    <n v="140000"/>
    <n v="260000"/>
    <s v="Tokyo"/>
    <x v="5"/>
    <s v="Fully Remote"/>
    <s v="Mid-size (501-5000)"/>
    <x v="5"/>
    <s v="Risk Analysis|Cybersecurity|Red Teaming|Python|Statistics|Research"/>
    <n v="14.5"/>
    <x v="5"/>
    <x v="160"/>
    <n v="8.4"/>
    <x v="0"/>
    <n v="3"/>
    <n v="0"/>
    <x v="1"/>
    <x v="1"/>
    <s v="Mid ($100-150k)"/>
  </r>
  <r>
    <x v="261"/>
    <x v="4"/>
    <x v="2"/>
    <x v="2"/>
    <x v="9"/>
    <x v="2"/>
    <n v="140000"/>
    <n v="140000"/>
    <n v="260000"/>
    <s v="Zurich"/>
    <x v="13"/>
    <s v="Fully Remote"/>
    <s v="Enterprise (5000+)"/>
    <x v="6"/>
    <s v="Stakeholder Mgmt|Product Strategy|Agile|AI Literacy|Data Analysis|Linux"/>
    <n v="11.4"/>
    <x v="4"/>
    <x v="200"/>
    <n v="8"/>
    <x v="1"/>
    <n v="10"/>
    <n v="0"/>
    <x v="1"/>
    <x v="1"/>
    <s v="Mid ($100-150k)"/>
  </r>
  <r>
    <x v="262"/>
    <x v="2"/>
    <x v="0"/>
    <x v="2"/>
    <x v="2"/>
    <x v="4"/>
    <n v="263000"/>
    <n v="160000"/>
    <n v="300000"/>
    <s v="Chicago"/>
    <x v="0"/>
    <s v="Fully Remote"/>
    <s v="Big Tech (FAANG+)"/>
    <x v="5"/>
    <s v="Fine-tuning|RAG|Python|Communication|Statistics"/>
    <n v="5.0999999999999996"/>
    <x v="2"/>
    <x v="201"/>
    <n v="6.7"/>
    <x v="1"/>
    <n v="1"/>
    <n v="0"/>
    <x v="1"/>
    <x v="0"/>
    <s v="Senior ($200-300k)"/>
  </r>
  <r>
    <x v="263"/>
    <x v="23"/>
    <x v="9"/>
    <x v="1"/>
    <x v="10"/>
    <x v="2"/>
    <n v="154000"/>
    <n v="100000"/>
    <n v="200000"/>
    <s v="Los Angeles"/>
    <x v="0"/>
    <s v="Hybrid"/>
    <s v="Startup (1-50)"/>
    <x v="10"/>
    <s v="Risk Management|Auditing|Legal Knowledge|Documentation|EU AI Act|Linux|Git"/>
    <n v="9.3000000000000007"/>
    <x v="19"/>
    <x v="202"/>
    <n v="7.7"/>
    <x v="0"/>
    <n v="3"/>
    <n v="1"/>
    <x v="1"/>
    <x v="1"/>
    <s v="Upper-Mid ($150-200k)"/>
  </r>
  <r>
    <x v="264"/>
    <x v="21"/>
    <x v="8"/>
    <x v="2"/>
    <x v="2"/>
    <x v="2"/>
    <n v="147000"/>
    <n v="138000"/>
    <n v="195000"/>
    <s v="San Francisco"/>
    <x v="0"/>
    <s v="Hybrid"/>
    <s v="Mid-size (501-5000)"/>
    <x v="6"/>
    <s v="Python|ML Algorithms|SQL|Data Visualization|Statistics|Scikit-learn|Communication|Problem Solving"/>
    <n v="5.2"/>
    <x v="17"/>
    <x v="203"/>
    <n v="6.4"/>
    <x v="1"/>
    <n v="5"/>
    <n v="0"/>
    <x v="1"/>
    <x v="1"/>
    <s v="Mid ($100-150k)"/>
  </r>
  <r>
    <x v="265"/>
    <x v="21"/>
    <x v="8"/>
    <x v="2"/>
    <x v="8"/>
    <x v="0"/>
    <n v="225000"/>
    <n v="138000"/>
    <n v="195000"/>
    <s v="San Francisco"/>
    <x v="0"/>
    <s v="Hybrid"/>
    <s v="Big Tech (FAANG+)"/>
    <x v="6"/>
    <s v="SQL|Statistics|ML Algorithms|Scikit-learn|Python|Git"/>
    <n v="5.4"/>
    <x v="17"/>
    <x v="204"/>
    <n v="6.5"/>
    <x v="0"/>
    <n v="3"/>
    <n v="0"/>
    <x v="1"/>
    <x v="1"/>
    <s v="Senior ($200-300k)"/>
  </r>
  <r>
    <x v="266"/>
    <x v="9"/>
    <x v="0"/>
    <x v="2"/>
    <x v="4"/>
    <x v="1"/>
    <n v="162000"/>
    <n v="120000"/>
    <n v="280000"/>
    <s v="Boston"/>
    <x v="0"/>
    <s v="Fully Remote"/>
    <s v="Enterprise (5000+)"/>
    <x v="0"/>
    <s v="Kubernetes|TensorFlow|SQL|PyTorch|Python|MLOps|Problem Solving|Linux"/>
    <n v="17.2"/>
    <x v="8"/>
    <x v="205"/>
    <n v="7.7"/>
    <x v="0"/>
    <n v="3"/>
    <n v="0"/>
    <x v="1"/>
    <x v="1"/>
    <s v="Upper-Mid ($150-200k)"/>
  </r>
  <r>
    <x v="267"/>
    <x v="23"/>
    <x v="9"/>
    <x v="3"/>
    <x v="0"/>
    <x v="0"/>
    <n v="137000"/>
    <n v="100000"/>
    <n v="200000"/>
    <s v="Zurich"/>
    <x v="13"/>
    <s v="On-site"/>
    <s v="Enterprise (5000+)"/>
    <x v="1"/>
    <s v="Legal Knowledge|Risk Management|Documentation|Auditing|Research|Problem Solving"/>
    <n v="9.1"/>
    <x v="19"/>
    <x v="160"/>
    <n v="9.1999999999999993"/>
    <x v="1"/>
    <n v="6"/>
    <n v="0"/>
    <x v="0"/>
    <x v="1"/>
    <s v="Mid ($100-150k)"/>
  </r>
  <r>
    <x v="268"/>
    <x v="15"/>
    <x v="0"/>
    <x v="2"/>
    <x v="1"/>
    <x v="3"/>
    <n v="145000"/>
    <n v="145000"/>
    <n v="280000"/>
    <s v="Bangalore"/>
    <x v="4"/>
    <s v="Hybrid"/>
    <s v="SME (51-500)"/>
    <x v="2"/>
    <s v="Search Systems|Python|LLMs|Embeddings|Vector DBs|Problem Solving|Cloud"/>
    <n v="6.8"/>
    <x v="14"/>
    <x v="206"/>
    <n v="7.5"/>
    <x v="1"/>
    <n v="12"/>
    <n v="0"/>
    <x v="1"/>
    <x v="0"/>
    <s v="Mid ($100-150k)"/>
  </r>
  <r>
    <x v="269"/>
    <x v="14"/>
    <x v="6"/>
    <x v="0"/>
    <x v="3"/>
    <x v="2"/>
    <n v="131000"/>
    <n v="95000"/>
    <n v="180000"/>
    <s v="Amsterdam"/>
    <x v="9"/>
    <s v="Fully Remote"/>
    <s v="Enterprise (5000+)"/>
    <x v="6"/>
    <s v="SQL|Data Visualization|Communication|Python|Business Analysis|Git|Research|Linux"/>
    <n v="8.6999999999999993"/>
    <x v="13"/>
    <x v="207"/>
    <n v="9.1"/>
    <x v="0"/>
    <n v="2"/>
    <n v="1"/>
    <x v="1"/>
    <x v="1"/>
    <s v="Mid ($100-150k)"/>
  </r>
  <r>
    <x v="270"/>
    <x v="4"/>
    <x v="2"/>
    <x v="2"/>
    <x v="6"/>
    <x v="0"/>
    <n v="142000"/>
    <n v="140000"/>
    <n v="260000"/>
    <s v="Remote"/>
    <x v="3"/>
    <s v="On-site"/>
    <s v="Startup (1-50)"/>
    <x v="2"/>
    <s v="Product Strategy|AI Literacy|Stakeholder Mgmt|Data Analysis|Agile|Agile|Cloud|Research"/>
    <n v="16.8"/>
    <x v="4"/>
    <x v="208"/>
    <n v="9"/>
    <x v="0"/>
    <n v="2"/>
    <n v="0"/>
    <x v="0"/>
    <x v="1"/>
    <s v="Mid ($100-150k)"/>
  </r>
  <r>
    <x v="271"/>
    <x v="19"/>
    <x v="10"/>
    <x v="2"/>
    <x v="8"/>
    <x v="2"/>
    <n v="140000"/>
    <n v="140000"/>
    <n v="270000"/>
    <s v="Singapore"/>
    <x v="2"/>
    <s v="Hybrid"/>
    <s v="Startup (1-50)"/>
    <x v="8"/>
    <s v="CUDA|Cloud|Networking|Distributed Systems|SQL"/>
    <n v="17.8"/>
    <x v="4"/>
    <x v="207"/>
    <n v="7.1"/>
    <x v="1"/>
    <n v="7"/>
    <n v="0"/>
    <x v="1"/>
    <x v="1"/>
    <s v="Mid ($100-150k)"/>
  </r>
  <r>
    <x v="272"/>
    <x v="19"/>
    <x v="10"/>
    <x v="0"/>
    <x v="8"/>
    <x v="3"/>
    <n v="140000"/>
    <n v="140000"/>
    <n v="270000"/>
    <s v="Bangalore"/>
    <x v="4"/>
    <s v="Fully Remote"/>
    <s v="Enterprise (5000+)"/>
    <x v="3"/>
    <s v="Networking|Kubernetes|Distributed Systems|Cloud|Leadership"/>
    <n v="11.6"/>
    <x v="4"/>
    <x v="152"/>
    <n v="7.1"/>
    <x v="0"/>
    <n v="1"/>
    <n v="1"/>
    <x v="1"/>
    <x v="1"/>
    <s v="Mid ($100-150k)"/>
  </r>
  <r>
    <x v="273"/>
    <x v="17"/>
    <x v="8"/>
    <x v="2"/>
    <x v="12"/>
    <x v="0"/>
    <n v="166000"/>
    <n v="157000"/>
    <n v="218000"/>
    <s v="San Francisco"/>
    <x v="0"/>
    <s v="Hybrid"/>
    <s v="Startup (1-50)"/>
    <x v="5"/>
    <s v="Advanced Statistics|Python|Leadership|Causal Inference|ML|Deep Learning|Problem Solving|Cloud|Linux"/>
    <n v="6.9"/>
    <x v="11"/>
    <x v="29"/>
    <n v="7.4"/>
    <x v="1"/>
    <n v="10"/>
    <n v="0"/>
    <x v="1"/>
    <x v="1"/>
    <s v="Upper-Mid ($150-200k)"/>
  </r>
  <r>
    <x v="274"/>
    <x v="20"/>
    <x v="0"/>
    <x v="3"/>
    <x v="8"/>
    <x v="2"/>
    <n v="100000"/>
    <n v="100000"/>
    <n v="250000"/>
    <s v="Bangalore"/>
    <x v="4"/>
    <s v="Fully Remote"/>
    <s v="Enterprise (5000+)"/>
    <x v="5"/>
    <s v="Cloud (AWS/GCP/Azure)|Python|PyTorch|LLM Integration|Docker|Problem Solving"/>
    <n v="8.8000000000000007"/>
    <x v="9"/>
    <x v="113"/>
    <n v="8"/>
    <x v="0"/>
    <n v="2"/>
    <n v="0"/>
    <x v="1"/>
    <x v="1"/>
    <s v="Entry (&lt;$100k)"/>
  </r>
  <r>
    <x v="275"/>
    <x v="8"/>
    <x v="4"/>
    <x v="2"/>
    <x v="0"/>
    <x v="0"/>
    <n v="180000"/>
    <n v="180000"/>
    <n v="320000"/>
    <s v="Dubai"/>
    <x v="8"/>
    <s v="Hybrid"/>
    <s v="Startup (1-50)"/>
    <x v="5"/>
    <s v="Leadership|System Design|ML|Python|Enterprise Architecture|Research|Leadership"/>
    <n v="11.3"/>
    <x v="7"/>
    <x v="209"/>
    <n v="9.6999999999999993"/>
    <x v="1"/>
    <n v="3"/>
    <n v="0"/>
    <x v="1"/>
    <x v="1"/>
    <s v="Upper-Mid ($150-200k)"/>
  </r>
  <r>
    <x v="276"/>
    <x v="9"/>
    <x v="0"/>
    <x v="0"/>
    <x v="4"/>
    <x v="1"/>
    <n v="120000"/>
    <n v="120000"/>
    <n v="280000"/>
    <s v="Beijing"/>
    <x v="6"/>
    <s v="Hybrid"/>
    <s v="Mid-size (501-5000)"/>
    <x v="9"/>
    <s v="SQL|TensorFlow|Python|Research|Git"/>
    <n v="16.5"/>
    <x v="8"/>
    <x v="210"/>
    <n v="6.5"/>
    <x v="1"/>
    <n v="5"/>
    <n v="1"/>
    <x v="1"/>
    <x v="1"/>
    <s v="Mid ($100-150k)"/>
  </r>
  <r>
    <x v="277"/>
    <x v="20"/>
    <x v="0"/>
    <x v="3"/>
    <x v="0"/>
    <x v="2"/>
    <n v="205000"/>
    <n v="100000"/>
    <n v="250000"/>
    <s v="Boston"/>
    <x v="0"/>
    <s v="Hybrid"/>
    <s v="Big Tech (FAANG+)"/>
    <x v="1"/>
    <s v="Cloud (AWS/GCP/Azure)|LLM Integration|PyTorch|Python|Linux|Leadership"/>
    <n v="8.8000000000000007"/>
    <x v="9"/>
    <x v="211"/>
    <n v="9.5"/>
    <x v="1"/>
    <n v="8"/>
    <n v="0"/>
    <x v="1"/>
    <x v="1"/>
    <s v="Senior ($200-300k)"/>
  </r>
  <r>
    <x v="278"/>
    <x v="23"/>
    <x v="9"/>
    <x v="3"/>
    <x v="4"/>
    <x v="3"/>
    <n v="118000"/>
    <n v="100000"/>
    <n v="200000"/>
    <s v="Amsterdam"/>
    <x v="9"/>
    <s v="Hybrid"/>
    <s v="Enterprise (5000+)"/>
    <x v="9"/>
    <s v="Auditing|Documentation|EU AI Act|Agile|Git|SQL"/>
    <n v="12.8"/>
    <x v="19"/>
    <x v="0"/>
    <n v="9.6"/>
    <x v="0"/>
    <n v="1"/>
    <n v="0"/>
    <x v="1"/>
    <x v="1"/>
    <s v="Mid ($100-150k)"/>
  </r>
  <r>
    <x v="279"/>
    <x v="2"/>
    <x v="0"/>
    <x v="0"/>
    <x v="4"/>
    <x v="0"/>
    <n v="263000"/>
    <n v="160000"/>
    <n v="300000"/>
    <s v="Sydney"/>
    <x v="11"/>
    <s v="Fully Remote"/>
    <s v="Enterprise (5000+)"/>
    <x v="0"/>
    <s v="Fine-tuning|RAG|Prompt Engineering|Statistics|Leadership|SQL"/>
    <n v="7.5"/>
    <x v="2"/>
    <x v="212"/>
    <n v="7.6"/>
    <x v="0"/>
    <n v="2"/>
    <n v="1"/>
    <x v="1"/>
    <x v="0"/>
    <s v="Senior ($200-300k)"/>
  </r>
  <r>
    <x v="280"/>
    <x v="4"/>
    <x v="2"/>
    <x v="2"/>
    <x v="0"/>
    <x v="4"/>
    <n v="140000"/>
    <n v="140000"/>
    <n v="260000"/>
    <s v="Berlin"/>
    <x v="12"/>
    <s v="On-site"/>
    <s v="Mid-size (501-5000)"/>
    <x v="7"/>
    <s v="AI Literacy|Data Analysis|Stakeholder Mgmt|Agile|Linux|Statistics|SQL"/>
    <n v="8.6999999999999993"/>
    <x v="4"/>
    <x v="213"/>
    <n v="8"/>
    <x v="0"/>
    <n v="2"/>
    <n v="0"/>
    <x v="0"/>
    <x v="1"/>
    <s v="Mid ($100-150k)"/>
  </r>
  <r>
    <x v="281"/>
    <x v="7"/>
    <x v="0"/>
    <x v="3"/>
    <x v="2"/>
    <x v="1"/>
    <n v="145000"/>
    <n v="145000"/>
    <n v="290000"/>
    <s v="Paris"/>
    <x v="10"/>
    <s v="Hybrid"/>
    <s v="Mid-size (501-5000)"/>
    <x v="3"/>
    <s v="Hugging Face|Transformers|Python|Git|Problem Solving|Linux"/>
    <n v="9.3000000000000007"/>
    <x v="6"/>
    <x v="161"/>
    <n v="9.6999999999999993"/>
    <x v="0"/>
    <n v="3"/>
    <n v="0"/>
    <x v="1"/>
    <x v="1"/>
    <s v="Mid ($100-150k)"/>
  </r>
  <r>
    <x v="282"/>
    <x v="24"/>
    <x v="11"/>
    <x v="1"/>
    <x v="6"/>
    <x v="1"/>
    <n v="209000"/>
    <n v="115000"/>
    <n v="280000"/>
    <s v="Berlin"/>
    <x v="12"/>
    <s v="Hybrid"/>
    <s v="Mid-size (501-5000)"/>
    <x v="3"/>
    <s v="Publishing|Research|Mathematics|Python|Deep Learning|PyTorch|Cloud"/>
    <n v="8.6"/>
    <x v="3"/>
    <x v="42"/>
    <n v="7"/>
    <x v="0"/>
    <n v="2"/>
    <n v="1"/>
    <x v="1"/>
    <x v="1"/>
    <s v="Senior ($200-300k)"/>
  </r>
  <r>
    <x v="283"/>
    <x v="11"/>
    <x v="0"/>
    <x v="3"/>
    <x v="9"/>
    <x v="3"/>
    <n v="141000"/>
    <n v="141000"/>
    <n v="270000"/>
    <s v="Beijing"/>
    <x v="6"/>
    <s v="On-site"/>
    <s v="Enterprise (5000+)"/>
    <x v="0"/>
    <s v="GPU Computing|Python|Neural Networks|TensorFlow|Git|SQL"/>
    <n v="8.1"/>
    <x v="10"/>
    <x v="214"/>
    <n v="6.1"/>
    <x v="0"/>
    <n v="3"/>
    <n v="0"/>
    <x v="0"/>
    <x v="1"/>
    <s v="Mid ($100-150k)"/>
  </r>
  <r>
    <x v="284"/>
    <x v="0"/>
    <x v="0"/>
    <x v="1"/>
    <x v="2"/>
    <x v="4"/>
    <n v="348000"/>
    <n v="155000"/>
    <n v="290000"/>
    <s v="San Francisco"/>
    <x v="0"/>
    <s v="Hybrid"/>
    <s v="Startup (1-50)"/>
    <x v="1"/>
    <s v="Planning Systems|Python|Tool Use|LangChain|AutoGen|APIs|Git|Leadership|Communication"/>
    <n v="14.9"/>
    <x v="0"/>
    <x v="215"/>
    <n v="6.5"/>
    <x v="0"/>
    <n v="2"/>
    <n v="1"/>
    <x v="1"/>
    <x v="0"/>
    <s v="Elite (&gt;$300k)"/>
  </r>
  <r>
    <x v="285"/>
    <x v="4"/>
    <x v="2"/>
    <x v="2"/>
    <x v="10"/>
    <x v="1"/>
    <n v="140000"/>
    <n v="140000"/>
    <n v="260000"/>
    <s v="Paris"/>
    <x v="10"/>
    <s v="Fully Remote"/>
    <s v="Enterprise (5000+)"/>
    <x v="1"/>
    <s v="Product Strategy|Agile|AI Literacy|Data Analysis|Leadership"/>
    <n v="14.6"/>
    <x v="4"/>
    <x v="208"/>
    <n v="7.5"/>
    <x v="1"/>
    <n v="12"/>
    <n v="0"/>
    <x v="1"/>
    <x v="1"/>
    <s v="Mid ($100-150k)"/>
  </r>
  <r>
    <x v="286"/>
    <x v="3"/>
    <x v="1"/>
    <x v="1"/>
    <x v="3"/>
    <x v="0"/>
    <n v="203000"/>
    <n v="130000"/>
    <n v="220000"/>
    <s v="Remote"/>
    <x v="3"/>
    <s v="Hybrid"/>
    <s v="Startup (1-50)"/>
    <x v="10"/>
    <s v="Feature Stores|dbt|Spark|Cloud|Git"/>
    <n v="13"/>
    <x v="3"/>
    <x v="216"/>
    <n v="9.1"/>
    <x v="0"/>
    <n v="1"/>
    <n v="1"/>
    <x v="1"/>
    <x v="1"/>
    <s v="Senior ($200-300k)"/>
  </r>
  <r>
    <x v="287"/>
    <x v="9"/>
    <x v="0"/>
    <x v="0"/>
    <x v="8"/>
    <x v="1"/>
    <n v="153000"/>
    <n v="120000"/>
    <n v="280000"/>
    <s v="Toronto"/>
    <x v="7"/>
    <s v="Hybrid"/>
    <s v="Startup (1-50)"/>
    <x v="5"/>
    <s v="SQL|Kubernetes|PyTorch|TensorFlow|Python|MLOps|Linux"/>
    <n v="12.7"/>
    <x v="8"/>
    <x v="183"/>
    <n v="6.2"/>
    <x v="0"/>
    <n v="1"/>
    <n v="1"/>
    <x v="1"/>
    <x v="1"/>
    <s v="Upper-Mid ($150-200k)"/>
  </r>
  <r>
    <x v="288"/>
    <x v="20"/>
    <x v="0"/>
    <x v="0"/>
    <x v="3"/>
    <x v="1"/>
    <n v="160000"/>
    <n v="100000"/>
    <n v="250000"/>
    <s v="Chicago"/>
    <x v="0"/>
    <s v="Hybrid"/>
    <s v="Startup (1-50)"/>
    <x v="3"/>
    <s v="Python|Docker|PyTorch|LLM Integration|Cloud (AWS/GCP/Azure)|Communication"/>
    <n v="16.399999999999999"/>
    <x v="9"/>
    <x v="217"/>
    <n v="7.5"/>
    <x v="1"/>
    <n v="11"/>
    <n v="1"/>
    <x v="1"/>
    <x v="1"/>
    <s v="Upper-Mid ($150-200k)"/>
  </r>
  <r>
    <x v="289"/>
    <x v="14"/>
    <x v="6"/>
    <x v="0"/>
    <x v="8"/>
    <x v="0"/>
    <n v="131000"/>
    <n v="95000"/>
    <n v="180000"/>
    <s v="Tokyo"/>
    <x v="5"/>
    <s v="Hybrid"/>
    <s v="SME (51-500)"/>
    <x v="9"/>
    <s v="Business Analysis|SQL|Data Visualization|Linux|Cloud"/>
    <n v="13.5"/>
    <x v="13"/>
    <x v="218"/>
    <n v="9.5"/>
    <x v="1"/>
    <n v="2"/>
    <n v="1"/>
    <x v="1"/>
    <x v="1"/>
    <s v="Mid ($100-150k)"/>
  </r>
  <r>
    <x v="290"/>
    <x v="0"/>
    <x v="0"/>
    <x v="3"/>
    <x v="1"/>
    <x v="1"/>
    <n v="155000"/>
    <n v="155000"/>
    <n v="290000"/>
    <s v="Beijing"/>
    <x v="6"/>
    <s v="Fully Remote"/>
    <s v="Enterprise (5000+)"/>
    <x v="8"/>
    <s v="Python|LangChain|APIs|Problem Solving|Agile|Cloud"/>
    <n v="15.7"/>
    <x v="0"/>
    <x v="150"/>
    <n v="6.8"/>
    <x v="0"/>
    <n v="3"/>
    <n v="0"/>
    <x v="1"/>
    <x v="0"/>
    <s v="Upper-Mid ($150-200k)"/>
  </r>
  <r>
    <x v="291"/>
    <x v="8"/>
    <x v="4"/>
    <x v="3"/>
    <x v="7"/>
    <x v="2"/>
    <n v="180000"/>
    <n v="180000"/>
    <n v="320000"/>
    <s v="Amsterdam"/>
    <x v="9"/>
    <s v="Hybrid"/>
    <s v="SME (51-500)"/>
    <x v="1"/>
    <s v="Enterprise Architecture|Python|System Design|ML|Statistics|Cloud"/>
    <n v="9.9"/>
    <x v="7"/>
    <x v="219"/>
    <n v="9.6999999999999993"/>
    <x v="0"/>
    <n v="3"/>
    <n v="0"/>
    <x v="1"/>
    <x v="1"/>
    <s v="Upper-Mid ($150-200k)"/>
  </r>
  <r>
    <x v="292"/>
    <x v="5"/>
    <x v="3"/>
    <x v="3"/>
    <x v="2"/>
    <x v="4"/>
    <n v="168000"/>
    <n v="140000"/>
    <n v="260000"/>
    <s v="London"/>
    <x v="1"/>
    <s v="Hybrid"/>
    <s v="Enterprise (5000+)"/>
    <x v="1"/>
    <s v="Red Teaming|Risk Analysis|Cybersecurity|SQL"/>
    <n v="10.9"/>
    <x v="5"/>
    <x v="17"/>
    <n v="7.3"/>
    <x v="0"/>
    <n v="2"/>
    <n v="0"/>
    <x v="1"/>
    <x v="1"/>
    <s v="Upper-Mid ($150-200k)"/>
  </r>
  <r>
    <x v="293"/>
    <x v="9"/>
    <x v="0"/>
    <x v="3"/>
    <x v="10"/>
    <x v="0"/>
    <n v="189000"/>
    <n v="120000"/>
    <n v="280000"/>
    <s v="Boston"/>
    <x v="0"/>
    <s v="Fully Remote"/>
    <s v="Startup (1-50)"/>
    <x v="2"/>
    <s v="Python|PyTorch|MLOps|Problem Solving|Statistics|Cloud"/>
    <n v="17"/>
    <x v="8"/>
    <x v="220"/>
    <n v="6.4"/>
    <x v="1"/>
    <n v="4"/>
    <n v="0"/>
    <x v="1"/>
    <x v="1"/>
    <s v="Upper-Mid ($150-200k)"/>
  </r>
  <r>
    <x v="294"/>
    <x v="10"/>
    <x v="0"/>
    <x v="1"/>
    <x v="8"/>
    <x v="0"/>
    <n v="226000"/>
    <n v="150000"/>
    <n v="295000"/>
    <s v="Amsterdam"/>
    <x v="9"/>
    <s v="Fully Remote"/>
    <s v="SME (51-500)"/>
    <x v="5"/>
    <s v="Python|Diffusion Models|GenAI APIs|Deployment|LLMs|Fine-tuning|Statistics|Linux"/>
    <n v="14.3"/>
    <x v="9"/>
    <x v="221"/>
    <n v="6.8"/>
    <x v="1"/>
    <n v="12"/>
    <n v="1"/>
    <x v="1"/>
    <x v="0"/>
    <s v="Senior ($200-300k)"/>
  </r>
  <r>
    <x v="295"/>
    <x v="14"/>
    <x v="6"/>
    <x v="3"/>
    <x v="4"/>
    <x v="1"/>
    <n v="158000"/>
    <n v="95000"/>
    <n v="180000"/>
    <s v="New York"/>
    <x v="0"/>
    <s v="Hybrid"/>
    <s v="Mid-size (501-5000)"/>
    <x v="0"/>
    <s v="Python|Business Analysis|SQL|Communication|Linux|Problem Solving|Communication"/>
    <n v="13.2"/>
    <x v="13"/>
    <x v="222"/>
    <n v="6.8"/>
    <x v="0"/>
    <n v="2"/>
    <n v="0"/>
    <x v="1"/>
    <x v="1"/>
    <s v="Upper-Mid ($150-200k)"/>
  </r>
  <r>
    <x v="296"/>
    <x v="22"/>
    <x v="0"/>
    <x v="3"/>
    <x v="8"/>
    <x v="0"/>
    <n v="270000"/>
    <n v="145000"/>
    <n v="280000"/>
    <s v="San Francisco"/>
    <x v="0"/>
    <s v="Fully Remote"/>
    <s v="Enterprise (5000+)"/>
    <x v="8"/>
    <s v="Image Processing|Python|CNNs|CUDA|Research"/>
    <n v="3.2"/>
    <x v="18"/>
    <x v="80"/>
    <n v="7.8"/>
    <x v="0"/>
    <n v="1"/>
    <n v="0"/>
    <x v="1"/>
    <x v="1"/>
    <s v="Senior ($200-300k)"/>
  </r>
  <r>
    <x v="297"/>
    <x v="8"/>
    <x v="4"/>
    <x v="2"/>
    <x v="12"/>
    <x v="2"/>
    <n v="180000"/>
    <n v="180000"/>
    <n v="320000"/>
    <s v="Remote"/>
    <x v="3"/>
    <s v="Hybrid"/>
    <s v="SME (51-500)"/>
    <x v="7"/>
    <s v="Cloud|ML|Leadership|System Design|Git|SQL|Research"/>
    <n v="15"/>
    <x v="7"/>
    <x v="46"/>
    <n v="8.8000000000000007"/>
    <x v="1"/>
    <n v="8"/>
    <n v="0"/>
    <x v="1"/>
    <x v="1"/>
    <s v="Upper-Mid ($150-200k)"/>
  </r>
  <r>
    <x v="298"/>
    <x v="8"/>
    <x v="4"/>
    <x v="3"/>
    <x v="8"/>
    <x v="4"/>
    <n v="310000"/>
    <n v="180000"/>
    <n v="320000"/>
    <s v="Austin"/>
    <x v="0"/>
    <s v="Fully Remote"/>
    <s v="Enterprise (5000+)"/>
    <x v="8"/>
    <s v="Python|ML|System Design|Cloud|Agile"/>
    <n v="13.4"/>
    <x v="7"/>
    <x v="59"/>
    <n v="9"/>
    <x v="1"/>
    <n v="6"/>
    <n v="0"/>
    <x v="1"/>
    <x v="1"/>
    <s v="Elite (&gt;$300k)"/>
  </r>
  <r>
    <x v="299"/>
    <x v="10"/>
    <x v="0"/>
    <x v="0"/>
    <x v="2"/>
    <x v="1"/>
    <n v="354000"/>
    <n v="150000"/>
    <n v="295000"/>
    <s v="New York"/>
    <x v="0"/>
    <s v="Hybrid"/>
    <s v="Big Tech (FAANG+)"/>
    <x v="2"/>
    <s v="LLMs|Python|Fine-tuning|GenAI APIs|Deployment|Diffusion Models|Communication|Linux|Statistics"/>
    <n v="14.5"/>
    <x v="9"/>
    <x v="15"/>
    <n v="8.9"/>
    <x v="0"/>
    <n v="3"/>
    <n v="1"/>
    <x v="1"/>
    <x v="0"/>
    <s v="Elite (&gt;$300k)"/>
  </r>
  <r>
    <x v="300"/>
    <x v="11"/>
    <x v="0"/>
    <x v="0"/>
    <x v="9"/>
    <x v="4"/>
    <n v="229000"/>
    <n v="141000"/>
    <n v="270000"/>
    <s v="London"/>
    <x v="1"/>
    <s v="Hybrid"/>
    <s v="Mid-size (501-5000)"/>
    <x v="0"/>
    <s v="Python|CUDA|TensorFlow|PyTorch|Neural Networks|Leadership|Problem Solving"/>
    <n v="6.7"/>
    <x v="10"/>
    <x v="211"/>
    <n v="9.4"/>
    <x v="0"/>
    <n v="2"/>
    <n v="1"/>
    <x v="1"/>
    <x v="1"/>
    <s v="Senior ($200-300k)"/>
  </r>
  <r>
    <x v="301"/>
    <x v="12"/>
    <x v="0"/>
    <x v="1"/>
    <x v="2"/>
    <x v="1"/>
    <n v="304000"/>
    <n v="160000"/>
    <n v="300000"/>
    <s v="Seattle"/>
    <x v="0"/>
    <s v="On-site"/>
    <s v="SME (51-500)"/>
    <x v="5"/>
    <s v="Python|Fine-tuning|APIs|Vision-Language Models|Linux"/>
    <n v="10"/>
    <x v="11"/>
    <x v="25"/>
    <n v="6.1"/>
    <x v="0"/>
    <n v="3"/>
    <n v="1"/>
    <x v="0"/>
    <x v="1"/>
    <s v="Elite (&gt;$300k)"/>
  </r>
  <r>
    <x v="302"/>
    <x v="16"/>
    <x v="7"/>
    <x v="0"/>
    <x v="3"/>
    <x v="3"/>
    <n v="211000"/>
    <n v="125000"/>
    <n v="240000"/>
    <s v="Austin"/>
    <x v="0"/>
    <s v="Hybrid"/>
    <s v="Enterprise (5000+)"/>
    <x v="7"/>
    <s v="Python|ROS|Control Systems|Computer Vision|Simulation|Problem Solving|Statistics"/>
    <n v="11.3"/>
    <x v="15"/>
    <x v="24"/>
    <n v="8.6"/>
    <x v="0"/>
    <n v="2"/>
    <n v="1"/>
    <x v="1"/>
    <x v="1"/>
    <s v="Senior ($200-300k)"/>
  </r>
  <r>
    <x v="303"/>
    <x v="8"/>
    <x v="4"/>
    <x v="3"/>
    <x v="10"/>
    <x v="4"/>
    <n v="259000"/>
    <n v="180000"/>
    <n v="320000"/>
    <s v="Paris"/>
    <x v="10"/>
    <s v="Hybrid"/>
    <s v="Big Tech (FAANG+)"/>
    <x v="6"/>
    <s v="Python|ML|Leadership|System Design|Statistics"/>
    <n v="9.6999999999999993"/>
    <x v="7"/>
    <x v="223"/>
    <n v="8.6999999999999993"/>
    <x v="1"/>
    <n v="3"/>
    <n v="0"/>
    <x v="1"/>
    <x v="1"/>
    <s v="Senior ($200-300k)"/>
  </r>
  <r>
    <x v="304"/>
    <x v="19"/>
    <x v="10"/>
    <x v="3"/>
    <x v="4"/>
    <x v="1"/>
    <n v="151000"/>
    <n v="140000"/>
    <n v="270000"/>
    <s v="Austin"/>
    <x v="0"/>
    <s v="On-site"/>
    <s v="SME (51-500)"/>
    <x v="8"/>
    <s v="Distributed Systems|CUDA|Storage|Cloud|Leadership"/>
    <n v="11.2"/>
    <x v="4"/>
    <x v="224"/>
    <n v="7.4"/>
    <x v="0"/>
    <n v="1"/>
    <n v="0"/>
    <x v="0"/>
    <x v="1"/>
    <s v="Upper-Mid ($150-200k)"/>
  </r>
  <r>
    <x v="305"/>
    <x v="16"/>
    <x v="7"/>
    <x v="2"/>
    <x v="4"/>
    <x v="3"/>
    <n v="125000"/>
    <n v="125000"/>
    <n v="240000"/>
    <s v="Paris"/>
    <x v="10"/>
    <s v="Fully Remote"/>
    <s v="Startup (1-50)"/>
    <x v="11"/>
    <s v="C++|Python|ROS|Simulation|Control Systems|Computer Vision|Agile|Linux"/>
    <n v="17.2"/>
    <x v="15"/>
    <x v="53"/>
    <n v="6.4"/>
    <x v="0"/>
    <n v="1"/>
    <n v="0"/>
    <x v="1"/>
    <x v="1"/>
    <s v="Mid ($100-150k)"/>
  </r>
  <r>
    <x v="306"/>
    <x v="17"/>
    <x v="8"/>
    <x v="0"/>
    <x v="6"/>
    <x v="1"/>
    <n v="157000"/>
    <n v="157000"/>
    <n v="218000"/>
    <s v="Tokyo"/>
    <x v="5"/>
    <s v="Hybrid"/>
    <s v="Startup (1-50)"/>
    <x v="0"/>
    <s v="Causal Inference|Python|Leadership|Deep Learning|ML|Advanced Statistics|Communication|SQL"/>
    <n v="6.1"/>
    <x v="11"/>
    <x v="197"/>
    <n v="6.3"/>
    <x v="0"/>
    <n v="1"/>
    <n v="1"/>
    <x v="1"/>
    <x v="1"/>
    <s v="Upper-Mid ($150-200k)"/>
  </r>
  <r>
    <x v="307"/>
    <x v="18"/>
    <x v="9"/>
    <x v="2"/>
    <x v="10"/>
    <x v="4"/>
    <n v="138000"/>
    <n v="110000"/>
    <n v="210000"/>
    <s v="Toronto"/>
    <x v="7"/>
    <s v="Fully Remote"/>
    <s v="Big Tech (FAANG+)"/>
    <x v="5"/>
    <s v="Communication|Ethics Frameworks|AI Policy|Risk Assessment|Statistics|Agile"/>
    <n v="8.9"/>
    <x v="16"/>
    <x v="198"/>
    <n v="7.7"/>
    <x v="0"/>
    <n v="2"/>
    <n v="0"/>
    <x v="1"/>
    <x v="1"/>
    <s v="Mid ($100-150k)"/>
  </r>
  <r>
    <x v="308"/>
    <x v="13"/>
    <x v="5"/>
    <x v="1"/>
    <x v="0"/>
    <x v="0"/>
    <n v="312000"/>
    <n v="130000"/>
    <n v="260000"/>
    <s v="Chicago"/>
    <x v="0"/>
    <s v="Fully Remote"/>
    <s v="Enterprise (5000+)"/>
    <x v="0"/>
    <s v="Kubernetes|Cloud|Docker|Leadership|Statistics"/>
    <n v="13.9"/>
    <x v="12"/>
    <x v="109"/>
    <n v="6"/>
    <x v="0"/>
    <n v="2"/>
    <n v="1"/>
    <x v="1"/>
    <x v="1"/>
    <s v="Elite (&gt;$300k)"/>
  </r>
  <r>
    <x v="309"/>
    <x v="1"/>
    <x v="0"/>
    <x v="1"/>
    <x v="1"/>
    <x v="2"/>
    <n v="240000"/>
    <n v="90000"/>
    <n v="200000"/>
    <s v="Chicago"/>
    <x v="0"/>
    <s v="Hybrid"/>
    <s v="Big Tech (FAANG+)"/>
    <x v="11"/>
    <s v="LLM APIs|NLP|Python|Testing|SQL|Agile"/>
    <n v="6.9"/>
    <x v="1"/>
    <x v="225"/>
    <n v="6.1"/>
    <x v="1"/>
    <n v="5"/>
    <n v="1"/>
    <x v="1"/>
    <x v="0"/>
    <s v="Senior ($200-300k)"/>
  </r>
  <r>
    <x v="310"/>
    <x v="13"/>
    <x v="5"/>
    <x v="0"/>
    <x v="6"/>
    <x v="3"/>
    <n v="161000"/>
    <n v="130000"/>
    <n v="260000"/>
    <s v="Remote"/>
    <x v="3"/>
    <s v="Hybrid"/>
    <s v="Startup (1-50)"/>
    <x v="8"/>
    <s v="Python|Cloud|Docker|CI/CD|Problem Solving"/>
    <n v="12.8"/>
    <x v="12"/>
    <x v="226"/>
    <n v="7"/>
    <x v="0"/>
    <n v="3"/>
    <n v="1"/>
    <x v="1"/>
    <x v="1"/>
    <s v="Upper-Mid ($150-200k)"/>
  </r>
  <r>
    <x v="311"/>
    <x v="21"/>
    <x v="8"/>
    <x v="2"/>
    <x v="1"/>
    <x v="4"/>
    <n v="149000"/>
    <n v="138000"/>
    <n v="195000"/>
    <s v="Singapore"/>
    <x v="2"/>
    <s v="Hybrid"/>
    <s v="Big Tech (FAANG+)"/>
    <x v="6"/>
    <s v="SQL|Scikit-learn|Statistics|Data Visualization|SQL"/>
    <n v="7.5"/>
    <x v="17"/>
    <x v="227"/>
    <n v="6.2"/>
    <x v="1"/>
    <n v="11"/>
    <n v="0"/>
    <x v="1"/>
    <x v="1"/>
    <s v="Mid ($100-150k)"/>
  </r>
  <r>
    <x v="312"/>
    <x v="6"/>
    <x v="0"/>
    <x v="3"/>
    <x v="0"/>
    <x v="1"/>
    <n v="183000"/>
    <n v="180000"/>
    <n v="312000"/>
    <s v="Dubai"/>
    <x v="8"/>
    <s v="Hybrid"/>
    <s v="SME (51-500)"/>
    <x v="11"/>
    <s v="System Design|Distributed Systems|LLM Fine-tuning|MLOps|PyTorch|Leadership"/>
    <n v="9.4"/>
    <x v="0"/>
    <x v="57"/>
    <n v="7.1"/>
    <x v="0"/>
    <n v="2"/>
    <n v="0"/>
    <x v="1"/>
    <x v="1"/>
    <s v="Upper-Mid ($150-200k)"/>
  </r>
  <r>
    <x v="313"/>
    <x v="4"/>
    <x v="2"/>
    <x v="3"/>
    <x v="10"/>
    <x v="0"/>
    <n v="161000"/>
    <n v="140000"/>
    <n v="260000"/>
    <s v="Chicago"/>
    <x v="0"/>
    <s v="Fully Remote"/>
    <s v="Startup (1-50)"/>
    <x v="9"/>
    <s v="Data Analysis|Product Strategy|AI Literacy|Git|Problem Solving"/>
    <n v="12.8"/>
    <x v="4"/>
    <x v="138"/>
    <n v="7.4"/>
    <x v="0"/>
    <n v="3"/>
    <n v="0"/>
    <x v="1"/>
    <x v="1"/>
    <s v="Upper-Mid ($150-200k)"/>
  </r>
  <r>
    <x v="314"/>
    <x v="5"/>
    <x v="3"/>
    <x v="0"/>
    <x v="2"/>
    <x v="1"/>
    <n v="175000"/>
    <n v="140000"/>
    <n v="260000"/>
    <s v="Toronto"/>
    <x v="7"/>
    <s v="On-site"/>
    <s v="SME (51-500)"/>
    <x v="9"/>
    <s v="ML Security|Risk Analysis|Python|Agile"/>
    <n v="17.8"/>
    <x v="5"/>
    <x v="87"/>
    <n v="8.9"/>
    <x v="1"/>
    <n v="1"/>
    <n v="1"/>
    <x v="0"/>
    <x v="1"/>
    <s v="Upper-Mid ($150-200k)"/>
  </r>
  <r>
    <x v="315"/>
    <x v="23"/>
    <x v="9"/>
    <x v="2"/>
    <x v="3"/>
    <x v="0"/>
    <n v="117000"/>
    <n v="100000"/>
    <n v="200000"/>
    <s v="Remote"/>
    <x v="3"/>
    <s v="Fully Remote"/>
    <s v="Enterprise (5000+)"/>
    <x v="0"/>
    <s v="EU AI Act|Documentation|Auditing|Legal Knowledge|SQL|Git"/>
    <n v="10.1"/>
    <x v="19"/>
    <x v="19"/>
    <n v="6.7"/>
    <x v="1"/>
    <n v="2"/>
    <n v="0"/>
    <x v="1"/>
    <x v="1"/>
    <s v="Mid ($100-150k)"/>
  </r>
  <r>
    <x v="316"/>
    <x v="17"/>
    <x v="8"/>
    <x v="0"/>
    <x v="6"/>
    <x v="4"/>
    <n v="239000"/>
    <n v="157000"/>
    <n v="218000"/>
    <s v="Berlin"/>
    <x v="12"/>
    <s v="Fully Remote"/>
    <s v="Big Tech (FAANG+)"/>
    <x v="9"/>
    <s v="Python|Deep Learning|Leadership|Communication|Problem Solving|Agile"/>
    <n v="6.8"/>
    <x v="11"/>
    <x v="228"/>
    <n v="6.4"/>
    <x v="1"/>
    <n v="9"/>
    <n v="1"/>
    <x v="1"/>
    <x v="1"/>
    <s v="Senior ($200-300k)"/>
  </r>
  <r>
    <x v="317"/>
    <x v="19"/>
    <x v="10"/>
    <x v="3"/>
    <x v="3"/>
    <x v="3"/>
    <n v="177000"/>
    <n v="140000"/>
    <n v="270000"/>
    <s v="Remote"/>
    <x v="3"/>
    <s v="On-site"/>
    <s v="Mid-size (501-5000)"/>
    <x v="4"/>
    <s v="CUDA|Distributed Systems|Storage|Cloud|Communication|Cloud|Git"/>
    <n v="9.1"/>
    <x v="4"/>
    <x v="112"/>
    <n v="8.9"/>
    <x v="0"/>
    <n v="3"/>
    <n v="0"/>
    <x v="0"/>
    <x v="1"/>
    <s v="Upper-Mid ($150-200k)"/>
  </r>
  <r>
    <x v="318"/>
    <x v="10"/>
    <x v="0"/>
    <x v="0"/>
    <x v="2"/>
    <x v="3"/>
    <n v="214000"/>
    <n v="150000"/>
    <n v="295000"/>
    <s v="New York"/>
    <x v="0"/>
    <s v="Fully Remote"/>
    <s v="Startup (1-50)"/>
    <x v="5"/>
    <s v="LLMs|Fine-tuning|Diffusion Models|Python|GenAI APIs|Deployment|Communication|Git"/>
    <n v="11.7"/>
    <x v="9"/>
    <x v="17"/>
    <n v="8.6"/>
    <x v="0"/>
    <n v="2"/>
    <n v="1"/>
    <x v="1"/>
    <x v="0"/>
    <s v="Senior ($200-300k)"/>
  </r>
  <r>
    <x v="319"/>
    <x v="8"/>
    <x v="4"/>
    <x v="2"/>
    <x v="7"/>
    <x v="0"/>
    <n v="180000"/>
    <n v="180000"/>
    <n v="320000"/>
    <s v="Dubai"/>
    <x v="8"/>
    <s v="Hybrid"/>
    <s v="Startup (1-50)"/>
    <x v="2"/>
    <s v="Enterprise Architecture|Cloud|System Design|Communication|Statistics"/>
    <n v="17.899999999999999"/>
    <x v="7"/>
    <x v="73"/>
    <n v="9.1999999999999993"/>
    <x v="0"/>
    <n v="2"/>
    <n v="0"/>
    <x v="1"/>
    <x v="1"/>
    <s v="Upper-Mid ($150-200k)"/>
  </r>
  <r>
    <x v="320"/>
    <x v="23"/>
    <x v="9"/>
    <x v="0"/>
    <x v="9"/>
    <x v="3"/>
    <n v="100000"/>
    <n v="100000"/>
    <n v="200000"/>
    <s v="Bangalore"/>
    <x v="4"/>
    <s v="Hybrid"/>
    <s v="Big Tech (FAANG+)"/>
    <x v="6"/>
    <s v="Auditing|Documentation|EU AI Act|Risk Management|Git"/>
    <n v="10.3"/>
    <x v="19"/>
    <x v="100"/>
    <n v="6.1"/>
    <x v="0"/>
    <n v="1"/>
    <n v="1"/>
    <x v="1"/>
    <x v="1"/>
    <s v="Entry (&lt;$100k)"/>
  </r>
  <r>
    <x v="321"/>
    <x v="18"/>
    <x v="9"/>
    <x v="1"/>
    <x v="8"/>
    <x v="2"/>
    <n v="247000"/>
    <n v="110000"/>
    <n v="210000"/>
    <s v="San Francisco"/>
    <x v="0"/>
    <s v="Hybrid"/>
    <s v="SME (51-500)"/>
    <x v="7"/>
    <s v="Research|AI Policy|Communication|Risk Assessment|Communication|Agile"/>
    <n v="13"/>
    <x v="16"/>
    <x v="71"/>
    <n v="9.1"/>
    <x v="0"/>
    <n v="1"/>
    <n v="1"/>
    <x v="1"/>
    <x v="1"/>
    <s v="Senior ($200-300k)"/>
  </r>
  <r>
    <x v="322"/>
    <x v="23"/>
    <x v="9"/>
    <x v="2"/>
    <x v="9"/>
    <x v="3"/>
    <n v="124000"/>
    <n v="100000"/>
    <n v="200000"/>
    <s v="New York"/>
    <x v="0"/>
    <s v="On-site"/>
    <s v="Enterprise (5000+)"/>
    <x v="3"/>
    <s v="Legal Knowledge|EU AI Act|Auditing|Documentation|Agile|Linux|Research"/>
    <n v="15.2"/>
    <x v="19"/>
    <x v="132"/>
    <n v="6.4"/>
    <x v="0"/>
    <n v="3"/>
    <n v="0"/>
    <x v="0"/>
    <x v="1"/>
    <s v="Mid ($100-150k)"/>
  </r>
  <r>
    <x v="323"/>
    <x v="16"/>
    <x v="7"/>
    <x v="1"/>
    <x v="4"/>
    <x v="3"/>
    <n v="247000"/>
    <n v="125000"/>
    <n v="240000"/>
    <s v="Tokyo"/>
    <x v="5"/>
    <s v="On-site"/>
    <s v="Big Tech (FAANG+)"/>
    <x v="4"/>
    <s v="Computer Vision|C++|Simulation|Cloud|Statistics|Agile"/>
    <n v="13.9"/>
    <x v="15"/>
    <x v="30"/>
    <n v="7.4"/>
    <x v="0"/>
    <n v="3"/>
    <n v="1"/>
    <x v="0"/>
    <x v="1"/>
    <s v="Senior ($200-300k)"/>
  </r>
  <r>
    <x v="324"/>
    <x v="20"/>
    <x v="0"/>
    <x v="2"/>
    <x v="2"/>
    <x v="3"/>
    <n v="100000"/>
    <n v="100000"/>
    <n v="250000"/>
    <s v="Toronto"/>
    <x v="7"/>
    <s v="Hybrid"/>
    <s v="Enterprise (5000+)"/>
    <x v="7"/>
    <s v="Cloud (AWS/GCP/Azure)|Python|Docker|PyTorch|Communication"/>
    <n v="8.8000000000000007"/>
    <x v="9"/>
    <x v="229"/>
    <n v="9.3000000000000007"/>
    <x v="1"/>
    <n v="3"/>
    <n v="0"/>
    <x v="1"/>
    <x v="1"/>
    <s v="Entry (&lt;$100k)"/>
  </r>
  <r>
    <x v="325"/>
    <x v="20"/>
    <x v="0"/>
    <x v="2"/>
    <x v="4"/>
    <x v="3"/>
    <n v="100000"/>
    <n v="100000"/>
    <n v="250000"/>
    <s v="Tokyo"/>
    <x v="5"/>
    <s v="Hybrid"/>
    <s v="Mid-size (501-5000)"/>
    <x v="11"/>
    <s v="Docker|PyTorch|LLM Integration|Python|Cloud (AWS/GCP/Azure)|SQL|Statistics|Cloud"/>
    <n v="13.7"/>
    <x v="9"/>
    <x v="230"/>
    <n v="6.4"/>
    <x v="0"/>
    <n v="2"/>
    <n v="0"/>
    <x v="1"/>
    <x v="1"/>
    <s v="Entry (&lt;$100k)"/>
  </r>
  <r>
    <x v="326"/>
    <x v="18"/>
    <x v="9"/>
    <x v="3"/>
    <x v="10"/>
    <x v="2"/>
    <n v="110000"/>
    <n v="110000"/>
    <n v="210000"/>
    <s v="Dubai"/>
    <x v="8"/>
    <s v="On-site"/>
    <s v="Mid-size (501-5000)"/>
    <x v="6"/>
    <s v="Communication|AI Policy|Ethics Frameworks|Agile"/>
    <n v="18"/>
    <x v="16"/>
    <x v="36"/>
    <n v="6.9"/>
    <x v="0"/>
    <n v="1"/>
    <n v="0"/>
    <x v="0"/>
    <x v="1"/>
    <s v="Mid ($100-150k)"/>
  </r>
  <r>
    <x v="327"/>
    <x v="19"/>
    <x v="10"/>
    <x v="0"/>
    <x v="9"/>
    <x v="4"/>
    <n v="140000"/>
    <n v="140000"/>
    <n v="270000"/>
    <s v="Bangalore"/>
    <x v="4"/>
    <s v="Hybrid"/>
    <s v="Startup (1-50)"/>
    <x v="2"/>
    <s v="Distributed Systems|Kubernetes|CUDA|Cloud|Storage|Networking|Leadership|Statistics"/>
    <n v="10.5"/>
    <x v="4"/>
    <x v="70"/>
    <n v="8.6"/>
    <x v="0"/>
    <n v="1"/>
    <n v="1"/>
    <x v="1"/>
    <x v="1"/>
    <s v="Mid ($100-150k)"/>
  </r>
  <r>
    <x v="328"/>
    <x v="0"/>
    <x v="0"/>
    <x v="1"/>
    <x v="0"/>
    <x v="0"/>
    <n v="280000"/>
    <n v="155000"/>
    <n v="290000"/>
    <s v="Dubai"/>
    <x v="8"/>
    <s v="On-site"/>
    <s v="SME (51-500)"/>
    <x v="2"/>
    <s v="AutoGen|Planning Systems|Tool Use|APIs|Python|LangChain|Research|Linux"/>
    <n v="14.9"/>
    <x v="0"/>
    <x v="231"/>
    <n v="7.7"/>
    <x v="1"/>
    <n v="2"/>
    <n v="1"/>
    <x v="0"/>
    <x v="0"/>
    <s v="Senior ($200-300k)"/>
  </r>
  <r>
    <x v="329"/>
    <x v="0"/>
    <x v="0"/>
    <x v="0"/>
    <x v="2"/>
    <x v="4"/>
    <n v="348000"/>
    <n v="155000"/>
    <n v="290000"/>
    <s v="Los Angeles"/>
    <x v="0"/>
    <s v="Fully Remote"/>
    <s v="Enterprise (5000+)"/>
    <x v="2"/>
    <s v="Tool Use|LangChain|Python|APIs|SQL"/>
    <n v="11.1"/>
    <x v="0"/>
    <x v="232"/>
    <n v="9.8000000000000007"/>
    <x v="0"/>
    <n v="1"/>
    <n v="1"/>
    <x v="1"/>
    <x v="0"/>
    <s v="Elite (&gt;$300k)"/>
  </r>
  <r>
    <x v="330"/>
    <x v="11"/>
    <x v="0"/>
    <x v="3"/>
    <x v="0"/>
    <x v="1"/>
    <n v="168000"/>
    <n v="141000"/>
    <n v="270000"/>
    <s v="Chicago"/>
    <x v="0"/>
    <s v="Hybrid"/>
    <s v="Mid-size (501-5000)"/>
    <x v="4"/>
    <s v="CUDA|Python|Neural Networks|GPU Computing|Git"/>
    <n v="9.1"/>
    <x v="10"/>
    <x v="19"/>
    <n v="7.5"/>
    <x v="1"/>
    <n v="11"/>
    <n v="0"/>
    <x v="1"/>
    <x v="1"/>
    <s v="Upper-Mid ($150-200k)"/>
  </r>
  <r>
    <x v="331"/>
    <x v="6"/>
    <x v="0"/>
    <x v="3"/>
    <x v="8"/>
    <x v="1"/>
    <n v="180000"/>
    <n v="180000"/>
    <n v="312000"/>
    <s v="Sydney"/>
    <x v="11"/>
    <s v="Fully Remote"/>
    <s v="SME (51-500)"/>
    <x v="8"/>
    <s v="MLOps|Python|PyTorch|System Design|LLM Fine-tuning|Statistics|Cloud"/>
    <n v="17.399999999999999"/>
    <x v="0"/>
    <x v="233"/>
    <n v="6.4"/>
    <x v="1"/>
    <n v="5"/>
    <n v="0"/>
    <x v="1"/>
    <x v="1"/>
    <s v="Upper-Mid ($150-200k)"/>
  </r>
  <r>
    <x v="332"/>
    <x v="8"/>
    <x v="4"/>
    <x v="2"/>
    <x v="0"/>
    <x v="3"/>
    <n v="180000"/>
    <n v="180000"/>
    <n v="320000"/>
    <s v="Amsterdam"/>
    <x v="9"/>
    <s v="Fully Remote"/>
    <s v="Mid-size (501-5000)"/>
    <x v="5"/>
    <s v="Leadership|Python|Enterprise Architecture|ML|System Design|Linux|Statistics"/>
    <n v="16.2"/>
    <x v="7"/>
    <x v="234"/>
    <n v="9.6999999999999993"/>
    <x v="0"/>
    <n v="3"/>
    <n v="0"/>
    <x v="1"/>
    <x v="1"/>
    <s v="Upper-Mid ($150-200k)"/>
  </r>
  <r>
    <x v="333"/>
    <x v="12"/>
    <x v="0"/>
    <x v="0"/>
    <x v="6"/>
    <x v="2"/>
    <n v="248000"/>
    <n v="160000"/>
    <n v="300000"/>
    <s v="New York"/>
    <x v="0"/>
    <s v="Hybrid"/>
    <s v="SME (51-500)"/>
    <x v="6"/>
    <s v="PyTorch|Python|Fine-tuning|APIs|Vision-Language Models|SQL|Cloud"/>
    <n v="17.399999999999999"/>
    <x v="11"/>
    <x v="235"/>
    <n v="7.1"/>
    <x v="0"/>
    <n v="1"/>
    <n v="1"/>
    <x v="1"/>
    <x v="1"/>
    <s v="Senior ($200-300k)"/>
  </r>
  <r>
    <x v="334"/>
    <x v="8"/>
    <x v="4"/>
    <x v="2"/>
    <x v="13"/>
    <x v="4"/>
    <n v="199000"/>
    <n v="180000"/>
    <n v="320000"/>
    <s v="Toronto"/>
    <x v="7"/>
    <s v="On-site"/>
    <s v="Enterprise (5000+)"/>
    <x v="10"/>
    <s v="Enterprise Architecture|Python|ML|Leadership|Cloud|System Design|Agile"/>
    <n v="12.2"/>
    <x v="7"/>
    <x v="198"/>
    <n v="8.1"/>
    <x v="1"/>
    <n v="12"/>
    <n v="0"/>
    <x v="0"/>
    <x v="1"/>
    <s v="Upper-Mid ($150-200k)"/>
  </r>
  <r>
    <x v="335"/>
    <x v="20"/>
    <x v="0"/>
    <x v="1"/>
    <x v="3"/>
    <x v="0"/>
    <n v="243000"/>
    <n v="100000"/>
    <n v="250000"/>
    <s v="New York"/>
    <x v="0"/>
    <s v="Fully Remote"/>
    <s v="SME (51-500)"/>
    <x v="10"/>
    <s v="Cloud (AWS/GCP/Azure)|Docker|PyTorch|Python|LLM Integration|Communication"/>
    <n v="15.7"/>
    <x v="9"/>
    <x v="236"/>
    <n v="6.5"/>
    <x v="0"/>
    <n v="2"/>
    <n v="1"/>
    <x v="1"/>
    <x v="1"/>
    <s v="Senior ($200-300k)"/>
  </r>
  <r>
    <x v="336"/>
    <x v="4"/>
    <x v="2"/>
    <x v="3"/>
    <x v="6"/>
    <x v="4"/>
    <n v="199000"/>
    <n v="140000"/>
    <n v="260000"/>
    <s v="Zurich"/>
    <x v="13"/>
    <s v="Fully Remote"/>
    <s v="Enterprise (5000+)"/>
    <x v="3"/>
    <s v="Stakeholder Mgmt|AI Literacy|Product Strategy|Agile|Linux|Cloud"/>
    <n v="16.8"/>
    <x v="4"/>
    <x v="237"/>
    <n v="9.6"/>
    <x v="0"/>
    <n v="3"/>
    <n v="0"/>
    <x v="1"/>
    <x v="1"/>
    <s v="Upper-Mid ($150-200k)"/>
  </r>
  <r>
    <x v="337"/>
    <x v="15"/>
    <x v="0"/>
    <x v="1"/>
    <x v="3"/>
    <x v="0"/>
    <n v="216000"/>
    <n v="145000"/>
    <n v="280000"/>
    <s v="London"/>
    <x v="1"/>
    <s v="On-site"/>
    <s v="Startup (1-50)"/>
    <x v="4"/>
    <s v="Embeddings|Search Systems|LangChain|Agile|Linux|Git"/>
    <n v="7"/>
    <x v="14"/>
    <x v="218"/>
    <n v="8"/>
    <x v="0"/>
    <n v="2"/>
    <n v="1"/>
    <x v="0"/>
    <x v="0"/>
    <s v="Senior ($200-300k)"/>
  </r>
  <r>
    <x v="338"/>
    <x v="12"/>
    <x v="0"/>
    <x v="3"/>
    <x v="9"/>
    <x v="0"/>
    <n v="183000"/>
    <n v="160000"/>
    <n v="300000"/>
    <s v="Remote"/>
    <x v="3"/>
    <s v="Fully Remote"/>
    <s v="Startup (1-50)"/>
    <x v="6"/>
    <s v="PyTorch|APIs|Vision-Language Models|Python|Communication|Problem Solving"/>
    <n v="9.9"/>
    <x v="11"/>
    <x v="40"/>
    <n v="9"/>
    <x v="1"/>
    <n v="5"/>
    <n v="0"/>
    <x v="1"/>
    <x v="1"/>
    <s v="Upper-Mid ($150-200k)"/>
  </r>
  <r>
    <x v="339"/>
    <x v="7"/>
    <x v="0"/>
    <x v="3"/>
    <x v="10"/>
    <x v="4"/>
    <n v="145000"/>
    <n v="145000"/>
    <n v="290000"/>
    <s v="Beijing"/>
    <x v="6"/>
    <s v="Hybrid"/>
    <s v="Enterprise (5000+)"/>
    <x v="8"/>
    <s v="Python|LLMs|Transformers|Cloud|Communication"/>
    <n v="6"/>
    <x v="6"/>
    <x v="238"/>
    <n v="6.3"/>
    <x v="0"/>
    <n v="1"/>
    <n v="0"/>
    <x v="1"/>
    <x v="1"/>
    <s v="Mid ($100-150k)"/>
  </r>
  <r>
    <x v="340"/>
    <x v="4"/>
    <x v="2"/>
    <x v="0"/>
    <x v="10"/>
    <x v="2"/>
    <n v="204000"/>
    <n v="140000"/>
    <n v="260000"/>
    <s v="London"/>
    <x v="1"/>
    <s v="On-site"/>
    <s v="Enterprise (5000+)"/>
    <x v="10"/>
    <s v="Product Strategy|Data Analysis|AI Literacy|Stakeholder Mgmt|Agile|Statistics|Linux"/>
    <n v="9.8000000000000007"/>
    <x v="4"/>
    <x v="239"/>
    <n v="7.9"/>
    <x v="1"/>
    <n v="8"/>
    <n v="1"/>
    <x v="0"/>
    <x v="1"/>
    <s v="Senior ($200-300k)"/>
  </r>
  <r>
    <x v="341"/>
    <x v="17"/>
    <x v="8"/>
    <x v="1"/>
    <x v="10"/>
    <x v="0"/>
    <n v="261600"/>
    <n v="157000"/>
    <n v="218000"/>
    <s v="Seattle"/>
    <x v="0"/>
    <s v="Hybrid"/>
    <s v="Mid-size (501-5000)"/>
    <x v="6"/>
    <s v="Advanced Statistics|ML|Causal Inference|Statistics|Cloud|Agile"/>
    <n v="8.3000000000000007"/>
    <x v="11"/>
    <x v="1"/>
    <n v="7.2"/>
    <x v="0"/>
    <n v="2"/>
    <n v="1"/>
    <x v="1"/>
    <x v="1"/>
    <s v="Senior ($200-300k)"/>
  </r>
  <r>
    <x v="342"/>
    <x v="10"/>
    <x v="0"/>
    <x v="1"/>
    <x v="1"/>
    <x v="1"/>
    <n v="273000"/>
    <n v="150000"/>
    <n v="295000"/>
    <s v="Remote"/>
    <x v="3"/>
    <s v="On-site"/>
    <s v="SME (51-500)"/>
    <x v="3"/>
    <s v="GenAI APIs|Python|Diffusion Models|Deployment|Research"/>
    <n v="17"/>
    <x v="9"/>
    <x v="110"/>
    <n v="7.7"/>
    <x v="0"/>
    <n v="3"/>
    <n v="1"/>
    <x v="0"/>
    <x v="0"/>
    <s v="Senior ($200-300k)"/>
  </r>
  <r>
    <x v="343"/>
    <x v="18"/>
    <x v="9"/>
    <x v="2"/>
    <x v="4"/>
    <x v="0"/>
    <n v="111000"/>
    <n v="110000"/>
    <n v="210000"/>
    <s v="Zurich"/>
    <x v="13"/>
    <s v="Fully Remote"/>
    <s v="Enterprise (5000+)"/>
    <x v="11"/>
    <s v="Ethics Frameworks|Risk Assessment|AI Policy|Leadership|Agile|Communication"/>
    <n v="8"/>
    <x v="16"/>
    <x v="173"/>
    <n v="6.7"/>
    <x v="0"/>
    <n v="1"/>
    <n v="0"/>
    <x v="1"/>
    <x v="1"/>
    <s v="Mid ($100-150k)"/>
  </r>
  <r>
    <x v="344"/>
    <x v="23"/>
    <x v="9"/>
    <x v="0"/>
    <x v="2"/>
    <x v="1"/>
    <n v="144000"/>
    <n v="100000"/>
    <n v="200000"/>
    <s v="Remote"/>
    <x v="3"/>
    <s v="Fully Remote"/>
    <s v="Startup (1-50)"/>
    <x v="5"/>
    <s v="Documentation|EU AI Act|Risk Management|Legal Knowledge|Git"/>
    <n v="14.6"/>
    <x v="19"/>
    <x v="21"/>
    <n v="9.6"/>
    <x v="0"/>
    <n v="1"/>
    <n v="1"/>
    <x v="1"/>
    <x v="1"/>
    <s v="Mid ($100-150k)"/>
  </r>
  <r>
    <x v="345"/>
    <x v="4"/>
    <x v="2"/>
    <x v="1"/>
    <x v="9"/>
    <x v="4"/>
    <n v="312000"/>
    <n v="140000"/>
    <n v="260000"/>
    <s v="New York"/>
    <x v="0"/>
    <s v="Fully Remote"/>
    <s v="Big Tech (FAANG+)"/>
    <x v="10"/>
    <s v="AI Literacy|Data Analysis|Product Strategy|Agile|Stakeholder Mgmt|Git"/>
    <n v="11.8"/>
    <x v="4"/>
    <x v="240"/>
    <n v="6.7"/>
    <x v="0"/>
    <n v="2"/>
    <n v="1"/>
    <x v="1"/>
    <x v="1"/>
    <s v="Elite (&gt;$300k)"/>
  </r>
  <r>
    <x v="346"/>
    <x v="6"/>
    <x v="0"/>
    <x v="3"/>
    <x v="9"/>
    <x v="3"/>
    <n v="269000"/>
    <n v="180000"/>
    <n v="312000"/>
    <s v="San Francisco"/>
    <x v="0"/>
    <s v="On-site"/>
    <s v="SME (51-500)"/>
    <x v="7"/>
    <s v="Python|System Design|MLOps|PyTorch|Agile|Linux|Statistics"/>
    <n v="11.7"/>
    <x v="0"/>
    <x v="193"/>
    <n v="7.7"/>
    <x v="1"/>
    <n v="5"/>
    <n v="0"/>
    <x v="0"/>
    <x v="1"/>
    <s v="Senior ($200-300k)"/>
  </r>
  <r>
    <x v="347"/>
    <x v="14"/>
    <x v="6"/>
    <x v="2"/>
    <x v="8"/>
    <x v="3"/>
    <n v="95000"/>
    <n v="95000"/>
    <n v="180000"/>
    <s v="Beijing"/>
    <x v="6"/>
    <s v="Fully Remote"/>
    <s v="Enterprise (5000+)"/>
    <x v="4"/>
    <s v="Data Visualization|Communication|SQL|Leadership"/>
    <n v="14.8"/>
    <x v="13"/>
    <x v="28"/>
    <n v="8.6999999999999993"/>
    <x v="0"/>
    <n v="3"/>
    <n v="0"/>
    <x v="1"/>
    <x v="1"/>
    <s v="Entry (&lt;$100k)"/>
  </r>
  <r>
    <x v="348"/>
    <x v="0"/>
    <x v="0"/>
    <x v="0"/>
    <x v="4"/>
    <x v="3"/>
    <n v="171000"/>
    <n v="155000"/>
    <n v="290000"/>
    <s v="Dubai"/>
    <x v="8"/>
    <s v="On-site"/>
    <s v="Startup (1-50)"/>
    <x v="10"/>
    <s v="LangChain|APIs|AutoGen|Python|Planning Systems|Problem Solving|SQL"/>
    <n v="8.5"/>
    <x v="0"/>
    <x v="171"/>
    <n v="7.6"/>
    <x v="1"/>
    <n v="11"/>
    <n v="1"/>
    <x v="0"/>
    <x v="0"/>
    <s v="Upper-Mid ($150-200k)"/>
  </r>
  <r>
    <x v="349"/>
    <x v="10"/>
    <x v="0"/>
    <x v="0"/>
    <x v="6"/>
    <x v="4"/>
    <n v="150000"/>
    <n v="150000"/>
    <n v="295000"/>
    <s v="Bangalore"/>
    <x v="4"/>
    <s v="On-site"/>
    <s v="Mid-size (501-5000)"/>
    <x v="1"/>
    <s v="Python|Diffusion Models|GenAI APIs|Cloud"/>
    <n v="16.8"/>
    <x v="9"/>
    <x v="241"/>
    <n v="8.1999999999999993"/>
    <x v="0"/>
    <n v="3"/>
    <n v="1"/>
    <x v="0"/>
    <x v="0"/>
    <s v="Mid ($100-150k)"/>
  </r>
  <r>
    <x v="350"/>
    <x v="8"/>
    <x v="4"/>
    <x v="0"/>
    <x v="0"/>
    <x v="0"/>
    <n v="180000"/>
    <n v="180000"/>
    <n v="320000"/>
    <s v="Beijing"/>
    <x v="6"/>
    <s v="On-site"/>
    <s v="Mid-size (501-5000)"/>
    <x v="0"/>
    <s v="Enterprise Architecture|System Design|Python|ML|Leadership|Cloud"/>
    <n v="14.6"/>
    <x v="7"/>
    <x v="167"/>
    <n v="7.5"/>
    <x v="0"/>
    <n v="3"/>
    <n v="1"/>
    <x v="0"/>
    <x v="1"/>
    <s v="Upper-Mid ($150-200k)"/>
  </r>
  <r>
    <x v="351"/>
    <x v="15"/>
    <x v="0"/>
    <x v="0"/>
    <x v="1"/>
    <x v="3"/>
    <n v="250000"/>
    <n v="145000"/>
    <n v="280000"/>
    <s v="Remote"/>
    <x v="3"/>
    <s v="On-site"/>
    <s v="Mid-size (501-5000)"/>
    <x v="1"/>
    <s v="Vector DBs|Python|LangChain|Search Systems|Communication"/>
    <n v="7.5"/>
    <x v="14"/>
    <x v="236"/>
    <n v="7.7"/>
    <x v="0"/>
    <n v="3"/>
    <n v="1"/>
    <x v="0"/>
    <x v="0"/>
    <s v="Senior ($200-300k)"/>
  </r>
  <r>
    <x v="352"/>
    <x v="11"/>
    <x v="0"/>
    <x v="1"/>
    <x v="3"/>
    <x v="0"/>
    <n v="324000"/>
    <n v="141000"/>
    <n v="270000"/>
    <s v="Seattle"/>
    <x v="0"/>
    <s v="Hybrid"/>
    <s v="Mid-size (501-5000)"/>
    <x v="5"/>
    <s v="PyTorch|CUDA|Neural Networks|Research|SQL"/>
    <n v="4.4000000000000004"/>
    <x v="10"/>
    <x v="54"/>
    <n v="9.1999999999999993"/>
    <x v="1"/>
    <n v="1"/>
    <n v="1"/>
    <x v="1"/>
    <x v="1"/>
    <s v="Elite (&gt;$300k)"/>
  </r>
  <r>
    <x v="353"/>
    <x v="21"/>
    <x v="8"/>
    <x v="1"/>
    <x v="8"/>
    <x v="2"/>
    <n v="186000"/>
    <n v="138000"/>
    <n v="195000"/>
    <s v="Amsterdam"/>
    <x v="9"/>
    <s v="On-site"/>
    <s v="Enterprise (5000+)"/>
    <x v="10"/>
    <s v="Python|Scikit-learn|Data Visualization|Statistics|SQL|SQL"/>
    <n v="7"/>
    <x v="17"/>
    <x v="242"/>
    <n v="7"/>
    <x v="0"/>
    <n v="2"/>
    <n v="1"/>
    <x v="0"/>
    <x v="1"/>
    <s v="Upper-Mid ($150-200k)"/>
  </r>
  <r>
    <x v="354"/>
    <x v="21"/>
    <x v="8"/>
    <x v="0"/>
    <x v="1"/>
    <x v="3"/>
    <n v="234000"/>
    <n v="138000"/>
    <n v="195000"/>
    <s v="Remote"/>
    <x v="3"/>
    <s v="Hybrid"/>
    <s v="Big Tech (FAANG+)"/>
    <x v="2"/>
    <s v="SQL|Statistics|Scikit-learn|Data Visualization|Communication|Leadership"/>
    <n v="7.8"/>
    <x v="17"/>
    <x v="243"/>
    <n v="9.1999999999999993"/>
    <x v="0"/>
    <n v="2"/>
    <n v="1"/>
    <x v="1"/>
    <x v="1"/>
    <s v="Senior ($200-300k)"/>
  </r>
  <r>
    <x v="355"/>
    <x v="17"/>
    <x v="8"/>
    <x v="1"/>
    <x v="0"/>
    <x v="4"/>
    <n v="261600"/>
    <n v="157000"/>
    <n v="218000"/>
    <s v="Paris"/>
    <x v="10"/>
    <s v="Hybrid"/>
    <s v="Enterprise (5000+)"/>
    <x v="9"/>
    <s v="Causal Inference|Python|ML|Deep Learning|Communication"/>
    <n v="3.7"/>
    <x v="11"/>
    <x v="152"/>
    <n v="9.8000000000000007"/>
    <x v="1"/>
    <n v="4"/>
    <n v="1"/>
    <x v="1"/>
    <x v="1"/>
    <s v="Senior ($200-300k)"/>
  </r>
  <r>
    <x v="356"/>
    <x v="16"/>
    <x v="7"/>
    <x v="0"/>
    <x v="4"/>
    <x v="4"/>
    <n v="234000"/>
    <n v="125000"/>
    <n v="240000"/>
    <s v="New York"/>
    <x v="0"/>
    <s v="Hybrid"/>
    <s v="Startup (1-50)"/>
    <x v="0"/>
    <s v="Control Systems|ROS|Simulation|Python|Git|Communication"/>
    <n v="12.9"/>
    <x v="15"/>
    <x v="244"/>
    <n v="9"/>
    <x v="0"/>
    <n v="3"/>
    <n v="1"/>
    <x v="1"/>
    <x v="1"/>
    <s v="Senior ($200-300k)"/>
  </r>
  <r>
    <x v="357"/>
    <x v="22"/>
    <x v="0"/>
    <x v="2"/>
    <x v="10"/>
    <x v="1"/>
    <n v="213000"/>
    <n v="145000"/>
    <n v="280000"/>
    <s v="Austin"/>
    <x v="0"/>
    <s v="Fully Remote"/>
    <s v="Big Tech (FAANG+)"/>
    <x v="2"/>
    <s v="Python|CUDA|Image Processing|PyTorch|CNNs|OpenCV|Git"/>
    <n v="4.0999999999999996"/>
    <x v="18"/>
    <x v="245"/>
    <n v="7.7"/>
    <x v="0"/>
    <n v="3"/>
    <n v="0"/>
    <x v="1"/>
    <x v="1"/>
    <s v="Senior ($200-300k)"/>
  </r>
  <r>
    <x v="358"/>
    <x v="21"/>
    <x v="8"/>
    <x v="0"/>
    <x v="3"/>
    <x v="0"/>
    <n v="192000"/>
    <n v="138000"/>
    <n v="195000"/>
    <s v="Austin"/>
    <x v="0"/>
    <s v="Fully Remote"/>
    <s v="Mid-size (501-5000)"/>
    <x v="4"/>
    <s v="Scikit-learn|Python|Statistics|ML Algorithms|SQL|Data Visualization|Linux|Git|Agile"/>
    <n v="5.9"/>
    <x v="17"/>
    <x v="246"/>
    <n v="6.9"/>
    <x v="0"/>
    <n v="3"/>
    <n v="1"/>
    <x v="1"/>
    <x v="1"/>
    <s v="Upper-Mid ($150-200k)"/>
  </r>
  <r>
    <x v="359"/>
    <x v="1"/>
    <x v="0"/>
    <x v="1"/>
    <x v="2"/>
    <x v="3"/>
    <n v="161000"/>
    <n v="90000"/>
    <n v="200000"/>
    <s v="London"/>
    <x v="1"/>
    <s v="Hybrid"/>
    <s v="SME (51-500)"/>
    <x v="4"/>
    <s v="Prompt Design|NLP|LLM APIs|Documentation|Python|Statistics"/>
    <n v="8.4"/>
    <x v="1"/>
    <x v="17"/>
    <n v="7.5"/>
    <x v="1"/>
    <n v="11"/>
    <n v="1"/>
    <x v="1"/>
    <x v="0"/>
    <s v="Upper-Mid ($150-200k)"/>
  </r>
  <r>
    <x v="360"/>
    <x v="17"/>
    <x v="8"/>
    <x v="0"/>
    <x v="9"/>
    <x v="3"/>
    <n v="157000"/>
    <n v="157000"/>
    <n v="218000"/>
    <s v="Bangalore"/>
    <x v="4"/>
    <s v="Hybrid"/>
    <s v="Startup (1-50)"/>
    <x v="10"/>
    <s v="Causal Inference|Python|Leadership|ML|Deep Learning|Cloud|Research|Communication"/>
    <n v="7.3"/>
    <x v="11"/>
    <x v="186"/>
    <n v="7.3"/>
    <x v="0"/>
    <n v="3"/>
    <n v="1"/>
    <x v="1"/>
    <x v="1"/>
    <s v="Upper-Mid ($150-200k)"/>
  </r>
  <r>
    <x v="361"/>
    <x v="2"/>
    <x v="0"/>
    <x v="2"/>
    <x v="4"/>
    <x v="1"/>
    <n v="178000"/>
    <n v="160000"/>
    <n v="300000"/>
    <s v="Los Angeles"/>
    <x v="0"/>
    <s v="Hybrid"/>
    <s v="Mid-size (501-5000)"/>
    <x v="10"/>
    <s v="Prompt Engineering|Vector DBs|Fine-tuning|Python|Leadership"/>
    <n v="5.4"/>
    <x v="2"/>
    <x v="247"/>
    <n v="6.1"/>
    <x v="0"/>
    <n v="3"/>
    <n v="0"/>
    <x v="1"/>
    <x v="0"/>
    <s v="Upper-Mid ($150-200k)"/>
  </r>
  <r>
    <x v="362"/>
    <x v="14"/>
    <x v="6"/>
    <x v="0"/>
    <x v="1"/>
    <x v="3"/>
    <n v="114000"/>
    <n v="95000"/>
    <n v="180000"/>
    <s v="Berlin"/>
    <x v="12"/>
    <s v="Hybrid"/>
    <s v="SME (51-500)"/>
    <x v="5"/>
    <s v="SQL|Business Analysis|Python|Data Visualization|Communication|Git"/>
    <n v="15.4"/>
    <x v="13"/>
    <x v="29"/>
    <n v="9.6999999999999993"/>
    <x v="0"/>
    <n v="3"/>
    <n v="1"/>
    <x v="1"/>
    <x v="1"/>
    <s v="Mid ($100-150k)"/>
  </r>
  <r>
    <x v="363"/>
    <x v="14"/>
    <x v="6"/>
    <x v="3"/>
    <x v="0"/>
    <x v="4"/>
    <n v="147000"/>
    <n v="95000"/>
    <n v="180000"/>
    <s v="Tokyo"/>
    <x v="5"/>
    <s v="Hybrid"/>
    <s v="Big Tech (FAANG+)"/>
    <x v="10"/>
    <s v="Communication|Python|Business Analysis|Data Visualization|SQL|Statistics"/>
    <n v="16.2"/>
    <x v="13"/>
    <x v="248"/>
    <n v="6.4"/>
    <x v="0"/>
    <n v="2"/>
    <n v="0"/>
    <x v="1"/>
    <x v="1"/>
    <s v="Mid ($100-150k)"/>
  </r>
  <r>
    <x v="364"/>
    <x v="6"/>
    <x v="0"/>
    <x v="1"/>
    <x v="12"/>
    <x v="0"/>
    <n v="360000"/>
    <n v="180000"/>
    <n v="312000"/>
    <s v="Seattle"/>
    <x v="0"/>
    <s v="Hybrid"/>
    <s v="Startup (1-50)"/>
    <x v="6"/>
    <s v="System Design|LLM Fine-tuning|MLOps|Leadership|Problem Solving|Cloud"/>
    <n v="14.4"/>
    <x v="0"/>
    <x v="249"/>
    <n v="8.6"/>
    <x v="0"/>
    <n v="3"/>
    <n v="1"/>
    <x v="1"/>
    <x v="1"/>
    <s v="Elite (&gt;$300k)"/>
  </r>
  <r>
    <x v="365"/>
    <x v="1"/>
    <x v="0"/>
    <x v="3"/>
    <x v="1"/>
    <x v="3"/>
    <n v="116000"/>
    <n v="90000"/>
    <n v="200000"/>
    <s v="Chicago"/>
    <x v="0"/>
    <s v="Hybrid"/>
    <s v="SME (51-500)"/>
    <x v="10"/>
    <s v="Documentation|LLM APIs|NLP|SQL|Linux"/>
    <n v="9.6999999999999993"/>
    <x v="1"/>
    <x v="250"/>
    <n v="7.6"/>
    <x v="1"/>
    <n v="10"/>
    <n v="0"/>
    <x v="1"/>
    <x v="0"/>
    <s v="Mid ($100-150k)"/>
  </r>
  <r>
    <x v="366"/>
    <x v="13"/>
    <x v="5"/>
    <x v="3"/>
    <x v="4"/>
    <x v="1"/>
    <n v="261000"/>
    <n v="130000"/>
    <n v="260000"/>
    <s v="New York"/>
    <x v="0"/>
    <s v="On-site"/>
    <s v="Big Tech (FAANG+)"/>
    <x v="6"/>
    <s v="Docker|CI/CD|Python|Kubernetes|MLflow|Cloud|SQL|Agile"/>
    <n v="16.2"/>
    <x v="12"/>
    <x v="13"/>
    <n v="6.5"/>
    <x v="1"/>
    <n v="1"/>
    <n v="0"/>
    <x v="0"/>
    <x v="1"/>
    <s v="Senior ($200-300k)"/>
  </r>
  <r>
    <x v="367"/>
    <x v="1"/>
    <x v="0"/>
    <x v="0"/>
    <x v="3"/>
    <x v="2"/>
    <n v="206000"/>
    <n v="90000"/>
    <n v="200000"/>
    <s v="Remote"/>
    <x v="3"/>
    <s v="Fully Remote"/>
    <s v="Big Tech (FAANG+)"/>
    <x v="0"/>
    <s v="NLP|Testing|LLM APIs|Prompt Design|Documentation|Python|Research|Linux|Statistics"/>
    <n v="7.7"/>
    <x v="1"/>
    <x v="251"/>
    <n v="6.9"/>
    <x v="1"/>
    <n v="9"/>
    <n v="1"/>
    <x v="1"/>
    <x v="0"/>
    <s v="Senior ($200-300k)"/>
  </r>
  <r>
    <x v="368"/>
    <x v="9"/>
    <x v="0"/>
    <x v="2"/>
    <x v="0"/>
    <x v="0"/>
    <n v="147000"/>
    <n v="120000"/>
    <n v="280000"/>
    <s v="Zurich"/>
    <x v="13"/>
    <s v="Hybrid"/>
    <s v="Mid-size (501-5000)"/>
    <x v="10"/>
    <s v="SQL|Kubernetes|Python|Problem Solving"/>
    <n v="8.5"/>
    <x v="8"/>
    <x v="252"/>
    <n v="6.7"/>
    <x v="0"/>
    <n v="1"/>
    <n v="0"/>
    <x v="1"/>
    <x v="1"/>
    <s v="Mid ($100-150k)"/>
  </r>
  <r>
    <x v="369"/>
    <x v="21"/>
    <x v="8"/>
    <x v="2"/>
    <x v="3"/>
    <x v="4"/>
    <n v="138000"/>
    <n v="138000"/>
    <n v="195000"/>
    <s v="Tokyo"/>
    <x v="5"/>
    <s v="On-site"/>
    <s v="SME (51-500)"/>
    <x v="3"/>
    <s v="Python|Data Visualization|SQL|Statistics|ML Algorithms|Scikit-learn|Statistics"/>
    <n v="3.2"/>
    <x v="17"/>
    <x v="253"/>
    <n v="7.5"/>
    <x v="1"/>
    <n v="2"/>
    <n v="0"/>
    <x v="0"/>
    <x v="1"/>
    <s v="Mid ($100-150k)"/>
  </r>
  <r>
    <x v="370"/>
    <x v="16"/>
    <x v="7"/>
    <x v="3"/>
    <x v="2"/>
    <x v="0"/>
    <n v="160000"/>
    <n v="125000"/>
    <n v="240000"/>
    <s v="Chicago"/>
    <x v="0"/>
    <s v="On-site"/>
    <s v="Mid-size (501-5000)"/>
    <x v="8"/>
    <s v="C++|Computer Vision|Python|ROS|Statistics|Linux|SQL"/>
    <n v="11.9"/>
    <x v="15"/>
    <x v="254"/>
    <n v="7.6"/>
    <x v="1"/>
    <n v="7"/>
    <n v="0"/>
    <x v="0"/>
    <x v="1"/>
    <s v="Upper-Mid ($150-200k)"/>
  </r>
  <r>
    <x v="371"/>
    <x v="21"/>
    <x v="8"/>
    <x v="3"/>
    <x v="4"/>
    <x v="2"/>
    <n v="145000"/>
    <n v="138000"/>
    <n v="195000"/>
    <s v="New York"/>
    <x v="0"/>
    <s v="Hybrid"/>
    <s v="SME (51-500)"/>
    <x v="1"/>
    <s v="Python|SQL|ML Algorithms|Statistics|Data Visualization|Scikit-learn|Research"/>
    <n v="4.5999999999999996"/>
    <x v="17"/>
    <x v="255"/>
    <n v="7"/>
    <x v="0"/>
    <n v="3"/>
    <n v="0"/>
    <x v="1"/>
    <x v="1"/>
    <s v="Mid ($100-150k)"/>
  </r>
  <r>
    <x v="372"/>
    <x v="21"/>
    <x v="8"/>
    <x v="3"/>
    <x v="4"/>
    <x v="4"/>
    <n v="201000"/>
    <n v="138000"/>
    <n v="195000"/>
    <s v="London"/>
    <x v="1"/>
    <s v="Fully Remote"/>
    <s v="Big Tech (FAANG+)"/>
    <x v="10"/>
    <s v="ML Algorithms|Data Visualization|Statistics|Statistics"/>
    <n v="8.5"/>
    <x v="17"/>
    <x v="158"/>
    <n v="7.6"/>
    <x v="0"/>
    <n v="2"/>
    <n v="0"/>
    <x v="1"/>
    <x v="1"/>
    <s v="Senior ($200-300k)"/>
  </r>
  <r>
    <x v="373"/>
    <x v="9"/>
    <x v="0"/>
    <x v="0"/>
    <x v="10"/>
    <x v="0"/>
    <n v="317000"/>
    <n v="120000"/>
    <n v="280000"/>
    <s v="San Francisco"/>
    <x v="0"/>
    <s v="Fully Remote"/>
    <s v="Enterprise (5000+)"/>
    <x v="9"/>
    <s v="Kubernetes|TensorFlow|MLOps|PyTorch|Python|Leadership|Agile|SQL"/>
    <n v="13.6"/>
    <x v="8"/>
    <x v="231"/>
    <n v="7.5"/>
    <x v="1"/>
    <n v="3"/>
    <n v="1"/>
    <x v="1"/>
    <x v="1"/>
    <s v="Elite (&gt;$300k)"/>
  </r>
  <r>
    <x v="374"/>
    <x v="10"/>
    <x v="0"/>
    <x v="1"/>
    <x v="6"/>
    <x v="0"/>
    <n v="271000"/>
    <n v="150000"/>
    <n v="295000"/>
    <s v="Tokyo"/>
    <x v="5"/>
    <s v="On-site"/>
    <s v="Mid-size (501-5000)"/>
    <x v="4"/>
    <s v="Deployment|Fine-tuning|LLMs|Diffusion Models|GenAI APIs|Communication|Statistics"/>
    <n v="17.600000000000001"/>
    <x v="9"/>
    <x v="256"/>
    <n v="9.5"/>
    <x v="1"/>
    <n v="1"/>
    <n v="1"/>
    <x v="0"/>
    <x v="0"/>
    <s v="Senior ($200-300k)"/>
  </r>
  <r>
    <x v="375"/>
    <x v="15"/>
    <x v="0"/>
    <x v="2"/>
    <x v="0"/>
    <x v="0"/>
    <n v="145000"/>
    <n v="145000"/>
    <n v="280000"/>
    <s v="Remote"/>
    <x v="3"/>
    <s v="Fully Remote"/>
    <s v="Startup (1-50)"/>
    <x v="3"/>
    <s v="Embeddings|Search Systems|Python|LLMs|LangChain|Vector DBs|Research|Git|Statistics"/>
    <n v="5.5"/>
    <x v="14"/>
    <x v="257"/>
    <n v="8.9"/>
    <x v="0"/>
    <n v="1"/>
    <n v="0"/>
    <x v="1"/>
    <x v="0"/>
    <s v="Mid ($100-150k)"/>
  </r>
  <r>
    <x v="376"/>
    <x v="21"/>
    <x v="8"/>
    <x v="3"/>
    <x v="0"/>
    <x v="3"/>
    <n v="138000"/>
    <n v="138000"/>
    <n v="195000"/>
    <s v="Zurich"/>
    <x v="13"/>
    <s v="Hybrid"/>
    <s v="Mid-size (501-5000)"/>
    <x v="7"/>
    <s v="SQL|ML Algorithms|Statistics|Problem Solving"/>
    <n v="8"/>
    <x v="17"/>
    <x v="258"/>
    <n v="7.9"/>
    <x v="1"/>
    <n v="5"/>
    <n v="0"/>
    <x v="1"/>
    <x v="1"/>
    <s v="Mid ($100-150k)"/>
  </r>
  <r>
    <x v="377"/>
    <x v="18"/>
    <x v="9"/>
    <x v="2"/>
    <x v="10"/>
    <x v="0"/>
    <n v="110000"/>
    <n v="110000"/>
    <n v="210000"/>
    <s v="Beijing"/>
    <x v="6"/>
    <s v="On-site"/>
    <s v="SME (51-500)"/>
    <x v="11"/>
    <s v="Ethics Frameworks|Communication|AI Policy|Communication|Linux|Git"/>
    <n v="8.6999999999999993"/>
    <x v="16"/>
    <x v="259"/>
    <n v="8.1999999999999993"/>
    <x v="1"/>
    <n v="9"/>
    <n v="0"/>
    <x v="0"/>
    <x v="1"/>
    <s v="Mid ($100-150k)"/>
  </r>
  <r>
    <x v="378"/>
    <x v="10"/>
    <x v="0"/>
    <x v="2"/>
    <x v="0"/>
    <x v="2"/>
    <n v="150000"/>
    <n v="150000"/>
    <n v="295000"/>
    <s v="Berlin"/>
    <x v="12"/>
    <s v="Hybrid"/>
    <s v="SME (51-500)"/>
    <x v="5"/>
    <s v="Python|Diffusion Models|Deployment|GenAI APIs|Fine-tuning|LLMs|Git|Leadership"/>
    <n v="13.2"/>
    <x v="9"/>
    <x v="260"/>
    <n v="8.6999999999999993"/>
    <x v="1"/>
    <n v="7"/>
    <n v="0"/>
    <x v="1"/>
    <x v="0"/>
    <s v="Mid ($100-150k)"/>
  </r>
  <r>
    <x v="379"/>
    <x v="16"/>
    <x v="7"/>
    <x v="2"/>
    <x v="2"/>
    <x v="3"/>
    <n v="125000"/>
    <n v="125000"/>
    <n v="240000"/>
    <s v="Zurich"/>
    <x v="13"/>
    <s v="On-site"/>
    <s v="Mid-size (501-5000)"/>
    <x v="2"/>
    <s v="Simulation|Python|Computer Vision|Communication"/>
    <n v="11.1"/>
    <x v="15"/>
    <x v="91"/>
    <n v="6.4"/>
    <x v="0"/>
    <n v="1"/>
    <n v="0"/>
    <x v="0"/>
    <x v="1"/>
    <s v="Mid ($100-150k)"/>
  </r>
  <r>
    <x v="380"/>
    <x v="14"/>
    <x v="6"/>
    <x v="3"/>
    <x v="2"/>
    <x v="1"/>
    <n v="99000"/>
    <n v="95000"/>
    <n v="180000"/>
    <s v="Toronto"/>
    <x v="7"/>
    <s v="Hybrid"/>
    <s v="Mid-size (501-5000)"/>
    <x v="7"/>
    <s v="Business Analysis|Python|SQL|Problem Solving|Research|Git"/>
    <n v="9.1999999999999993"/>
    <x v="13"/>
    <x v="261"/>
    <n v="9.5"/>
    <x v="1"/>
    <n v="12"/>
    <n v="0"/>
    <x v="1"/>
    <x v="1"/>
    <s v="Entry (&lt;$100k)"/>
  </r>
  <r>
    <x v="381"/>
    <x v="6"/>
    <x v="0"/>
    <x v="1"/>
    <x v="11"/>
    <x v="1"/>
    <n v="292000"/>
    <n v="180000"/>
    <n v="312000"/>
    <s v="Austin"/>
    <x v="0"/>
    <s v="Hybrid"/>
    <s v="Startup (1-50)"/>
    <x v="0"/>
    <s v="Python|Distributed Systems|LLM Fine-tuning|Cloud|Problem Solving"/>
    <n v="12.1"/>
    <x v="0"/>
    <x v="16"/>
    <n v="9"/>
    <x v="0"/>
    <n v="2"/>
    <n v="1"/>
    <x v="1"/>
    <x v="1"/>
    <s v="Senior ($200-300k)"/>
  </r>
  <r>
    <x v="382"/>
    <x v="2"/>
    <x v="0"/>
    <x v="2"/>
    <x v="0"/>
    <x v="4"/>
    <n v="201000"/>
    <n v="160000"/>
    <n v="300000"/>
    <s v="Zurich"/>
    <x v="13"/>
    <s v="Hybrid"/>
    <s v="Enterprise (5000+)"/>
    <x v="1"/>
    <s v="RAG|Prompt Engineering|Fine-tuning|Communication|Git|Leadership"/>
    <n v="3.5"/>
    <x v="2"/>
    <x v="67"/>
    <n v="6.7"/>
    <x v="0"/>
    <n v="3"/>
    <n v="0"/>
    <x v="1"/>
    <x v="0"/>
    <s v="Senior ($200-300k)"/>
  </r>
  <r>
    <x v="383"/>
    <x v="5"/>
    <x v="3"/>
    <x v="1"/>
    <x v="10"/>
    <x v="3"/>
    <n v="201000"/>
    <n v="140000"/>
    <n v="260000"/>
    <s v="Berlin"/>
    <x v="12"/>
    <s v="Hybrid"/>
    <s v="Mid-size (501-5000)"/>
    <x v="6"/>
    <s v="ML Security|Risk Analysis|Cybersecurity|Linux"/>
    <n v="13.1"/>
    <x v="5"/>
    <x v="262"/>
    <n v="7.4"/>
    <x v="0"/>
    <n v="3"/>
    <n v="1"/>
    <x v="1"/>
    <x v="1"/>
    <s v="Senior ($200-300k)"/>
  </r>
  <r>
    <x v="384"/>
    <x v="23"/>
    <x v="9"/>
    <x v="1"/>
    <x v="0"/>
    <x v="4"/>
    <n v="240000"/>
    <n v="100000"/>
    <n v="200000"/>
    <s v="Austin"/>
    <x v="0"/>
    <s v="On-site"/>
    <s v="SME (51-500)"/>
    <x v="4"/>
    <s v="EU AI Act|Risk Management|Auditing|Documentation|Leadership|SQL|Cloud"/>
    <n v="10"/>
    <x v="19"/>
    <x v="128"/>
    <n v="9"/>
    <x v="1"/>
    <n v="11"/>
    <n v="1"/>
    <x v="0"/>
    <x v="1"/>
    <s v="Senior ($200-300k)"/>
  </r>
  <r>
    <x v="385"/>
    <x v="18"/>
    <x v="9"/>
    <x v="0"/>
    <x v="9"/>
    <x v="2"/>
    <n v="204000"/>
    <n v="110000"/>
    <n v="210000"/>
    <s v="Zurich"/>
    <x v="13"/>
    <s v="Fully Remote"/>
    <s v="Big Tech (FAANG+)"/>
    <x v="2"/>
    <s v="Ethics Frameworks|Communication|Risk Assessment|AI Policy|Research|SQL|Research"/>
    <n v="14.4"/>
    <x v="16"/>
    <x v="263"/>
    <n v="7.8"/>
    <x v="1"/>
    <n v="8"/>
    <n v="1"/>
    <x v="1"/>
    <x v="1"/>
    <s v="Senior ($200-300k)"/>
  </r>
  <r>
    <x v="386"/>
    <x v="10"/>
    <x v="0"/>
    <x v="3"/>
    <x v="1"/>
    <x v="3"/>
    <n v="150000"/>
    <n v="150000"/>
    <n v="295000"/>
    <s v="Toronto"/>
    <x v="7"/>
    <s v="On-site"/>
    <s v="Enterprise (5000+)"/>
    <x v="5"/>
    <s v="Python|Deployment|Fine-tuning|LLMs|Diffusion Models|Agile"/>
    <n v="13.9"/>
    <x v="9"/>
    <x v="264"/>
    <n v="6.2"/>
    <x v="1"/>
    <n v="4"/>
    <n v="0"/>
    <x v="0"/>
    <x v="0"/>
    <s v="Mid ($100-150k)"/>
  </r>
  <r>
    <x v="387"/>
    <x v="13"/>
    <x v="5"/>
    <x v="0"/>
    <x v="0"/>
    <x v="0"/>
    <n v="203000"/>
    <n v="130000"/>
    <n v="260000"/>
    <s v="Chicago"/>
    <x v="0"/>
    <s v="On-site"/>
    <s v="SME (51-500)"/>
    <x v="7"/>
    <s v="Kubernetes|Cloud|Python|Monitoring|Git|SQL"/>
    <n v="14.5"/>
    <x v="12"/>
    <x v="265"/>
    <n v="7.3"/>
    <x v="1"/>
    <n v="8"/>
    <n v="1"/>
    <x v="0"/>
    <x v="1"/>
    <s v="Senior ($200-300k)"/>
  </r>
  <r>
    <x v="388"/>
    <x v="7"/>
    <x v="0"/>
    <x v="3"/>
    <x v="9"/>
    <x v="2"/>
    <n v="167000"/>
    <n v="145000"/>
    <n v="290000"/>
    <s v="Singapore"/>
    <x v="2"/>
    <s v="Hybrid"/>
    <s v="Mid-size (501-5000)"/>
    <x v="10"/>
    <s v="Python|Transformers|Hugging Face|Communication"/>
    <n v="5.6"/>
    <x v="6"/>
    <x v="266"/>
    <n v="9.6999999999999993"/>
    <x v="1"/>
    <n v="1"/>
    <n v="0"/>
    <x v="1"/>
    <x v="1"/>
    <s v="Upper-Mid ($150-200k)"/>
  </r>
  <r>
    <x v="389"/>
    <x v="23"/>
    <x v="9"/>
    <x v="3"/>
    <x v="4"/>
    <x v="2"/>
    <n v="100000"/>
    <n v="100000"/>
    <n v="200000"/>
    <s v="Beijing"/>
    <x v="6"/>
    <s v="Fully Remote"/>
    <s v="Big Tech (FAANG+)"/>
    <x v="11"/>
    <s v="Risk Management|EU AI Act|Documentation|Auditing|Leadership"/>
    <n v="10.1"/>
    <x v="19"/>
    <x v="179"/>
    <n v="7.8"/>
    <x v="0"/>
    <n v="1"/>
    <n v="0"/>
    <x v="1"/>
    <x v="1"/>
    <s v="Entry (&lt;$100k)"/>
  </r>
  <r>
    <x v="390"/>
    <x v="24"/>
    <x v="11"/>
    <x v="0"/>
    <x v="8"/>
    <x v="3"/>
    <n v="190000"/>
    <n v="115000"/>
    <n v="280000"/>
    <s v="Dubai"/>
    <x v="8"/>
    <s v="Fully Remote"/>
    <s v="Enterprise (5000+)"/>
    <x v="7"/>
    <s v="Publishing|Research|Deep Learning|Mathematics|PyTorch|Agile|Cloud"/>
    <n v="13.8"/>
    <x v="3"/>
    <x v="119"/>
    <n v="6.8"/>
    <x v="1"/>
    <n v="4"/>
    <n v="1"/>
    <x v="1"/>
    <x v="1"/>
    <s v="Upper-Mid ($150-200k)"/>
  </r>
  <r>
    <x v="391"/>
    <x v="2"/>
    <x v="0"/>
    <x v="1"/>
    <x v="6"/>
    <x v="3"/>
    <n v="330000"/>
    <n v="160000"/>
    <n v="300000"/>
    <s v="Los Angeles"/>
    <x v="0"/>
    <s v="On-site"/>
    <s v="Mid-size (501-5000)"/>
    <x v="4"/>
    <s v="Fine-tuning|Prompt Engineering|Python|RAG|Vector DBs|Research|Leadership"/>
    <n v="3.3"/>
    <x v="2"/>
    <x v="151"/>
    <n v="7.3"/>
    <x v="0"/>
    <n v="2"/>
    <n v="1"/>
    <x v="0"/>
    <x v="0"/>
    <s v="Elite (&gt;$300k)"/>
  </r>
  <r>
    <x v="392"/>
    <x v="1"/>
    <x v="0"/>
    <x v="0"/>
    <x v="1"/>
    <x v="4"/>
    <n v="189000"/>
    <n v="90000"/>
    <n v="200000"/>
    <s v="Singapore"/>
    <x v="2"/>
    <s v="Fully Remote"/>
    <s v="Enterprise (5000+)"/>
    <x v="6"/>
    <s v="LLM APIs|Python|Prompt Design|Documentation|NLP|Testing|Leadership|Problem Solving|Git"/>
    <n v="3.7"/>
    <x v="1"/>
    <x v="267"/>
    <n v="6.1"/>
    <x v="1"/>
    <n v="4"/>
    <n v="1"/>
    <x v="1"/>
    <x v="0"/>
    <s v="Upper-Mid ($150-200k)"/>
  </r>
  <r>
    <x v="393"/>
    <x v="12"/>
    <x v="0"/>
    <x v="0"/>
    <x v="0"/>
    <x v="4"/>
    <n v="235000"/>
    <n v="160000"/>
    <n v="300000"/>
    <s v="Toronto"/>
    <x v="7"/>
    <s v="Fully Remote"/>
    <s v="Mid-size (501-5000)"/>
    <x v="3"/>
    <s v="Fine-tuning|PyTorch|Python|Agile|Statistics"/>
    <n v="16.2"/>
    <x v="11"/>
    <x v="235"/>
    <n v="6"/>
    <x v="0"/>
    <n v="1"/>
    <n v="1"/>
    <x v="1"/>
    <x v="1"/>
    <s v="Senior ($200-300k)"/>
  </r>
  <r>
    <x v="394"/>
    <x v="2"/>
    <x v="0"/>
    <x v="3"/>
    <x v="8"/>
    <x v="3"/>
    <n v="160000"/>
    <n v="160000"/>
    <n v="300000"/>
    <s v="London"/>
    <x v="1"/>
    <s v="Hybrid"/>
    <s v="SME (51-500)"/>
    <x v="5"/>
    <s v="Vector DBs|RAG|Fine-tuning|Python|LLM APIs|Prompt Engineering|Cloud|Communication"/>
    <n v="6.9"/>
    <x v="2"/>
    <x v="109"/>
    <n v="8.1999999999999993"/>
    <x v="1"/>
    <n v="12"/>
    <n v="0"/>
    <x v="1"/>
    <x v="0"/>
    <s v="Upper-Mid ($150-200k)"/>
  </r>
  <r>
    <x v="395"/>
    <x v="20"/>
    <x v="0"/>
    <x v="0"/>
    <x v="0"/>
    <x v="0"/>
    <n v="211000"/>
    <n v="100000"/>
    <n v="250000"/>
    <s v="Remote"/>
    <x v="3"/>
    <s v="Hybrid"/>
    <s v="Mid-size (501-5000)"/>
    <x v="4"/>
    <s v="Docker|Cloud (AWS/GCP/Azure)|LLM Integration|Python|SQL|Linux|Leadership"/>
    <n v="16"/>
    <x v="9"/>
    <x v="268"/>
    <n v="8.1999999999999993"/>
    <x v="1"/>
    <n v="7"/>
    <n v="1"/>
    <x v="1"/>
    <x v="1"/>
    <s v="Senior ($200-300k)"/>
  </r>
  <r>
    <x v="396"/>
    <x v="11"/>
    <x v="0"/>
    <x v="1"/>
    <x v="6"/>
    <x v="0"/>
    <n v="215000"/>
    <n v="141000"/>
    <n v="270000"/>
    <s v="Sydney"/>
    <x v="11"/>
    <s v="On-site"/>
    <s v="Startup (1-50)"/>
    <x v="5"/>
    <s v="CUDA|TensorFlow|Python|Neural Networks|GPU Computing|PyTorch|Problem Solving"/>
    <n v="4.4000000000000004"/>
    <x v="10"/>
    <x v="269"/>
    <n v="7.5"/>
    <x v="1"/>
    <n v="5"/>
    <n v="1"/>
    <x v="0"/>
    <x v="1"/>
    <s v="Senior ($200-300k)"/>
  </r>
  <r>
    <x v="397"/>
    <x v="12"/>
    <x v="0"/>
    <x v="1"/>
    <x v="3"/>
    <x v="1"/>
    <n v="231000"/>
    <n v="160000"/>
    <n v="300000"/>
    <s v="Dubai"/>
    <x v="8"/>
    <s v="Hybrid"/>
    <s v="Startup (1-50)"/>
    <x v="9"/>
    <s v="PyTorch|APIs|Vision-Language Models|Git"/>
    <n v="12.8"/>
    <x v="11"/>
    <x v="3"/>
    <n v="9.6"/>
    <x v="0"/>
    <n v="1"/>
    <n v="1"/>
    <x v="1"/>
    <x v="1"/>
    <s v="Senior ($200-300k)"/>
  </r>
  <r>
    <x v="398"/>
    <x v="11"/>
    <x v="0"/>
    <x v="1"/>
    <x v="0"/>
    <x v="0"/>
    <n v="270000"/>
    <n v="141000"/>
    <n v="270000"/>
    <s v="Paris"/>
    <x v="10"/>
    <s v="On-site"/>
    <s v="Enterprise (5000+)"/>
    <x v="5"/>
    <s v="GPU Computing|Neural Networks|TensorFlow|Python|Linux"/>
    <n v="5.8"/>
    <x v="10"/>
    <x v="90"/>
    <n v="8"/>
    <x v="0"/>
    <n v="2"/>
    <n v="1"/>
    <x v="0"/>
    <x v="1"/>
    <s v="Senior ($200-300k)"/>
  </r>
  <r>
    <x v="399"/>
    <x v="8"/>
    <x v="4"/>
    <x v="2"/>
    <x v="13"/>
    <x v="1"/>
    <n v="209000"/>
    <n v="180000"/>
    <n v="320000"/>
    <s v="Zurich"/>
    <x v="13"/>
    <s v="Fully Remote"/>
    <s v="Big Tech (FAANG+)"/>
    <x v="11"/>
    <s v="Enterprise Architecture|ML|Python|Leadership|System Design|Communication|Linux"/>
    <n v="12.6"/>
    <x v="7"/>
    <x v="269"/>
    <n v="6.7"/>
    <x v="0"/>
    <n v="2"/>
    <n v="0"/>
    <x v="1"/>
    <x v="1"/>
    <s v="Senior ($200-300k)"/>
  </r>
  <r>
    <x v="400"/>
    <x v="19"/>
    <x v="10"/>
    <x v="3"/>
    <x v="0"/>
    <x v="4"/>
    <n v="250000"/>
    <n v="140000"/>
    <n v="270000"/>
    <s v="New York"/>
    <x v="0"/>
    <s v="Hybrid"/>
    <s v="SME (51-500)"/>
    <x v="0"/>
    <s v="Networking|Cloud|Kubernetes|Distributed Systems|CUDA|Git|Statistics|Problem Solving"/>
    <n v="15.8"/>
    <x v="4"/>
    <x v="213"/>
    <n v="6.6"/>
    <x v="1"/>
    <n v="1"/>
    <n v="0"/>
    <x v="1"/>
    <x v="1"/>
    <s v="Senior ($200-300k)"/>
  </r>
  <r>
    <x v="401"/>
    <x v="8"/>
    <x v="4"/>
    <x v="1"/>
    <x v="12"/>
    <x v="3"/>
    <n v="349000"/>
    <n v="180000"/>
    <n v="320000"/>
    <s v="San Francisco"/>
    <x v="0"/>
    <s v="Hybrid"/>
    <s v="Startup (1-50)"/>
    <x v="4"/>
    <s v="Python|System Design|Leadership|Cloud|Linux"/>
    <n v="12.6"/>
    <x v="7"/>
    <x v="167"/>
    <n v="6.3"/>
    <x v="0"/>
    <n v="3"/>
    <n v="1"/>
    <x v="1"/>
    <x v="1"/>
    <s v="Elite (&gt;$300k)"/>
  </r>
  <r>
    <x v="402"/>
    <x v="8"/>
    <x v="4"/>
    <x v="0"/>
    <x v="8"/>
    <x v="0"/>
    <n v="324000"/>
    <n v="180000"/>
    <n v="320000"/>
    <s v="Austin"/>
    <x v="0"/>
    <s v="Fully Remote"/>
    <s v="Enterprise (5000+)"/>
    <x v="7"/>
    <s v="Cloud|ML|System Design|Cloud|Linux|Git"/>
    <n v="14.8"/>
    <x v="7"/>
    <x v="270"/>
    <n v="7.4"/>
    <x v="1"/>
    <n v="1"/>
    <n v="1"/>
    <x v="1"/>
    <x v="1"/>
    <s v="Elite (&gt;$300k)"/>
  </r>
  <r>
    <x v="403"/>
    <x v="12"/>
    <x v="0"/>
    <x v="1"/>
    <x v="9"/>
    <x v="1"/>
    <n v="254000"/>
    <n v="160000"/>
    <n v="300000"/>
    <s v="Tokyo"/>
    <x v="5"/>
    <s v="On-site"/>
    <s v="SME (51-500)"/>
    <x v="1"/>
    <s v="Python|APIs|PyTorch|Vision-Language Models|Fine-tuning|Problem Solving"/>
    <n v="11.8"/>
    <x v="11"/>
    <x v="101"/>
    <n v="6.9"/>
    <x v="0"/>
    <n v="1"/>
    <n v="1"/>
    <x v="0"/>
    <x v="1"/>
    <s v="Senior ($200-300k)"/>
  </r>
  <r>
    <x v="404"/>
    <x v="6"/>
    <x v="0"/>
    <x v="2"/>
    <x v="6"/>
    <x v="1"/>
    <n v="245000"/>
    <n v="180000"/>
    <n v="312000"/>
    <s v="San Francisco"/>
    <x v="0"/>
    <s v="On-site"/>
    <s v="Enterprise (5000+)"/>
    <x v="10"/>
    <s v="PyTorch|Python|Distributed Systems|Linux|SQL|Cloud"/>
    <n v="11.3"/>
    <x v="0"/>
    <x v="271"/>
    <n v="6.7"/>
    <x v="1"/>
    <n v="9"/>
    <n v="0"/>
    <x v="0"/>
    <x v="1"/>
    <s v="Senior ($200-300k)"/>
  </r>
  <r>
    <x v="405"/>
    <x v="2"/>
    <x v="0"/>
    <x v="3"/>
    <x v="2"/>
    <x v="0"/>
    <n v="160000"/>
    <n v="160000"/>
    <n v="300000"/>
    <s v="Amsterdam"/>
    <x v="9"/>
    <s v="On-site"/>
    <s v="Startup (1-50)"/>
    <x v="2"/>
    <s v="Python|RAG|Fine-tuning|Vector DBs|Communication|Research"/>
    <n v="8.6999999999999993"/>
    <x v="2"/>
    <x v="236"/>
    <n v="7.4"/>
    <x v="1"/>
    <n v="4"/>
    <n v="0"/>
    <x v="0"/>
    <x v="0"/>
    <s v="Upper-Mid ($150-200k)"/>
  </r>
  <r>
    <x v="406"/>
    <x v="1"/>
    <x v="0"/>
    <x v="1"/>
    <x v="4"/>
    <x v="1"/>
    <n v="230000"/>
    <n v="90000"/>
    <n v="200000"/>
    <s v="Paris"/>
    <x v="10"/>
    <s v="Hybrid"/>
    <s v="Big Tech (FAANG+)"/>
    <x v="9"/>
    <s v="Python|Prompt Design|Documentation|NLP|Cloud|Linux|Statistics"/>
    <n v="9.1999999999999993"/>
    <x v="1"/>
    <x v="272"/>
    <n v="9.1999999999999993"/>
    <x v="0"/>
    <n v="2"/>
    <n v="1"/>
    <x v="1"/>
    <x v="0"/>
    <s v="Senior ($200-300k)"/>
  </r>
  <r>
    <x v="407"/>
    <x v="20"/>
    <x v="0"/>
    <x v="1"/>
    <x v="0"/>
    <x v="3"/>
    <n v="101000"/>
    <n v="100000"/>
    <n v="250000"/>
    <s v="Beijing"/>
    <x v="6"/>
    <s v="Hybrid"/>
    <s v="Big Tech (FAANG+)"/>
    <x v="0"/>
    <s v="Docker|Python|PyTorch|Problem Solving"/>
    <n v="15.4"/>
    <x v="9"/>
    <x v="273"/>
    <n v="8.4"/>
    <x v="1"/>
    <n v="6"/>
    <n v="1"/>
    <x v="1"/>
    <x v="1"/>
    <s v="Mid ($100-150k)"/>
  </r>
  <r>
    <x v="408"/>
    <x v="18"/>
    <x v="9"/>
    <x v="3"/>
    <x v="2"/>
    <x v="3"/>
    <n v="110000"/>
    <n v="110000"/>
    <n v="210000"/>
    <s v="Paris"/>
    <x v="10"/>
    <s v="Hybrid"/>
    <s v="SME (51-500)"/>
    <x v="4"/>
    <s v="Research|Communication|Ethics Frameworks|Linux|Agile"/>
    <n v="15.6"/>
    <x v="16"/>
    <x v="274"/>
    <n v="9.6999999999999993"/>
    <x v="0"/>
    <n v="2"/>
    <n v="0"/>
    <x v="1"/>
    <x v="1"/>
    <s v="Mid ($100-150k)"/>
  </r>
  <r>
    <x v="409"/>
    <x v="23"/>
    <x v="9"/>
    <x v="0"/>
    <x v="3"/>
    <x v="4"/>
    <n v="234000"/>
    <n v="100000"/>
    <n v="200000"/>
    <s v="San Francisco"/>
    <x v="0"/>
    <s v="On-site"/>
    <s v="SME (51-500)"/>
    <x v="7"/>
    <s v="Risk Management|Auditing|Documentation|Legal Knowledge|EU AI Act|Research"/>
    <n v="16.7"/>
    <x v="19"/>
    <x v="3"/>
    <n v="6.7"/>
    <x v="0"/>
    <n v="1"/>
    <n v="1"/>
    <x v="0"/>
    <x v="1"/>
    <s v="Senior ($200-300k)"/>
  </r>
  <r>
    <x v="410"/>
    <x v="11"/>
    <x v="0"/>
    <x v="3"/>
    <x v="8"/>
    <x v="2"/>
    <n v="142000"/>
    <n v="141000"/>
    <n v="270000"/>
    <s v="Austin"/>
    <x v="0"/>
    <s v="On-site"/>
    <s v="Startup (1-50)"/>
    <x v="8"/>
    <s v="GPU Computing|Python|Neural Networks|TensorFlow|Agile|Linux"/>
    <n v="6"/>
    <x v="10"/>
    <x v="163"/>
    <n v="7.2"/>
    <x v="0"/>
    <n v="3"/>
    <n v="0"/>
    <x v="0"/>
    <x v="1"/>
    <s v="Mid ($100-150k)"/>
  </r>
  <r>
    <x v="411"/>
    <x v="11"/>
    <x v="0"/>
    <x v="2"/>
    <x v="4"/>
    <x v="4"/>
    <n v="141000"/>
    <n v="141000"/>
    <n v="270000"/>
    <s v="Berlin"/>
    <x v="12"/>
    <s v="Hybrid"/>
    <s v="Enterprise (5000+)"/>
    <x v="6"/>
    <s v="Neural Networks|CUDA|GPU Computing|Python|PyTorch|TensorFlow|Cloud|Git"/>
    <n v="4.0999999999999996"/>
    <x v="10"/>
    <x v="198"/>
    <n v="7"/>
    <x v="0"/>
    <n v="2"/>
    <n v="0"/>
    <x v="1"/>
    <x v="1"/>
    <s v="Mid ($100-150k)"/>
  </r>
  <r>
    <x v="412"/>
    <x v="13"/>
    <x v="5"/>
    <x v="1"/>
    <x v="6"/>
    <x v="1"/>
    <n v="285000"/>
    <n v="130000"/>
    <n v="260000"/>
    <s v="Sydney"/>
    <x v="11"/>
    <s v="Fully Remote"/>
    <s v="Big Tech (FAANG+)"/>
    <x v="3"/>
    <s v="Kubernetes|Cloud|Monitoring|Python|CI/CD|MLflow|Cloud|Problem Solving"/>
    <n v="11.7"/>
    <x v="12"/>
    <x v="13"/>
    <n v="8.4"/>
    <x v="0"/>
    <n v="2"/>
    <n v="1"/>
    <x v="1"/>
    <x v="1"/>
    <s v="Senior ($200-300k)"/>
  </r>
  <r>
    <x v="413"/>
    <x v="9"/>
    <x v="0"/>
    <x v="3"/>
    <x v="0"/>
    <x v="0"/>
    <n v="244000"/>
    <n v="120000"/>
    <n v="280000"/>
    <s v="Boston"/>
    <x v="0"/>
    <s v="Hybrid"/>
    <s v="Enterprise (5000+)"/>
    <x v="2"/>
    <s v="Kubernetes|MLOps|TensorFlow|SQL|Python|Cloud|Problem Solving|Communication"/>
    <n v="17.2"/>
    <x v="8"/>
    <x v="69"/>
    <n v="8.6999999999999993"/>
    <x v="1"/>
    <n v="11"/>
    <n v="0"/>
    <x v="1"/>
    <x v="1"/>
    <s v="Senior ($200-300k)"/>
  </r>
  <r>
    <x v="414"/>
    <x v="0"/>
    <x v="0"/>
    <x v="1"/>
    <x v="8"/>
    <x v="0"/>
    <n v="329000"/>
    <n v="155000"/>
    <n v="290000"/>
    <s v="Austin"/>
    <x v="0"/>
    <s v="Fully Remote"/>
    <s v="Mid-size (501-5000)"/>
    <x v="10"/>
    <s v="Python|APIs|Planning Systems|AutoGen|Cloud|Problem Solving|Git"/>
    <n v="16.8"/>
    <x v="0"/>
    <x v="275"/>
    <n v="7.6"/>
    <x v="0"/>
    <n v="3"/>
    <n v="1"/>
    <x v="1"/>
    <x v="0"/>
    <s v="Elite (&gt;$300k)"/>
  </r>
  <r>
    <x v="415"/>
    <x v="16"/>
    <x v="7"/>
    <x v="0"/>
    <x v="2"/>
    <x v="3"/>
    <n v="225000"/>
    <n v="125000"/>
    <n v="240000"/>
    <s v="Sydney"/>
    <x v="11"/>
    <s v="On-site"/>
    <s v="Big Tech (FAANG+)"/>
    <x v="8"/>
    <s v="Simulation|Control Systems|C++|Agile"/>
    <n v="15.5"/>
    <x v="15"/>
    <x v="50"/>
    <n v="6"/>
    <x v="1"/>
    <n v="8"/>
    <n v="1"/>
    <x v="0"/>
    <x v="1"/>
    <s v="Senior ($200-300k)"/>
  </r>
  <r>
    <x v="416"/>
    <x v="20"/>
    <x v="0"/>
    <x v="1"/>
    <x v="2"/>
    <x v="2"/>
    <n v="186000"/>
    <n v="100000"/>
    <n v="250000"/>
    <s v="Boston"/>
    <x v="0"/>
    <s v="Hybrid"/>
    <s v="Startup (1-50)"/>
    <x v="9"/>
    <s v="PyTorch|LLM Integration|Python|Docker|Cloud (AWS/GCP/Azure)|Linux|Communication|Research"/>
    <n v="9.1"/>
    <x v="9"/>
    <x v="276"/>
    <n v="6.8"/>
    <x v="1"/>
    <n v="12"/>
    <n v="1"/>
    <x v="1"/>
    <x v="1"/>
    <s v="Upper-Mid ($150-200k)"/>
  </r>
  <r>
    <x v="417"/>
    <x v="24"/>
    <x v="11"/>
    <x v="1"/>
    <x v="4"/>
    <x v="3"/>
    <n v="275000"/>
    <n v="115000"/>
    <n v="280000"/>
    <s v="Los Angeles"/>
    <x v="0"/>
    <s v="Hybrid"/>
    <s v="Mid-size (501-5000)"/>
    <x v="0"/>
    <s v="Python|Research|Publishing|PyTorch|Agile"/>
    <n v="13.9"/>
    <x v="3"/>
    <x v="0"/>
    <n v="8.6"/>
    <x v="1"/>
    <n v="1"/>
    <n v="1"/>
    <x v="1"/>
    <x v="1"/>
    <s v="Senior ($200-300k)"/>
  </r>
  <r>
    <x v="418"/>
    <x v="22"/>
    <x v="0"/>
    <x v="2"/>
    <x v="3"/>
    <x v="1"/>
    <n v="232000"/>
    <n v="145000"/>
    <n v="280000"/>
    <s v="San Francisco"/>
    <x v="0"/>
    <s v="Fully Remote"/>
    <s v="Big Tech (FAANG+)"/>
    <x v="7"/>
    <s v="Image Processing|CUDA|PyTorch|OpenCV|CNNs|Python|Cloud|Statistics|Leadership"/>
    <n v="10"/>
    <x v="18"/>
    <x v="277"/>
    <n v="9.6"/>
    <x v="0"/>
    <n v="2"/>
    <n v="0"/>
    <x v="1"/>
    <x v="1"/>
    <s v="Senior ($200-300k)"/>
  </r>
  <r>
    <x v="419"/>
    <x v="15"/>
    <x v="0"/>
    <x v="0"/>
    <x v="0"/>
    <x v="1"/>
    <n v="255000"/>
    <n v="145000"/>
    <n v="280000"/>
    <s v="New York"/>
    <x v="0"/>
    <s v="Hybrid"/>
    <s v="Mid-size (501-5000)"/>
    <x v="11"/>
    <s v="LangChain|Vector DBs|Python|LLMs|Embeddings|Search Systems|Communication|Statistics|Research"/>
    <n v="9.1"/>
    <x v="14"/>
    <x v="66"/>
    <n v="8.5"/>
    <x v="1"/>
    <n v="11"/>
    <n v="1"/>
    <x v="1"/>
    <x v="0"/>
    <s v="Senior ($200-300k)"/>
  </r>
  <r>
    <x v="420"/>
    <x v="4"/>
    <x v="2"/>
    <x v="2"/>
    <x v="4"/>
    <x v="4"/>
    <n v="227000"/>
    <n v="140000"/>
    <n v="260000"/>
    <s v="San Francisco"/>
    <x v="0"/>
    <s v="Hybrid"/>
    <s v="Mid-size (501-5000)"/>
    <x v="8"/>
    <s v="Agile|Data Analysis|Stakeholder Mgmt|Product Strategy|AI Literacy|Research|Git"/>
    <n v="14.1"/>
    <x v="4"/>
    <x v="278"/>
    <n v="9.3000000000000007"/>
    <x v="0"/>
    <n v="3"/>
    <n v="0"/>
    <x v="1"/>
    <x v="1"/>
    <s v="Senior ($200-300k)"/>
  </r>
  <r>
    <x v="421"/>
    <x v="5"/>
    <x v="3"/>
    <x v="1"/>
    <x v="10"/>
    <x v="1"/>
    <n v="280000"/>
    <n v="140000"/>
    <n v="260000"/>
    <s v="New York"/>
    <x v="0"/>
    <s v="On-site"/>
    <s v="SME (51-500)"/>
    <x v="2"/>
    <s v="Red Teaming|Cybersecurity|ML Security|Leadership|Communication|Problem Solving"/>
    <n v="17.399999999999999"/>
    <x v="5"/>
    <x v="50"/>
    <n v="6.4"/>
    <x v="0"/>
    <n v="1"/>
    <n v="1"/>
    <x v="0"/>
    <x v="1"/>
    <s v="Senior ($200-300k)"/>
  </r>
  <r>
    <x v="422"/>
    <x v="24"/>
    <x v="11"/>
    <x v="0"/>
    <x v="11"/>
    <x v="0"/>
    <n v="218000"/>
    <n v="115000"/>
    <n v="280000"/>
    <s v="Toronto"/>
    <x v="7"/>
    <s v="Fully Remote"/>
    <s v="Enterprise (5000+)"/>
    <x v="2"/>
    <s v="Publishing|PyTorch|Deep Learning|Statistics"/>
    <n v="15.7"/>
    <x v="3"/>
    <x v="250"/>
    <n v="8.4"/>
    <x v="1"/>
    <n v="12"/>
    <n v="1"/>
    <x v="1"/>
    <x v="1"/>
    <s v="Senior ($200-300k)"/>
  </r>
  <r>
    <x v="423"/>
    <x v="10"/>
    <x v="0"/>
    <x v="1"/>
    <x v="1"/>
    <x v="0"/>
    <n v="353000"/>
    <n v="150000"/>
    <n v="295000"/>
    <s v="Sydney"/>
    <x v="11"/>
    <s v="Fully Remote"/>
    <s v="Big Tech (FAANG+)"/>
    <x v="4"/>
    <s v="Python|Deployment|LLMs|GenAI APIs|Diffusion Models|Git|Statistics|Linux"/>
    <n v="13.8"/>
    <x v="9"/>
    <x v="36"/>
    <n v="6.2"/>
    <x v="0"/>
    <n v="2"/>
    <n v="1"/>
    <x v="1"/>
    <x v="0"/>
    <s v="Elite (&gt;$300k)"/>
  </r>
  <r>
    <x v="424"/>
    <x v="1"/>
    <x v="0"/>
    <x v="3"/>
    <x v="4"/>
    <x v="2"/>
    <n v="98000"/>
    <n v="90000"/>
    <n v="200000"/>
    <s v="Toronto"/>
    <x v="7"/>
    <s v="Fully Remote"/>
    <s v="Mid-size (501-5000)"/>
    <x v="6"/>
    <s v="Prompt Design|NLP|Documentation|Python|Statistics|Linux"/>
    <n v="6.5"/>
    <x v="1"/>
    <x v="21"/>
    <n v="8.3000000000000007"/>
    <x v="1"/>
    <n v="11"/>
    <n v="0"/>
    <x v="1"/>
    <x v="0"/>
    <s v="Entry (&lt;$100k)"/>
  </r>
  <r>
    <x v="425"/>
    <x v="19"/>
    <x v="10"/>
    <x v="0"/>
    <x v="6"/>
    <x v="4"/>
    <n v="324000"/>
    <n v="140000"/>
    <n v="270000"/>
    <s v="New York"/>
    <x v="0"/>
    <s v="Fully Remote"/>
    <s v="Big Tech (FAANG+)"/>
    <x v="8"/>
    <s v="CUDA|Storage|Distributed Systems|Communication|Research|Agile"/>
    <n v="8.6"/>
    <x v="4"/>
    <x v="142"/>
    <n v="6.6"/>
    <x v="0"/>
    <n v="3"/>
    <n v="1"/>
    <x v="1"/>
    <x v="1"/>
    <s v="Elite (&gt;$300k)"/>
  </r>
  <r>
    <x v="426"/>
    <x v="7"/>
    <x v="0"/>
    <x v="1"/>
    <x v="4"/>
    <x v="3"/>
    <n v="284000"/>
    <n v="145000"/>
    <n v="290000"/>
    <s v="New York"/>
    <x v="0"/>
    <s v="Hybrid"/>
    <s v="SME (51-500)"/>
    <x v="3"/>
    <s v="Hugging Face|LLMs|BERT|Research|Statistics"/>
    <n v="6.7"/>
    <x v="6"/>
    <x v="279"/>
    <n v="8.6"/>
    <x v="1"/>
    <n v="9"/>
    <n v="1"/>
    <x v="1"/>
    <x v="1"/>
    <s v="Senior ($200-300k)"/>
  </r>
  <r>
    <x v="427"/>
    <x v="2"/>
    <x v="0"/>
    <x v="0"/>
    <x v="1"/>
    <x v="2"/>
    <n v="251000"/>
    <n v="160000"/>
    <n v="300000"/>
    <s v="Boston"/>
    <x v="0"/>
    <s v="Fully Remote"/>
    <s v="SME (51-500)"/>
    <x v="2"/>
    <s v="RAG|LLM APIs|Prompt Engineering|Vector DBs|Fine-tuning|Linux|Communication"/>
    <n v="4.4000000000000004"/>
    <x v="2"/>
    <x v="280"/>
    <n v="7.4"/>
    <x v="0"/>
    <n v="1"/>
    <n v="1"/>
    <x v="1"/>
    <x v="0"/>
    <s v="Senior ($200-300k)"/>
  </r>
  <r>
    <x v="428"/>
    <x v="12"/>
    <x v="0"/>
    <x v="1"/>
    <x v="3"/>
    <x v="0"/>
    <n v="360000"/>
    <n v="160000"/>
    <n v="300000"/>
    <s v="Austin"/>
    <x v="0"/>
    <s v="Fully Remote"/>
    <s v="Enterprise (5000+)"/>
    <x v="7"/>
    <s v="APIs|Vision-Language Models|Python|PyTorch|Statistics|Cloud|Linux"/>
    <n v="10.5"/>
    <x v="11"/>
    <x v="281"/>
    <n v="7.5"/>
    <x v="1"/>
    <n v="10"/>
    <n v="1"/>
    <x v="1"/>
    <x v="1"/>
    <s v="Elite (&gt;$300k)"/>
  </r>
  <r>
    <x v="429"/>
    <x v="24"/>
    <x v="11"/>
    <x v="1"/>
    <x v="11"/>
    <x v="3"/>
    <n v="163000"/>
    <n v="115000"/>
    <n v="280000"/>
    <s v="Sydney"/>
    <x v="11"/>
    <s v="Hybrid"/>
    <s v="Startup (1-50)"/>
    <x v="1"/>
    <s v="Python|Publishing|Mathematics|Deep Learning|Research|Leadership|Communication"/>
    <n v="17.899999999999999"/>
    <x v="3"/>
    <x v="160"/>
    <n v="8.6"/>
    <x v="1"/>
    <n v="10"/>
    <n v="1"/>
    <x v="1"/>
    <x v="1"/>
    <s v="Upper-Mid ($150-200k)"/>
  </r>
  <r>
    <x v="430"/>
    <x v="24"/>
    <x v="11"/>
    <x v="1"/>
    <x v="4"/>
    <x v="4"/>
    <n v="291000"/>
    <n v="115000"/>
    <n v="280000"/>
    <s v="Sydney"/>
    <x v="11"/>
    <s v="Hybrid"/>
    <s v="Enterprise (5000+)"/>
    <x v="10"/>
    <s v="Python|Mathematics|PyTorch|Deep Learning|Publishing|Leadership|Problem Solving"/>
    <n v="13.2"/>
    <x v="3"/>
    <x v="78"/>
    <n v="8.6999999999999993"/>
    <x v="0"/>
    <n v="1"/>
    <n v="1"/>
    <x v="1"/>
    <x v="1"/>
    <s v="Senior ($200-300k)"/>
  </r>
  <r>
    <x v="431"/>
    <x v="23"/>
    <x v="9"/>
    <x v="3"/>
    <x v="3"/>
    <x v="2"/>
    <n v="117000"/>
    <n v="100000"/>
    <n v="200000"/>
    <s v="Los Angeles"/>
    <x v="0"/>
    <s v="Hybrid"/>
    <s v="Startup (1-50)"/>
    <x v="10"/>
    <s v="Legal Knowledge|Documentation|EU AI Act|Auditing|Risk Management|Communication|Linux|Git"/>
    <n v="15.5"/>
    <x v="19"/>
    <x v="282"/>
    <n v="6.5"/>
    <x v="1"/>
    <n v="9"/>
    <n v="0"/>
    <x v="1"/>
    <x v="1"/>
    <s v="Mid ($100-150k)"/>
  </r>
  <r>
    <x v="432"/>
    <x v="24"/>
    <x v="11"/>
    <x v="3"/>
    <x v="12"/>
    <x v="4"/>
    <n v="124000"/>
    <n v="115000"/>
    <n v="280000"/>
    <s v="Amsterdam"/>
    <x v="9"/>
    <s v="Hybrid"/>
    <s v="Startup (1-50)"/>
    <x v="11"/>
    <s v="Publishing|Mathematics|Deep Learning|Python|PyTorch|Statistics|Leadership|Problem Solving"/>
    <n v="10.1"/>
    <x v="3"/>
    <x v="94"/>
    <n v="9.1"/>
    <x v="1"/>
    <n v="4"/>
    <n v="0"/>
    <x v="1"/>
    <x v="1"/>
    <s v="Mid ($100-150k)"/>
  </r>
  <r>
    <x v="433"/>
    <x v="17"/>
    <x v="8"/>
    <x v="3"/>
    <x v="10"/>
    <x v="2"/>
    <n v="157000"/>
    <n v="157000"/>
    <n v="218000"/>
    <s v="Paris"/>
    <x v="10"/>
    <s v="Hybrid"/>
    <s v="SME (51-500)"/>
    <x v="3"/>
    <s v="Advanced Statistics|Deep Learning|ML|Python|Leadership|Cloud|Linux"/>
    <n v="9.6"/>
    <x v="11"/>
    <x v="283"/>
    <n v="9.6"/>
    <x v="1"/>
    <n v="4"/>
    <n v="0"/>
    <x v="1"/>
    <x v="1"/>
    <s v="Upper-Mid ($150-200k)"/>
  </r>
  <r>
    <x v="434"/>
    <x v="6"/>
    <x v="0"/>
    <x v="0"/>
    <x v="0"/>
    <x v="2"/>
    <n v="185000"/>
    <n v="180000"/>
    <n v="312000"/>
    <s v="Berlin"/>
    <x v="12"/>
    <s v="Hybrid"/>
    <s v="SME (51-500)"/>
    <x v="0"/>
    <s v="PyTorch|System Design|MLOps|Distributed Systems|Python|LLM Fine-tuning|Agile"/>
    <n v="14.8"/>
    <x v="0"/>
    <x v="284"/>
    <n v="7.3"/>
    <x v="1"/>
    <n v="6"/>
    <n v="1"/>
    <x v="1"/>
    <x v="1"/>
    <s v="Upper-Mid ($150-200k)"/>
  </r>
  <r>
    <x v="435"/>
    <x v="23"/>
    <x v="9"/>
    <x v="3"/>
    <x v="9"/>
    <x v="4"/>
    <n v="100000"/>
    <n v="100000"/>
    <n v="200000"/>
    <s v="Berlin"/>
    <x v="12"/>
    <s v="Fully Remote"/>
    <s v="SME (51-500)"/>
    <x v="8"/>
    <s v="Legal Knowledge|EU AI Act|Auditing|Leadership"/>
    <n v="13.9"/>
    <x v="19"/>
    <x v="90"/>
    <n v="6.4"/>
    <x v="1"/>
    <n v="10"/>
    <n v="0"/>
    <x v="1"/>
    <x v="1"/>
    <s v="Entry (&lt;$100k)"/>
  </r>
  <r>
    <x v="436"/>
    <x v="13"/>
    <x v="5"/>
    <x v="2"/>
    <x v="9"/>
    <x v="1"/>
    <n v="130000"/>
    <n v="130000"/>
    <n v="260000"/>
    <s v="Tokyo"/>
    <x v="5"/>
    <s v="On-site"/>
    <s v="Mid-size (501-5000)"/>
    <x v="8"/>
    <s v="Kubernetes|Docker|MLflow|CI/CD|Cloud|Python|SQL|Leadership"/>
    <n v="9.3000000000000007"/>
    <x v="12"/>
    <x v="2"/>
    <n v="8.8000000000000007"/>
    <x v="1"/>
    <n v="12"/>
    <n v="0"/>
    <x v="0"/>
    <x v="1"/>
    <s v="Mid ($100-150k)"/>
  </r>
  <r>
    <x v="437"/>
    <x v="0"/>
    <x v="0"/>
    <x v="1"/>
    <x v="2"/>
    <x v="3"/>
    <n v="217000"/>
    <n v="155000"/>
    <n v="290000"/>
    <s v="Singapore"/>
    <x v="2"/>
    <s v="Fully Remote"/>
    <s v="SME (51-500)"/>
    <x v="4"/>
    <s v="Planning Systems|AutoGen|APIs|LangChain|Python|Tool Use|Git|Agile|Cloud"/>
    <n v="14.3"/>
    <x v="0"/>
    <x v="91"/>
    <n v="6.9"/>
    <x v="1"/>
    <n v="10"/>
    <n v="1"/>
    <x v="1"/>
    <x v="0"/>
    <s v="Senior ($200-300k)"/>
  </r>
  <r>
    <x v="438"/>
    <x v="9"/>
    <x v="0"/>
    <x v="1"/>
    <x v="9"/>
    <x v="1"/>
    <n v="336000"/>
    <n v="120000"/>
    <n v="280000"/>
    <s v="Seattle"/>
    <x v="0"/>
    <s v="Fully Remote"/>
    <s v="Mid-size (501-5000)"/>
    <x v="2"/>
    <s v="MLOps|SQL|Python|PyTorch|Problem Solving"/>
    <n v="15.5"/>
    <x v="8"/>
    <x v="285"/>
    <n v="8.6999999999999993"/>
    <x v="0"/>
    <n v="1"/>
    <n v="1"/>
    <x v="1"/>
    <x v="1"/>
    <s v="Elite (&gt;$300k)"/>
  </r>
  <r>
    <x v="439"/>
    <x v="10"/>
    <x v="0"/>
    <x v="2"/>
    <x v="3"/>
    <x v="2"/>
    <n v="158000"/>
    <n v="150000"/>
    <n v="295000"/>
    <s v="Dubai"/>
    <x v="8"/>
    <s v="Hybrid"/>
    <s v="Big Tech (FAANG+)"/>
    <x v="5"/>
    <s v="GenAI APIs|Python|Fine-tuning|LLMs|Statistics|SQL|Cloud"/>
    <n v="11.7"/>
    <x v="9"/>
    <x v="105"/>
    <n v="9.5"/>
    <x v="1"/>
    <n v="9"/>
    <n v="0"/>
    <x v="1"/>
    <x v="0"/>
    <s v="Upper-Mid ($150-200k)"/>
  </r>
  <r>
    <x v="440"/>
    <x v="23"/>
    <x v="9"/>
    <x v="0"/>
    <x v="8"/>
    <x v="3"/>
    <n v="164000"/>
    <n v="100000"/>
    <n v="200000"/>
    <s v="Boston"/>
    <x v="0"/>
    <s v="Fully Remote"/>
    <s v="Mid-size (501-5000)"/>
    <x v="5"/>
    <s v="Auditing|Legal Knowledge|EU AI Act|Leadership|SQL"/>
    <n v="16.5"/>
    <x v="19"/>
    <x v="286"/>
    <n v="6"/>
    <x v="0"/>
    <n v="2"/>
    <n v="1"/>
    <x v="1"/>
    <x v="1"/>
    <s v="Upper-Mid ($150-200k)"/>
  </r>
  <r>
    <x v="441"/>
    <x v="3"/>
    <x v="1"/>
    <x v="0"/>
    <x v="1"/>
    <x v="0"/>
    <n v="187000"/>
    <n v="130000"/>
    <n v="220000"/>
    <s v="Boston"/>
    <x v="0"/>
    <s v="Fully Remote"/>
    <s v="Startup (1-50)"/>
    <x v="10"/>
    <s v="Airflow|ETL|Spark|Leadership"/>
    <n v="12.1"/>
    <x v="3"/>
    <x v="269"/>
    <n v="6"/>
    <x v="0"/>
    <n v="2"/>
    <n v="1"/>
    <x v="1"/>
    <x v="1"/>
    <s v="Upper-Mid ($150-200k)"/>
  </r>
  <r>
    <x v="442"/>
    <x v="7"/>
    <x v="0"/>
    <x v="0"/>
    <x v="4"/>
    <x v="4"/>
    <n v="318000"/>
    <n v="145000"/>
    <n v="290000"/>
    <s v="Remote"/>
    <x v="3"/>
    <s v="Fully Remote"/>
    <s v="Enterprise (5000+)"/>
    <x v="4"/>
    <s v="Python|LLMs|Hugging Face|Text Processing|BERT|Cloud|SQL"/>
    <n v="8"/>
    <x v="6"/>
    <x v="202"/>
    <n v="7.1"/>
    <x v="1"/>
    <n v="7"/>
    <n v="1"/>
    <x v="1"/>
    <x v="1"/>
    <s v="Elite (&gt;$300k)"/>
  </r>
  <r>
    <x v="443"/>
    <x v="10"/>
    <x v="0"/>
    <x v="3"/>
    <x v="0"/>
    <x v="0"/>
    <n v="164000"/>
    <n v="150000"/>
    <n v="295000"/>
    <s v="Toronto"/>
    <x v="7"/>
    <s v="Fully Remote"/>
    <s v="Startup (1-50)"/>
    <x v="10"/>
    <s v="Python|Diffusion Models|LLMs|Fine-tuning|GenAI APIs|Linux|Statistics|Cloud"/>
    <n v="15.4"/>
    <x v="9"/>
    <x v="287"/>
    <n v="6.5"/>
    <x v="0"/>
    <n v="1"/>
    <n v="0"/>
    <x v="1"/>
    <x v="0"/>
    <s v="Upper-Mid ($150-200k)"/>
  </r>
  <r>
    <x v="444"/>
    <x v="17"/>
    <x v="8"/>
    <x v="2"/>
    <x v="10"/>
    <x v="0"/>
    <n v="157000"/>
    <n v="157000"/>
    <n v="218000"/>
    <s v="Austin"/>
    <x v="0"/>
    <s v="Hybrid"/>
    <s v="Mid-size (501-5000)"/>
    <x v="2"/>
    <s v="Deep Learning|Python|ML|Advanced Statistics|Causal Inference|Leadership|Git|Cloud"/>
    <n v="8.1"/>
    <x v="11"/>
    <x v="288"/>
    <n v="7.1"/>
    <x v="1"/>
    <n v="5"/>
    <n v="0"/>
    <x v="1"/>
    <x v="1"/>
    <s v="Upper-Mid ($150-200k)"/>
  </r>
  <r>
    <x v="445"/>
    <x v="19"/>
    <x v="10"/>
    <x v="3"/>
    <x v="9"/>
    <x v="3"/>
    <n v="158000"/>
    <n v="140000"/>
    <n v="270000"/>
    <s v="London"/>
    <x v="1"/>
    <s v="Hybrid"/>
    <s v="Enterprise (5000+)"/>
    <x v="7"/>
    <s v="Networking|Storage|Kubernetes|Problem Solving"/>
    <n v="10.3"/>
    <x v="4"/>
    <x v="289"/>
    <n v="6.1"/>
    <x v="0"/>
    <n v="1"/>
    <n v="0"/>
    <x v="1"/>
    <x v="1"/>
    <s v="Upper-Mid ($150-200k)"/>
  </r>
  <r>
    <x v="446"/>
    <x v="1"/>
    <x v="0"/>
    <x v="3"/>
    <x v="2"/>
    <x v="1"/>
    <n v="240000"/>
    <n v="90000"/>
    <n v="200000"/>
    <s v="San Francisco"/>
    <x v="0"/>
    <s v="Hybrid"/>
    <s v="Big Tech (FAANG+)"/>
    <x v="3"/>
    <s v="Testing|Python|LLM APIs|Prompt Design|NLP|Documentation|SQL|Leadership"/>
    <n v="5.0999999999999996"/>
    <x v="1"/>
    <x v="290"/>
    <n v="7.1"/>
    <x v="1"/>
    <n v="7"/>
    <n v="0"/>
    <x v="1"/>
    <x v="0"/>
    <s v="Senior ($200-300k)"/>
  </r>
  <r>
    <x v="447"/>
    <x v="7"/>
    <x v="0"/>
    <x v="3"/>
    <x v="6"/>
    <x v="1"/>
    <n v="145000"/>
    <n v="145000"/>
    <n v="290000"/>
    <s v="Toronto"/>
    <x v="7"/>
    <s v="Hybrid"/>
    <s v="Startup (1-50)"/>
    <x v="9"/>
    <s v="BERT|LLMs|Text Processing|Hugging Face|Cloud"/>
    <n v="6.4"/>
    <x v="6"/>
    <x v="291"/>
    <n v="6.4"/>
    <x v="0"/>
    <n v="3"/>
    <n v="0"/>
    <x v="1"/>
    <x v="1"/>
    <s v="Mid ($100-150k)"/>
  </r>
  <r>
    <x v="448"/>
    <x v="16"/>
    <x v="7"/>
    <x v="0"/>
    <x v="6"/>
    <x v="4"/>
    <n v="264000"/>
    <n v="125000"/>
    <n v="240000"/>
    <s v="Austin"/>
    <x v="0"/>
    <s v="Hybrid"/>
    <s v="Mid-size (501-5000)"/>
    <x v="9"/>
    <s v="Simulation|C++|Python|Control Systems|Git|Problem Solving"/>
    <n v="14"/>
    <x v="15"/>
    <x v="292"/>
    <n v="9.6999999999999993"/>
    <x v="0"/>
    <n v="1"/>
    <n v="1"/>
    <x v="1"/>
    <x v="1"/>
    <s v="Senior ($200-300k)"/>
  </r>
  <r>
    <x v="449"/>
    <x v="11"/>
    <x v="0"/>
    <x v="2"/>
    <x v="0"/>
    <x v="2"/>
    <n v="141000"/>
    <n v="141000"/>
    <n v="270000"/>
    <s v="Zurich"/>
    <x v="13"/>
    <s v="Fully Remote"/>
    <s v="Startup (1-50)"/>
    <x v="10"/>
    <s v="PyTorch|GPU Computing|CUDA|Python|TensorFlow|Neural Networks|Leadership|Agile"/>
    <n v="9.3000000000000007"/>
    <x v="10"/>
    <x v="115"/>
    <n v="8.6999999999999993"/>
    <x v="0"/>
    <n v="1"/>
    <n v="0"/>
    <x v="1"/>
    <x v="1"/>
    <s v="Mid ($100-150k)"/>
  </r>
  <r>
    <x v="450"/>
    <x v="18"/>
    <x v="9"/>
    <x v="2"/>
    <x v="8"/>
    <x v="0"/>
    <n v="134000"/>
    <n v="110000"/>
    <n v="210000"/>
    <s v="Amsterdam"/>
    <x v="9"/>
    <s v="Hybrid"/>
    <s v="Big Tech (FAANG+)"/>
    <x v="9"/>
    <s v="AI Policy|Research|Ethics Frameworks|Communication|Cloud|Research|Git"/>
    <n v="13.1"/>
    <x v="16"/>
    <x v="293"/>
    <n v="7.5"/>
    <x v="0"/>
    <n v="1"/>
    <n v="0"/>
    <x v="1"/>
    <x v="1"/>
    <s v="Mid ($100-150k)"/>
  </r>
  <r>
    <x v="451"/>
    <x v="24"/>
    <x v="11"/>
    <x v="3"/>
    <x v="12"/>
    <x v="2"/>
    <n v="191000"/>
    <n v="115000"/>
    <n v="280000"/>
    <s v="San Francisco"/>
    <x v="0"/>
    <s v="On-site"/>
    <s v="SME (51-500)"/>
    <x v="9"/>
    <s v="Mathematics|Publishing|Research|PyTorch|Python|Deep Learning|Agile|Leadership|Git"/>
    <n v="13.3"/>
    <x v="3"/>
    <x v="245"/>
    <n v="8.4"/>
    <x v="0"/>
    <n v="2"/>
    <n v="0"/>
    <x v="0"/>
    <x v="1"/>
    <s v="Upper-Mid ($150-200k)"/>
  </r>
  <r>
    <x v="452"/>
    <x v="17"/>
    <x v="8"/>
    <x v="3"/>
    <x v="4"/>
    <x v="0"/>
    <n v="157000"/>
    <n v="157000"/>
    <n v="218000"/>
    <s v="Berlin"/>
    <x v="12"/>
    <s v="Fully Remote"/>
    <s v="Startup (1-50)"/>
    <x v="3"/>
    <s v="Leadership|Deep Learning|Causal Inference|Advanced Statistics|Python|Leadership|Agile|Linux"/>
    <n v="5.0999999999999996"/>
    <x v="11"/>
    <x v="193"/>
    <n v="8.4"/>
    <x v="1"/>
    <n v="6"/>
    <n v="0"/>
    <x v="1"/>
    <x v="1"/>
    <s v="Upper-Mid ($150-200k)"/>
  </r>
  <r>
    <x v="453"/>
    <x v="7"/>
    <x v="0"/>
    <x v="0"/>
    <x v="2"/>
    <x v="1"/>
    <n v="175000"/>
    <n v="145000"/>
    <n v="290000"/>
    <s v="Berlin"/>
    <x v="12"/>
    <s v="Hybrid"/>
    <s v="SME (51-500)"/>
    <x v="9"/>
    <s v="Text Processing|BERT|Transformers|LLMs|Python|Hugging Face|Communication|Cloud"/>
    <n v="8.1"/>
    <x v="6"/>
    <x v="294"/>
    <n v="6.6"/>
    <x v="0"/>
    <n v="2"/>
    <n v="1"/>
    <x v="1"/>
    <x v="1"/>
    <s v="Upper-Mid ($150-200k)"/>
  </r>
  <r>
    <x v="454"/>
    <x v="24"/>
    <x v="11"/>
    <x v="3"/>
    <x v="8"/>
    <x v="0"/>
    <n v="160000"/>
    <n v="115000"/>
    <n v="280000"/>
    <s v="Zurich"/>
    <x v="13"/>
    <s v="On-site"/>
    <s v="SME (51-500)"/>
    <x v="9"/>
    <s v="Python|Research|PyTorch|Publishing|Deep Learning|Problem Solving|Communication|Git"/>
    <n v="10.5"/>
    <x v="3"/>
    <x v="128"/>
    <n v="9.6999999999999993"/>
    <x v="1"/>
    <n v="9"/>
    <n v="0"/>
    <x v="0"/>
    <x v="1"/>
    <s v="Upper-Mid ($150-200k)"/>
  </r>
  <r>
    <x v="455"/>
    <x v="17"/>
    <x v="8"/>
    <x v="2"/>
    <x v="8"/>
    <x v="3"/>
    <n v="208000"/>
    <n v="157000"/>
    <n v="218000"/>
    <s v="San Francisco"/>
    <x v="0"/>
    <s v="On-site"/>
    <s v="Big Tech (FAANG+)"/>
    <x v="6"/>
    <s v="Leadership|Python|Advanced Statistics|Git"/>
    <n v="7.4"/>
    <x v="11"/>
    <x v="135"/>
    <n v="9.6999999999999993"/>
    <x v="0"/>
    <n v="1"/>
    <n v="0"/>
    <x v="0"/>
    <x v="1"/>
    <s v="Senior ($200-300k)"/>
  </r>
  <r>
    <x v="456"/>
    <x v="16"/>
    <x v="7"/>
    <x v="3"/>
    <x v="10"/>
    <x v="0"/>
    <n v="125000"/>
    <n v="125000"/>
    <n v="240000"/>
    <s v="Toronto"/>
    <x v="7"/>
    <s v="Hybrid"/>
    <s v="Startup (1-50)"/>
    <x v="10"/>
    <s v="C++|Simulation|Computer Vision|ROS|SQL"/>
    <n v="14.3"/>
    <x v="15"/>
    <x v="73"/>
    <n v="9.1"/>
    <x v="1"/>
    <n v="5"/>
    <n v="0"/>
    <x v="1"/>
    <x v="1"/>
    <s v="Mid ($100-150k)"/>
  </r>
  <r>
    <x v="457"/>
    <x v="21"/>
    <x v="8"/>
    <x v="3"/>
    <x v="1"/>
    <x v="1"/>
    <n v="155000"/>
    <n v="138000"/>
    <n v="195000"/>
    <s v="Dubai"/>
    <x v="8"/>
    <s v="Fully Remote"/>
    <s v="Enterprise (5000+)"/>
    <x v="7"/>
    <s v="Scikit-learn|ML Algorithms|Statistics|Data Visualization|Agile|Communication|Cloud"/>
    <n v="8.8000000000000007"/>
    <x v="17"/>
    <x v="198"/>
    <n v="6.6"/>
    <x v="1"/>
    <n v="2"/>
    <n v="0"/>
    <x v="1"/>
    <x v="1"/>
    <s v="Upper-Mid ($150-200k)"/>
  </r>
  <r>
    <x v="458"/>
    <x v="13"/>
    <x v="5"/>
    <x v="0"/>
    <x v="3"/>
    <x v="1"/>
    <n v="157000"/>
    <n v="130000"/>
    <n v="260000"/>
    <s v="Singapore"/>
    <x v="2"/>
    <s v="On-site"/>
    <s v="Startup (1-50)"/>
    <x v="11"/>
    <s v="MLflow|Kubernetes|Monitoring|Leadership|Statistics"/>
    <n v="12.3"/>
    <x v="12"/>
    <x v="295"/>
    <n v="8.6"/>
    <x v="0"/>
    <n v="2"/>
    <n v="1"/>
    <x v="0"/>
    <x v="1"/>
    <s v="Upper-Mid ($150-200k)"/>
  </r>
  <r>
    <x v="459"/>
    <x v="3"/>
    <x v="1"/>
    <x v="1"/>
    <x v="6"/>
    <x v="4"/>
    <n v="264000"/>
    <n v="130000"/>
    <n v="220000"/>
    <s v="Boston"/>
    <x v="0"/>
    <s v="Hybrid"/>
    <s v="Mid-size (501-5000)"/>
    <x v="3"/>
    <s v="ETL|Python|Spark|Linux|Statistics|Problem Solving"/>
    <n v="16"/>
    <x v="3"/>
    <x v="261"/>
    <n v="9.1"/>
    <x v="1"/>
    <n v="7"/>
    <n v="1"/>
    <x v="1"/>
    <x v="1"/>
    <s v="Senior ($200-300k)"/>
  </r>
  <r>
    <x v="460"/>
    <x v="10"/>
    <x v="0"/>
    <x v="2"/>
    <x v="3"/>
    <x v="4"/>
    <n v="150000"/>
    <n v="150000"/>
    <n v="295000"/>
    <s v="Berlin"/>
    <x v="12"/>
    <s v="Hybrid"/>
    <s v="SME (51-500)"/>
    <x v="3"/>
    <s v="Fine-tuning|Deployment|Diffusion Models|GenAI APIs|LLMs|Python|Statistics|Linux|Communication"/>
    <n v="13"/>
    <x v="9"/>
    <x v="296"/>
    <n v="8"/>
    <x v="0"/>
    <n v="2"/>
    <n v="0"/>
    <x v="1"/>
    <x v="0"/>
    <s v="Mid ($100-150k)"/>
  </r>
  <r>
    <x v="461"/>
    <x v="6"/>
    <x v="0"/>
    <x v="3"/>
    <x v="4"/>
    <x v="1"/>
    <n v="180000"/>
    <n v="180000"/>
    <n v="312000"/>
    <s v="Bangalore"/>
    <x v="4"/>
    <s v="Hybrid"/>
    <s v="Enterprise (5000+)"/>
    <x v="4"/>
    <s v="Python|System Design|MLOps|Distributed Systems|SQL"/>
    <n v="16.5"/>
    <x v="0"/>
    <x v="297"/>
    <n v="6.5"/>
    <x v="0"/>
    <n v="3"/>
    <n v="0"/>
    <x v="1"/>
    <x v="1"/>
    <s v="Upper-Mid ($150-200k)"/>
  </r>
  <r>
    <x v="462"/>
    <x v="1"/>
    <x v="0"/>
    <x v="3"/>
    <x v="5"/>
    <x v="1"/>
    <n v="108000"/>
    <n v="90000"/>
    <n v="200000"/>
    <s v="London"/>
    <x v="1"/>
    <s v="Hybrid"/>
    <s v="SME (51-500)"/>
    <x v="7"/>
    <s v="NLP|Prompt Design|Documentation|LLM APIs|Git"/>
    <n v="6.3"/>
    <x v="1"/>
    <x v="24"/>
    <n v="6.6"/>
    <x v="1"/>
    <n v="3"/>
    <n v="0"/>
    <x v="1"/>
    <x v="0"/>
    <s v="Mid ($100-150k)"/>
  </r>
  <r>
    <x v="463"/>
    <x v="6"/>
    <x v="0"/>
    <x v="2"/>
    <x v="11"/>
    <x v="2"/>
    <n v="180000"/>
    <n v="180000"/>
    <n v="312000"/>
    <s v="London"/>
    <x v="1"/>
    <s v="Hybrid"/>
    <s v="Startup (1-50)"/>
    <x v="8"/>
    <s v="PyTorch|MLOps|Distributed Systems|System Design|Agile|Research|Cloud"/>
    <n v="15.8"/>
    <x v="0"/>
    <x v="298"/>
    <n v="7.1"/>
    <x v="1"/>
    <n v="11"/>
    <n v="0"/>
    <x v="1"/>
    <x v="1"/>
    <s v="Upper-Mid ($150-200k)"/>
  </r>
  <r>
    <x v="464"/>
    <x v="9"/>
    <x v="0"/>
    <x v="3"/>
    <x v="9"/>
    <x v="1"/>
    <n v="120000"/>
    <n v="120000"/>
    <n v="280000"/>
    <s v="Beijing"/>
    <x v="6"/>
    <s v="Hybrid"/>
    <s v="SME (51-500)"/>
    <x v="0"/>
    <s v="Kubernetes|TensorFlow|SQL|MLOps|Python|PyTorch|Agile"/>
    <n v="17.8"/>
    <x v="8"/>
    <x v="95"/>
    <n v="6.8"/>
    <x v="0"/>
    <n v="1"/>
    <n v="0"/>
    <x v="1"/>
    <x v="1"/>
    <s v="Mid ($100-150k)"/>
  </r>
  <r>
    <x v="465"/>
    <x v="2"/>
    <x v="0"/>
    <x v="2"/>
    <x v="0"/>
    <x v="3"/>
    <n v="195000"/>
    <n v="160000"/>
    <n v="300000"/>
    <s v="Chicago"/>
    <x v="0"/>
    <s v="Hybrid"/>
    <s v="Big Tech (FAANG+)"/>
    <x v="0"/>
    <s v="RAG|LLM APIs|Python|Prompt Engineering|Fine-tuning|Vector DBs|Git|Problem Solving"/>
    <n v="8.5"/>
    <x v="2"/>
    <x v="22"/>
    <n v="6.9"/>
    <x v="1"/>
    <n v="2"/>
    <n v="0"/>
    <x v="1"/>
    <x v="0"/>
    <s v="Upper-Mid ($150-200k)"/>
  </r>
  <r>
    <x v="466"/>
    <x v="6"/>
    <x v="0"/>
    <x v="2"/>
    <x v="6"/>
    <x v="4"/>
    <n v="283000"/>
    <n v="180000"/>
    <n v="312000"/>
    <s v="Los Angeles"/>
    <x v="0"/>
    <s v="On-site"/>
    <s v="Big Tech (FAANG+)"/>
    <x v="1"/>
    <s v="PyTorch|System Design|Python|Problem Solving|SQL|Research"/>
    <n v="8.9"/>
    <x v="0"/>
    <x v="299"/>
    <n v="9.6999999999999993"/>
    <x v="0"/>
    <n v="2"/>
    <n v="0"/>
    <x v="0"/>
    <x v="1"/>
    <s v="Senior ($200-300k)"/>
  </r>
  <r>
    <x v="467"/>
    <x v="5"/>
    <x v="3"/>
    <x v="1"/>
    <x v="2"/>
    <x v="4"/>
    <n v="312000"/>
    <n v="140000"/>
    <n v="260000"/>
    <s v="Los Angeles"/>
    <x v="0"/>
    <s v="Hybrid"/>
    <s v="Mid-size (501-5000)"/>
    <x v="3"/>
    <s v="Red Teaming|Cybersecurity|Python|Risk Analysis|Problem Solving"/>
    <n v="16.7"/>
    <x v="5"/>
    <x v="119"/>
    <n v="6.6"/>
    <x v="0"/>
    <n v="1"/>
    <n v="1"/>
    <x v="1"/>
    <x v="1"/>
    <s v="Elite (&gt;$300k)"/>
  </r>
  <r>
    <x v="468"/>
    <x v="0"/>
    <x v="0"/>
    <x v="3"/>
    <x v="3"/>
    <x v="0"/>
    <n v="241000"/>
    <n v="155000"/>
    <n v="290000"/>
    <s v="Seattle"/>
    <x v="0"/>
    <s v="On-site"/>
    <s v="SME (51-500)"/>
    <x v="2"/>
    <s v="Tool Use|LangChain|AutoGen|Planning Systems|APIs|Cloud|SQL|Problem Solving"/>
    <n v="14.1"/>
    <x v="0"/>
    <x v="168"/>
    <n v="6.6"/>
    <x v="0"/>
    <n v="2"/>
    <n v="0"/>
    <x v="0"/>
    <x v="0"/>
    <s v="Senior ($200-300k)"/>
  </r>
  <r>
    <x v="469"/>
    <x v="21"/>
    <x v="8"/>
    <x v="0"/>
    <x v="6"/>
    <x v="2"/>
    <n v="222000"/>
    <n v="138000"/>
    <n v="195000"/>
    <s v="San Francisco"/>
    <x v="0"/>
    <s v="On-site"/>
    <s v="SME (51-500)"/>
    <x v="9"/>
    <s v="Scikit-learn|Python|ML Algorithms|Linux|Agile"/>
    <n v="7"/>
    <x v="17"/>
    <x v="300"/>
    <n v="6.3"/>
    <x v="0"/>
    <n v="2"/>
    <n v="1"/>
    <x v="0"/>
    <x v="1"/>
    <s v="Senior ($200-300k)"/>
  </r>
  <r>
    <x v="470"/>
    <x v="22"/>
    <x v="0"/>
    <x v="1"/>
    <x v="10"/>
    <x v="0"/>
    <n v="336000"/>
    <n v="145000"/>
    <n v="280000"/>
    <s v="Remote"/>
    <x v="3"/>
    <s v="Hybrid"/>
    <s v="Mid-size (501-5000)"/>
    <x v="5"/>
    <s v="PyTorch|CUDA|CNNs|Problem Solving|Linux"/>
    <n v="8.9"/>
    <x v="18"/>
    <x v="25"/>
    <n v="7.4"/>
    <x v="0"/>
    <n v="3"/>
    <n v="1"/>
    <x v="1"/>
    <x v="1"/>
    <s v="Elite (&gt;$300k)"/>
  </r>
  <r>
    <x v="471"/>
    <x v="8"/>
    <x v="4"/>
    <x v="2"/>
    <x v="14"/>
    <x v="0"/>
    <n v="180000"/>
    <n v="180000"/>
    <n v="320000"/>
    <s v="Berlin"/>
    <x v="12"/>
    <s v="On-site"/>
    <s v="Startup (1-50)"/>
    <x v="0"/>
    <s v="Cloud|System Design|ML|Linux|Cloud"/>
    <n v="16.7"/>
    <x v="7"/>
    <x v="301"/>
    <n v="7.3"/>
    <x v="0"/>
    <n v="3"/>
    <n v="0"/>
    <x v="0"/>
    <x v="1"/>
    <s v="Upper-Mid ($150-200k)"/>
  </r>
  <r>
    <x v="472"/>
    <x v="8"/>
    <x v="4"/>
    <x v="3"/>
    <x v="12"/>
    <x v="1"/>
    <n v="227000"/>
    <n v="180000"/>
    <n v="320000"/>
    <s v="Boston"/>
    <x v="0"/>
    <s v="Hybrid"/>
    <s v="Startup (1-50)"/>
    <x v="0"/>
    <s v="Cloud|Python|ML|System Design|Enterprise Architecture|Leadership|Research|Communication|Problem Solving"/>
    <n v="8.4"/>
    <x v="7"/>
    <x v="11"/>
    <n v="7.8"/>
    <x v="0"/>
    <n v="2"/>
    <n v="0"/>
    <x v="1"/>
    <x v="1"/>
    <s v="Senior ($200-300k)"/>
  </r>
  <r>
    <x v="473"/>
    <x v="14"/>
    <x v="6"/>
    <x v="1"/>
    <x v="2"/>
    <x v="1"/>
    <n v="216000"/>
    <n v="95000"/>
    <n v="180000"/>
    <s v="New York"/>
    <x v="0"/>
    <s v="Hybrid"/>
    <s v="Big Tech (FAANG+)"/>
    <x v="6"/>
    <s v="Data Visualization|Python|SQL|Business Analysis|Cloud"/>
    <n v="9.8000000000000007"/>
    <x v="13"/>
    <x v="191"/>
    <n v="7"/>
    <x v="1"/>
    <n v="12"/>
    <n v="1"/>
    <x v="1"/>
    <x v="1"/>
    <s v="Senior ($200-300k)"/>
  </r>
  <r>
    <x v="474"/>
    <x v="8"/>
    <x v="4"/>
    <x v="3"/>
    <x v="8"/>
    <x v="4"/>
    <n v="269000"/>
    <n v="180000"/>
    <n v="320000"/>
    <s v="Amsterdam"/>
    <x v="9"/>
    <s v="Fully Remote"/>
    <s v="Big Tech (FAANG+)"/>
    <x v="4"/>
    <s v="Python|ML|Leadership|Communication"/>
    <n v="12.8"/>
    <x v="7"/>
    <x v="302"/>
    <n v="9"/>
    <x v="0"/>
    <n v="2"/>
    <n v="0"/>
    <x v="1"/>
    <x v="1"/>
    <s v="Senior ($200-300k)"/>
  </r>
  <r>
    <x v="475"/>
    <x v="3"/>
    <x v="1"/>
    <x v="2"/>
    <x v="8"/>
    <x v="2"/>
    <n v="130000"/>
    <n v="130000"/>
    <n v="220000"/>
    <s v="Bangalore"/>
    <x v="4"/>
    <s v="Fully Remote"/>
    <s v="Enterprise (5000+)"/>
    <x v="9"/>
    <s v="Python|Feature Stores|dbt|Spark|Statistics|SQL"/>
    <n v="17.3"/>
    <x v="3"/>
    <x v="118"/>
    <n v="7.2"/>
    <x v="0"/>
    <n v="3"/>
    <n v="0"/>
    <x v="1"/>
    <x v="1"/>
    <s v="Mid ($100-150k)"/>
  </r>
  <r>
    <x v="476"/>
    <x v="1"/>
    <x v="0"/>
    <x v="2"/>
    <x v="1"/>
    <x v="3"/>
    <n v="109000"/>
    <n v="90000"/>
    <n v="200000"/>
    <s v="Berlin"/>
    <x v="12"/>
    <s v="Hybrid"/>
    <s v="Big Tech (FAANG+)"/>
    <x v="11"/>
    <s v="Documentation|Testing|Prompt Design|NLP|Python|LLM APIs|Leadership|Linux"/>
    <n v="5.4"/>
    <x v="1"/>
    <x v="25"/>
    <n v="9.6999999999999993"/>
    <x v="0"/>
    <n v="1"/>
    <n v="0"/>
    <x v="1"/>
    <x v="0"/>
    <s v="Mid ($100-150k)"/>
  </r>
  <r>
    <x v="477"/>
    <x v="3"/>
    <x v="1"/>
    <x v="0"/>
    <x v="6"/>
    <x v="4"/>
    <n v="171000"/>
    <n v="130000"/>
    <n v="220000"/>
    <s v="Singapore"/>
    <x v="2"/>
    <s v="Fully Remote"/>
    <s v="Startup (1-50)"/>
    <x v="4"/>
    <s v="Feature Stores|Airflow|ETL|Cloud|Statistics"/>
    <n v="12.3"/>
    <x v="3"/>
    <x v="261"/>
    <n v="7.3"/>
    <x v="0"/>
    <n v="2"/>
    <n v="1"/>
    <x v="1"/>
    <x v="1"/>
    <s v="Upper-Mid ($150-200k)"/>
  </r>
  <r>
    <x v="478"/>
    <x v="1"/>
    <x v="0"/>
    <x v="3"/>
    <x v="3"/>
    <x v="2"/>
    <n v="94000"/>
    <n v="90000"/>
    <n v="200000"/>
    <s v="Singapore"/>
    <x v="2"/>
    <s v="Fully Remote"/>
    <s v="SME (51-500)"/>
    <x v="5"/>
    <s v="Documentation|Python|Prompt Design|NLP|Testing|LLM APIs|SQL|Cloud|Git"/>
    <n v="7.4"/>
    <x v="1"/>
    <x v="71"/>
    <n v="8.4"/>
    <x v="0"/>
    <n v="1"/>
    <n v="0"/>
    <x v="1"/>
    <x v="0"/>
    <s v="Entry (&lt;$100k)"/>
  </r>
  <r>
    <x v="479"/>
    <x v="12"/>
    <x v="0"/>
    <x v="3"/>
    <x v="0"/>
    <x v="0"/>
    <n v="208000"/>
    <n v="160000"/>
    <n v="300000"/>
    <s v="Paris"/>
    <x v="10"/>
    <s v="Fully Remote"/>
    <s v="Enterprise (5000+)"/>
    <x v="7"/>
    <s v="Python|Vision-Language Models|APIs|Fine-tuning|Research|Cloud"/>
    <n v="15.4"/>
    <x v="11"/>
    <x v="182"/>
    <n v="7.4"/>
    <x v="1"/>
    <n v="5"/>
    <n v="0"/>
    <x v="1"/>
    <x v="1"/>
    <s v="Senior ($200-300k)"/>
  </r>
  <r>
    <x v="480"/>
    <x v="22"/>
    <x v="0"/>
    <x v="1"/>
    <x v="9"/>
    <x v="0"/>
    <n v="203000"/>
    <n v="145000"/>
    <n v="280000"/>
    <s v="Berlin"/>
    <x v="12"/>
    <s v="On-site"/>
    <s v="Mid-size (501-5000)"/>
    <x v="4"/>
    <s v="Python|CUDA|OpenCV|Leadership|Statistics"/>
    <n v="7"/>
    <x v="18"/>
    <x v="169"/>
    <n v="8.1"/>
    <x v="1"/>
    <n v="10"/>
    <n v="1"/>
    <x v="0"/>
    <x v="1"/>
    <s v="Senior ($200-300k)"/>
  </r>
  <r>
    <x v="481"/>
    <x v="0"/>
    <x v="0"/>
    <x v="1"/>
    <x v="4"/>
    <x v="0"/>
    <n v="266000"/>
    <n v="155000"/>
    <n v="290000"/>
    <s v="Sydney"/>
    <x v="11"/>
    <s v="Fully Remote"/>
    <s v="Startup (1-50)"/>
    <x v="8"/>
    <s v="Tool Use|AutoGen|LangChain|APIs|Git"/>
    <n v="13"/>
    <x v="0"/>
    <x v="303"/>
    <n v="9"/>
    <x v="0"/>
    <n v="3"/>
    <n v="1"/>
    <x v="1"/>
    <x v="0"/>
    <s v="Senior ($200-300k)"/>
  </r>
  <r>
    <x v="482"/>
    <x v="22"/>
    <x v="0"/>
    <x v="0"/>
    <x v="3"/>
    <x v="0"/>
    <n v="161000"/>
    <n v="145000"/>
    <n v="280000"/>
    <s v="Tokyo"/>
    <x v="5"/>
    <s v="Hybrid"/>
    <s v="SME (51-500)"/>
    <x v="5"/>
    <s v="Python|Image Processing|OpenCV|CUDA|PyTorch|CNNs|Linux"/>
    <n v="8.4"/>
    <x v="18"/>
    <x v="288"/>
    <n v="8.5"/>
    <x v="1"/>
    <n v="4"/>
    <n v="1"/>
    <x v="1"/>
    <x v="1"/>
    <s v="Upper-Mid ($150-200k)"/>
  </r>
  <r>
    <x v="483"/>
    <x v="16"/>
    <x v="7"/>
    <x v="0"/>
    <x v="4"/>
    <x v="1"/>
    <n v="178000"/>
    <n v="125000"/>
    <n v="240000"/>
    <s v="London"/>
    <x v="1"/>
    <s v="On-site"/>
    <s v="Enterprise (5000+)"/>
    <x v="11"/>
    <s v="Simulation|Control Systems|ROS|Research"/>
    <n v="9.4"/>
    <x v="15"/>
    <x v="259"/>
    <n v="6.7"/>
    <x v="1"/>
    <n v="6"/>
    <n v="1"/>
    <x v="0"/>
    <x v="1"/>
    <s v="Upper-Mid ($150-200k)"/>
  </r>
  <r>
    <x v="484"/>
    <x v="11"/>
    <x v="0"/>
    <x v="1"/>
    <x v="10"/>
    <x v="1"/>
    <n v="196000"/>
    <n v="141000"/>
    <n v="270000"/>
    <s v="Sydney"/>
    <x v="11"/>
    <s v="Hybrid"/>
    <s v="Startup (1-50)"/>
    <x v="9"/>
    <s v="PyTorch|Neural Networks|GPU Computing|Research|Linux"/>
    <n v="9.3000000000000007"/>
    <x v="10"/>
    <x v="188"/>
    <n v="8.4"/>
    <x v="0"/>
    <n v="1"/>
    <n v="1"/>
    <x v="1"/>
    <x v="1"/>
    <s v="Upper-Mid ($150-200k)"/>
  </r>
  <r>
    <x v="485"/>
    <x v="4"/>
    <x v="2"/>
    <x v="2"/>
    <x v="8"/>
    <x v="0"/>
    <n v="147000"/>
    <n v="140000"/>
    <n v="260000"/>
    <s v="Singapore"/>
    <x v="2"/>
    <s v="Fully Remote"/>
    <s v="Enterprise (5000+)"/>
    <x v="10"/>
    <s v="AI Literacy|Product Strategy|Stakeholder Mgmt|Leadership"/>
    <n v="10.199999999999999"/>
    <x v="4"/>
    <x v="43"/>
    <n v="9.4"/>
    <x v="1"/>
    <n v="3"/>
    <n v="0"/>
    <x v="1"/>
    <x v="1"/>
    <s v="Mid ($100-150k)"/>
  </r>
  <r>
    <x v="486"/>
    <x v="7"/>
    <x v="0"/>
    <x v="0"/>
    <x v="2"/>
    <x v="4"/>
    <n v="300000"/>
    <n v="145000"/>
    <n v="290000"/>
    <s v="Seattle"/>
    <x v="0"/>
    <s v="Hybrid"/>
    <s v="SME (51-500)"/>
    <x v="2"/>
    <s v="Text Processing|Hugging Face|BERT|Transformers|LLMs|Leadership|Cloud"/>
    <n v="4.4000000000000004"/>
    <x v="6"/>
    <x v="304"/>
    <n v="8.6999999999999993"/>
    <x v="0"/>
    <n v="1"/>
    <n v="1"/>
    <x v="1"/>
    <x v="1"/>
    <s v="Senior ($200-300k)"/>
  </r>
  <r>
    <x v="487"/>
    <x v="14"/>
    <x v="6"/>
    <x v="3"/>
    <x v="4"/>
    <x v="0"/>
    <n v="95000"/>
    <n v="95000"/>
    <n v="180000"/>
    <s v="Bangalore"/>
    <x v="4"/>
    <s v="Hybrid"/>
    <s v="Mid-size (501-5000)"/>
    <x v="11"/>
    <s v="Data Visualization|Communication|Business Analysis|Python|Problem Solving|Git"/>
    <n v="10"/>
    <x v="13"/>
    <x v="209"/>
    <n v="9.4"/>
    <x v="0"/>
    <n v="2"/>
    <n v="0"/>
    <x v="1"/>
    <x v="1"/>
    <s v="Entry (&lt;$100k)"/>
  </r>
  <r>
    <x v="488"/>
    <x v="24"/>
    <x v="11"/>
    <x v="0"/>
    <x v="12"/>
    <x v="2"/>
    <n v="297000"/>
    <n v="115000"/>
    <n v="280000"/>
    <s v="New York"/>
    <x v="0"/>
    <s v="On-site"/>
    <s v="Big Tech (FAANG+)"/>
    <x v="2"/>
    <s v="Deep Learning|Python|Mathematics|Publishing|PyTorch|Linux|Statistics"/>
    <n v="14.6"/>
    <x v="3"/>
    <x v="305"/>
    <n v="9"/>
    <x v="1"/>
    <n v="6"/>
    <n v="1"/>
    <x v="0"/>
    <x v="1"/>
    <s v="Senior ($200-300k)"/>
  </r>
  <r>
    <x v="489"/>
    <x v="19"/>
    <x v="10"/>
    <x v="3"/>
    <x v="4"/>
    <x v="3"/>
    <n v="222000"/>
    <n v="140000"/>
    <n v="270000"/>
    <s v="San Francisco"/>
    <x v="0"/>
    <s v="Hybrid"/>
    <s v="Mid-size (501-5000)"/>
    <x v="0"/>
    <s v="Storage|Cloud|Distributed Systems|Kubernetes|Communication|Leadership|Problem Solving"/>
    <n v="15.2"/>
    <x v="4"/>
    <x v="62"/>
    <n v="9.1"/>
    <x v="0"/>
    <n v="3"/>
    <n v="0"/>
    <x v="1"/>
    <x v="1"/>
    <s v="Senior ($200-300k)"/>
  </r>
  <r>
    <x v="490"/>
    <x v="0"/>
    <x v="0"/>
    <x v="0"/>
    <x v="1"/>
    <x v="4"/>
    <n v="253000"/>
    <n v="155000"/>
    <n v="290000"/>
    <s v="Amsterdam"/>
    <x v="9"/>
    <s v="Hybrid"/>
    <s v="Enterprise (5000+)"/>
    <x v="11"/>
    <s v="Tool Use|Python|AutoGen|LangChain|Planning Systems|APIs|Linux|Statistics"/>
    <n v="13.8"/>
    <x v="0"/>
    <x v="306"/>
    <n v="8.4"/>
    <x v="0"/>
    <n v="1"/>
    <n v="1"/>
    <x v="1"/>
    <x v="0"/>
    <s v="Senior ($200-300k)"/>
  </r>
  <r>
    <x v="491"/>
    <x v="8"/>
    <x v="4"/>
    <x v="1"/>
    <x v="14"/>
    <x v="1"/>
    <n v="276000"/>
    <n v="180000"/>
    <n v="320000"/>
    <s v="Paris"/>
    <x v="10"/>
    <s v="Hybrid"/>
    <s v="SME (51-500)"/>
    <x v="8"/>
    <s v="ML|System Design|Leadership|Git|Cloud"/>
    <n v="11.2"/>
    <x v="7"/>
    <x v="224"/>
    <n v="6.3"/>
    <x v="0"/>
    <n v="2"/>
    <n v="1"/>
    <x v="1"/>
    <x v="1"/>
    <s v="Senior ($200-300k)"/>
  </r>
  <r>
    <x v="492"/>
    <x v="15"/>
    <x v="0"/>
    <x v="0"/>
    <x v="0"/>
    <x v="3"/>
    <n v="293000"/>
    <n v="145000"/>
    <n v="280000"/>
    <s v="New York"/>
    <x v="0"/>
    <s v="Fully Remote"/>
    <s v="Enterprise (5000+)"/>
    <x v="1"/>
    <s v="LLMs|Search Systems|Python|Communication"/>
    <n v="4"/>
    <x v="14"/>
    <x v="307"/>
    <n v="9.3000000000000007"/>
    <x v="0"/>
    <n v="1"/>
    <n v="1"/>
    <x v="1"/>
    <x v="0"/>
    <s v="Senior ($200-300k)"/>
  </r>
  <r>
    <x v="493"/>
    <x v="24"/>
    <x v="11"/>
    <x v="0"/>
    <x v="2"/>
    <x v="2"/>
    <n v="221000"/>
    <n v="115000"/>
    <n v="280000"/>
    <s v="Seattle"/>
    <x v="0"/>
    <s v="Hybrid"/>
    <s v="SME (51-500)"/>
    <x v="6"/>
    <s v="Python|Publishing|Mathematics|PyTorch|Deep Learning|Statistics|Cloud"/>
    <n v="17.2"/>
    <x v="3"/>
    <x v="78"/>
    <n v="6.5"/>
    <x v="1"/>
    <n v="3"/>
    <n v="1"/>
    <x v="1"/>
    <x v="1"/>
    <s v="Senior ($200-300k)"/>
  </r>
  <r>
    <x v="494"/>
    <x v="23"/>
    <x v="9"/>
    <x v="1"/>
    <x v="8"/>
    <x v="1"/>
    <n v="100000"/>
    <n v="100000"/>
    <n v="200000"/>
    <s v="Bangalore"/>
    <x v="4"/>
    <s v="Fully Remote"/>
    <s v="Enterprise (5000+)"/>
    <x v="6"/>
    <s v="Legal Knowledge|Auditing|Risk Management|Documentation|EU AI Act|Git"/>
    <n v="15.1"/>
    <x v="19"/>
    <x v="209"/>
    <n v="9.1999999999999993"/>
    <x v="1"/>
    <n v="11"/>
    <n v="1"/>
    <x v="1"/>
    <x v="1"/>
    <s v="Entry (&lt;$100k)"/>
  </r>
  <r>
    <x v="495"/>
    <x v="10"/>
    <x v="0"/>
    <x v="2"/>
    <x v="1"/>
    <x v="3"/>
    <n v="150000"/>
    <n v="150000"/>
    <n v="295000"/>
    <s v="Los Angeles"/>
    <x v="0"/>
    <s v="Fully Remote"/>
    <s v="Startup (1-50)"/>
    <x v="2"/>
    <s v="Diffusion Models|Deployment|GenAI APIs|LLMs|Statistics"/>
    <n v="15.6"/>
    <x v="9"/>
    <x v="308"/>
    <n v="7.2"/>
    <x v="0"/>
    <n v="3"/>
    <n v="0"/>
    <x v="1"/>
    <x v="0"/>
    <s v="Mid ($100-150k)"/>
  </r>
  <r>
    <x v="496"/>
    <x v="8"/>
    <x v="4"/>
    <x v="2"/>
    <x v="11"/>
    <x v="0"/>
    <n v="245000"/>
    <n v="180000"/>
    <n v="320000"/>
    <s v="Austin"/>
    <x v="0"/>
    <s v="Hybrid"/>
    <s v="Big Tech (FAANG+)"/>
    <x v="7"/>
    <s v="Python|Leadership|Cloud|Enterprise Architecture|System Design|ML|Cloud|Linux"/>
    <n v="16.7"/>
    <x v="7"/>
    <x v="28"/>
    <n v="6.6"/>
    <x v="0"/>
    <n v="3"/>
    <n v="0"/>
    <x v="1"/>
    <x v="1"/>
    <s v="Senior ($200-300k)"/>
  </r>
  <r>
    <x v="497"/>
    <x v="21"/>
    <x v="8"/>
    <x v="1"/>
    <x v="4"/>
    <x v="0"/>
    <n v="167000"/>
    <n v="138000"/>
    <n v="195000"/>
    <s v="London"/>
    <x v="1"/>
    <s v="Hybrid"/>
    <s v="Startup (1-50)"/>
    <x v="3"/>
    <s v="SQL|ML Algorithms|Python|Data Visualization|Scikit-learn|Statistics|Communication|Linux"/>
    <n v="6.6"/>
    <x v="17"/>
    <x v="309"/>
    <n v="7"/>
    <x v="1"/>
    <n v="11"/>
    <n v="1"/>
    <x v="1"/>
    <x v="1"/>
    <s v="Upper-Mid ($150-200k)"/>
  </r>
  <r>
    <x v="498"/>
    <x v="2"/>
    <x v="0"/>
    <x v="0"/>
    <x v="8"/>
    <x v="0"/>
    <n v="208000"/>
    <n v="160000"/>
    <n v="300000"/>
    <s v="Amsterdam"/>
    <x v="9"/>
    <s v="On-site"/>
    <s v="SME (51-500)"/>
    <x v="7"/>
    <s v="Prompt Engineering|Vector DBs|RAG|Fine-tuning|LLM APIs|SQL"/>
    <n v="3.8"/>
    <x v="2"/>
    <x v="26"/>
    <n v="9.4"/>
    <x v="0"/>
    <n v="1"/>
    <n v="1"/>
    <x v="0"/>
    <x v="0"/>
    <s v="Senior ($200-300k)"/>
  </r>
  <r>
    <x v="499"/>
    <x v="6"/>
    <x v="0"/>
    <x v="0"/>
    <x v="11"/>
    <x v="0"/>
    <n v="226000"/>
    <n v="180000"/>
    <n v="312000"/>
    <s v="Tokyo"/>
    <x v="5"/>
    <s v="Hybrid"/>
    <s v="Startup (1-50)"/>
    <x v="2"/>
    <s v="MLOps|Python|PyTorch|System Design|Distributed Systems|LLM Fine-tuning|Linux"/>
    <n v="10.9"/>
    <x v="0"/>
    <x v="310"/>
    <n v="8.8000000000000007"/>
    <x v="1"/>
    <n v="9"/>
    <n v="1"/>
    <x v="1"/>
    <x v="1"/>
    <s v="Senior ($200-300k)"/>
  </r>
  <r>
    <x v="500"/>
    <x v="19"/>
    <x v="10"/>
    <x v="0"/>
    <x v="6"/>
    <x v="0"/>
    <n v="140000"/>
    <n v="140000"/>
    <n v="270000"/>
    <s v="Beijing"/>
    <x v="6"/>
    <s v="Hybrid"/>
    <s v="Enterprise (5000+)"/>
    <x v="7"/>
    <s v="Kubernetes|Networking|CUDA|Linux|SQL"/>
    <n v="11.3"/>
    <x v="4"/>
    <x v="311"/>
    <n v="7"/>
    <x v="1"/>
    <n v="11"/>
    <n v="1"/>
    <x v="1"/>
    <x v="1"/>
    <s v="Mid ($100-150k)"/>
  </r>
  <r>
    <x v="501"/>
    <x v="23"/>
    <x v="9"/>
    <x v="0"/>
    <x v="10"/>
    <x v="3"/>
    <n v="240000"/>
    <n v="100000"/>
    <n v="200000"/>
    <s v="San Francisco"/>
    <x v="0"/>
    <s v="Fully Remote"/>
    <s v="Big Tech (FAANG+)"/>
    <x v="7"/>
    <s v="Legal Knowledge|EU AI Act|Auditing|Problem Solving"/>
    <n v="16.399999999999999"/>
    <x v="19"/>
    <x v="195"/>
    <n v="6.6"/>
    <x v="1"/>
    <n v="2"/>
    <n v="1"/>
    <x v="1"/>
    <x v="1"/>
    <s v="Senior ($200-300k)"/>
  </r>
  <r>
    <x v="502"/>
    <x v="21"/>
    <x v="8"/>
    <x v="1"/>
    <x v="8"/>
    <x v="3"/>
    <n v="176000"/>
    <n v="138000"/>
    <n v="195000"/>
    <s v="Paris"/>
    <x v="10"/>
    <s v="Fully Remote"/>
    <s v="Mid-size (501-5000)"/>
    <x v="6"/>
    <s v="ML Algorithms|Scikit-learn|SQL|Statistics|Data Visualization|Statistics"/>
    <n v="9.1999999999999993"/>
    <x v="17"/>
    <x v="312"/>
    <n v="9.3000000000000007"/>
    <x v="0"/>
    <n v="3"/>
    <n v="1"/>
    <x v="1"/>
    <x v="1"/>
    <s v="Upper-Mid ($150-200k)"/>
  </r>
  <r>
    <x v="503"/>
    <x v="18"/>
    <x v="9"/>
    <x v="2"/>
    <x v="0"/>
    <x v="0"/>
    <n v="144000"/>
    <n v="110000"/>
    <n v="210000"/>
    <s v="Boston"/>
    <x v="0"/>
    <s v="On-site"/>
    <s v="Mid-size (501-5000)"/>
    <x v="8"/>
    <s v="Risk Assessment|Ethics Frameworks|Research|AI Policy|Communication|Cloud|Statistics|Communication"/>
    <n v="17.2"/>
    <x v="16"/>
    <x v="200"/>
    <n v="6.4"/>
    <x v="1"/>
    <n v="11"/>
    <n v="0"/>
    <x v="0"/>
    <x v="1"/>
    <s v="Mid ($100-150k)"/>
  </r>
  <r>
    <x v="504"/>
    <x v="12"/>
    <x v="0"/>
    <x v="3"/>
    <x v="4"/>
    <x v="4"/>
    <n v="234000"/>
    <n v="160000"/>
    <n v="300000"/>
    <s v="Tokyo"/>
    <x v="5"/>
    <s v="Hybrid"/>
    <s v="Enterprise (5000+)"/>
    <x v="11"/>
    <s v="APIs|Fine-tuning|Vision-Language Models|PyTorch|SQL"/>
    <n v="11.4"/>
    <x v="11"/>
    <x v="313"/>
    <n v="7.6"/>
    <x v="0"/>
    <n v="2"/>
    <n v="0"/>
    <x v="1"/>
    <x v="1"/>
    <s v="Senior ($200-300k)"/>
  </r>
  <r>
    <x v="505"/>
    <x v="13"/>
    <x v="5"/>
    <x v="1"/>
    <x v="2"/>
    <x v="0"/>
    <n v="259000"/>
    <n v="130000"/>
    <n v="260000"/>
    <s v="Boston"/>
    <x v="0"/>
    <s v="Hybrid"/>
    <s v="Startup (1-50)"/>
    <x v="1"/>
    <s v="Docker|MLflow|Monitoring|Kubernetes|CI/CD|Cloud|Python|Agile"/>
    <n v="10.199999999999999"/>
    <x v="12"/>
    <x v="287"/>
    <n v="6.5"/>
    <x v="0"/>
    <n v="1"/>
    <n v="1"/>
    <x v="1"/>
    <x v="1"/>
    <s v="Senior ($200-300k)"/>
  </r>
  <r>
    <x v="506"/>
    <x v="1"/>
    <x v="0"/>
    <x v="2"/>
    <x v="3"/>
    <x v="4"/>
    <n v="90000"/>
    <n v="90000"/>
    <n v="200000"/>
    <s v="Singapore"/>
    <x v="2"/>
    <s v="Fully Remote"/>
    <s v="Startup (1-50)"/>
    <x v="11"/>
    <s v="Prompt Design|Python|LLM APIs|Testing|Cloud"/>
    <n v="5"/>
    <x v="1"/>
    <x v="314"/>
    <n v="9.5"/>
    <x v="1"/>
    <n v="11"/>
    <n v="0"/>
    <x v="1"/>
    <x v="0"/>
    <s v="Entry (&lt;$100k)"/>
  </r>
  <r>
    <x v="507"/>
    <x v="0"/>
    <x v="0"/>
    <x v="1"/>
    <x v="2"/>
    <x v="1"/>
    <n v="315000"/>
    <n v="155000"/>
    <n v="290000"/>
    <s v="Sydney"/>
    <x v="11"/>
    <s v="Hybrid"/>
    <s v="Enterprise (5000+)"/>
    <x v="9"/>
    <s v="LangChain|Planning Systems|Tool Use|AutoGen|APIs|Linux|Communication|Agile"/>
    <n v="10"/>
    <x v="0"/>
    <x v="315"/>
    <n v="7.1"/>
    <x v="0"/>
    <n v="2"/>
    <n v="1"/>
    <x v="1"/>
    <x v="0"/>
    <s v="Elite (&gt;$300k)"/>
  </r>
  <r>
    <x v="508"/>
    <x v="16"/>
    <x v="7"/>
    <x v="1"/>
    <x v="10"/>
    <x v="1"/>
    <n v="246000"/>
    <n v="125000"/>
    <n v="240000"/>
    <s v="Chicago"/>
    <x v="0"/>
    <s v="On-site"/>
    <s v="Enterprise (5000+)"/>
    <x v="5"/>
    <s v="Control Systems|C++|Computer Vision|Python|Simulation|Cloud|Problem Solving"/>
    <n v="13.6"/>
    <x v="15"/>
    <x v="42"/>
    <n v="7.6"/>
    <x v="0"/>
    <n v="3"/>
    <n v="1"/>
    <x v="0"/>
    <x v="1"/>
    <s v="Senior ($200-300k)"/>
  </r>
  <r>
    <x v="509"/>
    <x v="13"/>
    <x v="5"/>
    <x v="0"/>
    <x v="0"/>
    <x v="0"/>
    <n v="271000"/>
    <n v="130000"/>
    <n v="260000"/>
    <s v="London"/>
    <x v="1"/>
    <s v="Hybrid"/>
    <s v="Big Tech (FAANG+)"/>
    <x v="10"/>
    <s v="Python|CI/CD|Kubernetes|Monitoring|Docker|Research"/>
    <n v="8.5"/>
    <x v="12"/>
    <x v="316"/>
    <n v="9.1999999999999993"/>
    <x v="0"/>
    <n v="2"/>
    <n v="1"/>
    <x v="1"/>
    <x v="1"/>
    <s v="Senior ($200-300k)"/>
  </r>
  <r>
    <x v="510"/>
    <x v="15"/>
    <x v="0"/>
    <x v="1"/>
    <x v="1"/>
    <x v="4"/>
    <n v="336000"/>
    <n v="145000"/>
    <n v="280000"/>
    <s v="Boston"/>
    <x v="0"/>
    <s v="Hybrid"/>
    <s v="Mid-size (501-5000)"/>
    <x v="7"/>
    <s v="LangChain|Vector DBs|Search Systems|Research|Linux|Communication"/>
    <n v="4.0999999999999996"/>
    <x v="14"/>
    <x v="246"/>
    <n v="8.6999999999999993"/>
    <x v="0"/>
    <n v="2"/>
    <n v="1"/>
    <x v="1"/>
    <x v="0"/>
    <s v="Elite (&gt;$300k)"/>
  </r>
  <r>
    <x v="511"/>
    <x v="15"/>
    <x v="0"/>
    <x v="2"/>
    <x v="1"/>
    <x v="1"/>
    <n v="145000"/>
    <n v="145000"/>
    <n v="280000"/>
    <s v="Los Angeles"/>
    <x v="0"/>
    <s v="Hybrid"/>
    <s v="Startup (1-50)"/>
    <x v="5"/>
    <s v="Vector DBs|LangChain|Python|SQL|Leadership"/>
    <n v="9.5"/>
    <x v="14"/>
    <x v="231"/>
    <n v="7.8"/>
    <x v="1"/>
    <n v="4"/>
    <n v="0"/>
    <x v="1"/>
    <x v="0"/>
    <s v="Mid ($100-150k)"/>
  </r>
  <r>
    <x v="512"/>
    <x v="16"/>
    <x v="7"/>
    <x v="1"/>
    <x v="4"/>
    <x v="2"/>
    <n v="206000"/>
    <n v="125000"/>
    <n v="240000"/>
    <s v="Berlin"/>
    <x v="12"/>
    <s v="Hybrid"/>
    <s v="Big Tech (FAANG+)"/>
    <x v="8"/>
    <s v="Python|Simulation|Control Systems|Leadership"/>
    <n v="10"/>
    <x v="15"/>
    <x v="160"/>
    <n v="7.1"/>
    <x v="1"/>
    <n v="10"/>
    <n v="1"/>
    <x v="1"/>
    <x v="1"/>
    <s v="Senior ($200-300k)"/>
  </r>
  <r>
    <x v="513"/>
    <x v="18"/>
    <x v="9"/>
    <x v="1"/>
    <x v="4"/>
    <x v="3"/>
    <n v="188000"/>
    <n v="110000"/>
    <n v="210000"/>
    <s v="Singapore"/>
    <x v="2"/>
    <s v="Hybrid"/>
    <s v="Mid-size (501-5000)"/>
    <x v="11"/>
    <s v="Communication|Research|AI Policy|Ethics Frameworks|Research|Git"/>
    <n v="13.8"/>
    <x v="16"/>
    <x v="119"/>
    <n v="8.5"/>
    <x v="0"/>
    <n v="2"/>
    <n v="1"/>
    <x v="1"/>
    <x v="1"/>
    <s v="Upper-Mid ($150-200k)"/>
  </r>
  <r>
    <x v="514"/>
    <x v="9"/>
    <x v="0"/>
    <x v="1"/>
    <x v="4"/>
    <x v="3"/>
    <n v="197000"/>
    <n v="120000"/>
    <n v="280000"/>
    <s v="Singapore"/>
    <x v="2"/>
    <s v="Hybrid"/>
    <s v="SME (51-500)"/>
    <x v="4"/>
    <s v="Kubernetes|SQL|PyTorch|MLOps|TensorFlow|Git|Linux|Leadership"/>
    <n v="13.6"/>
    <x v="8"/>
    <x v="317"/>
    <n v="9.3000000000000007"/>
    <x v="1"/>
    <n v="11"/>
    <n v="1"/>
    <x v="1"/>
    <x v="1"/>
    <s v="Upper-Mid ($150-200k)"/>
  </r>
  <r>
    <x v="515"/>
    <x v="13"/>
    <x v="5"/>
    <x v="1"/>
    <x v="0"/>
    <x v="3"/>
    <n v="191000"/>
    <n v="130000"/>
    <n v="260000"/>
    <s v="Sydney"/>
    <x v="11"/>
    <s v="Fully Remote"/>
    <s v="Startup (1-50)"/>
    <x v="11"/>
    <s v="MLflow|Monitoring|Cloud|Docker|Statistics"/>
    <n v="11.5"/>
    <x v="12"/>
    <x v="318"/>
    <n v="7.5"/>
    <x v="1"/>
    <n v="12"/>
    <n v="1"/>
    <x v="1"/>
    <x v="1"/>
    <s v="Upper-Mid ($150-200k)"/>
  </r>
  <r>
    <x v="516"/>
    <x v="24"/>
    <x v="11"/>
    <x v="2"/>
    <x v="11"/>
    <x v="3"/>
    <n v="115000"/>
    <n v="115000"/>
    <n v="280000"/>
    <s v="London"/>
    <x v="1"/>
    <s v="Hybrid"/>
    <s v="Startup (1-50)"/>
    <x v="11"/>
    <s v="PyTorch|Publishing|Python|Deep Learning|Mathematics|Git|SQL"/>
    <n v="8.4"/>
    <x v="3"/>
    <x v="44"/>
    <n v="7.7"/>
    <x v="1"/>
    <n v="11"/>
    <n v="0"/>
    <x v="1"/>
    <x v="1"/>
    <s v="Mid ($100-150k)"/>
  </r>
  <r>
    <x v="517"/>
    <x v="20"/>
    <x v="0"/>
    <x v="2"/>
    <x v="0"/>
    <x v="3"/>
    <n v="103000"/>
    <n v="100000"/>
    <n v="250000"/>
    <s v="Chicago"/>
    <x v="0"/>
    <s v="Fully Remote"/>
    <s v="Mid-size (501-5000)"/>
    <x v="2"/>
    <s v="Docker|LLM Integration|Python|PyTorch|Cloud (AWS/GCP/Azure)|Agile|Communication"/>
    <n v="12.3"/>
    <x v="9"/>
    <x v="88"/>
    <n v="9"/>
    <x v="1"/>
    <n v="1"/>
    <n v="0"/>
    <x v="1"/>
    <x v="1"/>
    <s v="Mid ($100-150k)"/>
  </r>
  <r>
    <x v="518"/>
    <x v="0"/>
    <x v="0"/>
    <x v="2"/>
    <x v="2"/>
    <x v="0"/>
    <n v="184000"/>
    <n v="155000"/>
    <n v="290000"/>
    <s v="Boston"/>
    <x v="0"/>
    <s v="Fully Remote"/>
    <s v="SME (51-500)"/>
    <x v="11"/>
    <s v="Planning Systems|APIs|Python|LangChain|Tool Use|AutoGen|Communication"/>
    <n v="13"/>
    <x v="0"/>
    <x v="319"/>
    <n v="9.4"/>
    <x v="0"/>
    <n v="1"/>
    <n v="0"/>
    <x v="1"/>
    <x v="0"/>
    <s v="Upper-Mid ($150-200k)"/>
  </r>
  <r>
    <x v="519"/>
    <x v="8"/>
    <x v="4"/>
    <x v="2"/>
    <x v="14"/>
    <x v="2"/>
    <n v="180000"/>
    <n v="180000"/>
    <n v="320000"/>
    <s v="Amsterdam"/>
    <x v="9"/>
    <s v="Fully Remote"/>
    <s v="Enterprise (5000+)"/>
    <x v="2"/>
    <s v="System Design|Enterprise Architecture|Python|Leadership|ML|Leadership|Statistics|SQL"/>
    <n v="10.9"/>
    <x v="7"/>
    <x v="320"/>
    <n v="7.5"/>
    <x v="1"/>
    <n v="3"/>
    <n v="0"/>
    <x v="1"/>
    <x v="1"/>
    <s v="Upper-Mid ($150-200k)"/>
  </r>
  <r>
    <x v="520"/>
    <x v="13"/>
    <x v="5"/>
    <x v="3"/>
    <x v="0"/>
    <x v="2"/>
    <n v="251000"/>
    <n v="130000"/>
    <n v="260000"/>
    <s v="Seattle"/>
    <x v="0"/>
    <s v="Hybrid"/>
    <s v="Big Tech (FAANG+)"/>
    <x v="1"/>
    <s v="CI/CD|MLflow|Python|Monitoring|Docker|Agile|SQL"/>
    <n v="10.6"/>
    <x v="12"/>
    <x v="291"/>
    <n v="8.9"/>
    <x v="1"/>
    <n v="9"/>
    <n v="0"/>
    <x v="1"/>
    <x v="1"/>
    <s v="Senior ($200-300k)"/>
  </r>
  <r>
    <x v="521"/>
    <x v="10"/>
    <x v="0"/>
    <x v="3"/>
    <x v="8"/>
    <x v="3"/>
    <n v="150000"/>
    <n v="150000"/>
    <n v="295000"/>
    <s v="Toronto"/>
    <x v="7"/>
    <s v="Hybrid"/>
    <s v="Startup (1-50)"/>
    <x v="9"/>
    <s v="Fine-tuning|Python|Diffusion Models|Problem Solving|Git|Research"/>
    <n v="8.4"/>
    <x v="9"/>
    <x v="177"/>
    <n v="7.9"/>
    <x v="0"/>
    <n v="2"/>
    <n v="0"/>
    <x v="1"/>
    <x v="0"/>
    <s v="Mid ($100-150k)"/>
  </r>
  <r>
    <x v="522"/>
    <x v="18"/>
    <x v="9"/>
    <x v="2"/>
    <x v="0"/>
    <x v="1"/>
    <n v="110000"/>
    <n v="110000"/>
    <n v="210000"/>
    <s v="Paris"/>
    <x v="10"/>
    <s v="Hybrid"/>
    <s v="SME (51-500)"/>
    <x v="3"/>
    <s v="Research|Communication|Ethics Frameworks|AI Policy|Risk Assessment|Cloud"/>
    <n v="12.3"/>
    <x v="16"/>
    <x v="321"/>
    <n v="6.5"/>
    <x v="0"/>
    <n v="3"/>
    <n v="0"/>
    <x v="1"/>
    <x v="1"/>
    <s v="Mid ($100-150k)"/>
  </r>
  <r>
    <x v="523"/>
    <x v="3"/>
    <x v="1"/>
    <x v="0"/>
    <x v="3"/>
    <x v="3"/>
    <n v="159000"/>
    <n v="130000"/>
    <n v="220000"/>
    <s v="Singapore"/>
    <x v="2"/>
    <s v="Fully Remote"/>
    <s v="SME (51-500)"/>
    <x v="1"/>
    <s v="Python|dbt|ETL|Spark|Leadership|SQL"/>
    <n v="10.5"/>
    <x v="3"/>
    <x v="286"/>
    <n v="6.2"/>
    <x v="0"/>
    <n v="2"/>
    <n v="1"/>
    <x v="1"/>
    <x v="1"/>
    <s v="Upper-Mid ($150-200k)"/>
  </r>
  <r>
    <x v="524"/>
    <x v="9"/>
    <x v="0"/>
    <x v="3"/>
    <x v="9"/>
    <x v="4"/>
    <n v="155000"/>
    <n v="120000"/>
    <n v="280000"/>
    <s v="Toronto"/>
    <x v="7"/>
    <s v="Fully Remote"/>
    <s v="Mid-size (501-5000)"/>
    <x v="5"/>
    <s v="SQL|Python|Kubernetes|MLOps|PyTorch|TensorFlow|Statistics|Communication"/>
    <n v="17.399999999999999"/>
    <x v="8"/>
    <x v="322"/>
    <n v="7.1"/>
    <x v="0"/>
    <n v="3"/>
    <n v="0"/>
    <x v="1"/>
    <x v="1"/>
    <s v="Upper-Mid ($150-200k)"/>
  </r>
  <r>
    <x v="525"/>
    <x v="22"/>
    <x v="0"/>
    <x v="2"/>
    <x v="9"/>
    <x v="1"/>
    <n v="146000"/>
    <n v="145000"/>
    <n v="280000"/>
    <s v="Toronto"/>
    <x v="7"/>
    <s v="Fully Remote"/>
    <s v="Big Tech (FAANG+)"/>
    <x v="4"/>
    <s v="PyTorch|Python|OpenCV|Image Processing|CUDA|CNNs|Leadership|Communication|Git"/>
    <n v="8.5"/>
    <x v="18"/>
    <x v="119"/>
    <n v="6.9"/>
    <x v="0"/>
    <n v="2"/>
    <n v="0"/>
    <x v="1"/>
    <x v="1"/>
    <s v="Mid ($100-150k)"/>
  </r>
  <r>
    <x v="526"/>
    <x v="21"/>
    <x v="8"/>
    <x v="2"/>
    <x v="4"/>
    <x v="4"/>
    <n v="188000"/>
    <n v="138000"/>
    <n v="195000"/>
    <s v="San Francisco"/>
    <x v="0"/>
    <s v="Hybrid"/>
    <s v="Enterprise (5000+)"/>
    <x v="3"/>
    <s v="Python|ML Algorithms|SQL|Scikit-learn|Statistics|SQL|Cloud"/>
    <n v="4.5999999999999996"/>
    <x v="17"/>
    <x v="2"/>
    <n v="8.5"/>
    <x v="0"/>
    <n v="3"/>
    <n v="0"/>
    <x v="1"/>
    <x v="1"/>
    <s v="Upper-Mid ($150-200k)"/>
  </r>
  <r>
    <x v="527"/>
    <x v="13"/>
    <x v="5"/>
    <x v="0"/>
    <x v="9"/>
    <x v="1"/>
    <n v="312000"/>
    <n v="130000"/>
    <n v="260000"/>
    <s v="New York"/>
    <x v="0"/>
    <s v="Fully Remote"/>
    <s v="Big Tech (FAANG+)"/>
    <x v="3"/>
    <s v="Cloud|Docker|MLflow|Kubernetes|Python|Problem Solving|Cloud"/>
    <n v="17.3"/>
    <x v="12"/>
    <x v="323"/>
    <n v="9.1"/>
    <x v="0"/>
    <n v="3"/>
    <n v="1"/>
    <x v="1"/>
    <x v="1"/>
    <s v="Elite (&gt;$300k)"/>
  </r>
  <r>
    <x v="528"/>
    <x v="12"/>
    <x v="0"/>
    <x v="1"/>
    <x v="0"/>
    <x v="3"/>
    <n v="323000"/>
    <n v="160000"/>
    <n v="300000"/>
    <s v="Paris"/>
    <x v="10"/>
    <s v="Fully Remote"/>
    <s v="Big Tech (FAANG+)"/>
    <x v="6"/>
    <s v="PyTorch|Vision-Language Models|APIs|Fine-tuning|Python|SQL"/>
    <n v="17.5"/>
    <x v="11"/>
    <x v="282"/>
    <n v="6.9"/>
    <x v="0"/>
    <n v="2"/>
    <n v="1"/>
    <x v="1"/>
    <x v="1"/>
    <s v="Elite (&gt;$300k)"/>
  </r>
  <r>
    <x v="529"/>
    <x v="14"/>
    <x v="6"/>
    <x v="0"/>
    <x v="2"/>
    <x v="4"/>
    <n v="125000"/>
    <n v="95000"/>
    <n v="180000"/>
    <s v="Sydney"/>
    <x v="11"/>
    <s v="On-site"/>
    <s v="Startup (1-50)"/>
    <x v="5"/>
    <s v="Communication|SQL|Data Visualization|Python|Business Analysis|Linux|Research"/>
    <n v="8.1"/>
    <x v="13"/>
    <x v="119"/>
    <n v="7.4"/>
    <x v="0"/>
    <n v="3"/>
    <n v="1"/>
    <x v="0"/>
    <x v="1"/>
    <s v="Mid ($100-150k)"/>
  </r>
  <r>
    <x v="530"/>
    <x v="11"/>
    <x v="0"/>
    <x v="2"/>
    <x v="6"/>
    <x v="4"/>
    <n v="141000"/>
    <n v="141000"/>
    <n v="270000"/>
    <s v="Amsterdam"/>
    <x v="9"/>
    <s v="On-site"/>
    <s v="Startup (1-50)"/>
    <x v="9"/>
    <s v="Neural Networks|PyTorch|TensorFlow|Agile|Research"/>
    <n v="4.2"/>
    <x v="10"/>
    <x v="324"/>
    <n v="8.5"/>
    <x v="1"/>
    <n v="11"/>
    <n v="0"/>
    <x v="0"/>
    <x v="1"/>
    <s v="Mid ($100-150k)"/>
  </r>
  <r>
    <x v="531"/>
    <x v="9"/>
    <x v="0"/>
    <x v="1"/>
    <x v="8"/>
    <x v="2"/>
    <n v="310000"/>
    <n v="120000"/>
    <n v="280000"/>
    <s v="Chicago"/>
    <x v="0"/>
    <s v="Fully Remote"/>
    <s v="Big Tech (FAANG+)"/>
    <x v="10"/>
    <s v="SQL|TensorFlow|Kubernetes|Statistics"/>
    <n v="14"/>
    <x v="8"/>
    <x v="325"/>
    <n v="6.3"/>
    <x v="0"/>
    <n v="3"/>
    <n v="1"/>
    <x v="1"/>
    <x v="1"/>
    <s v="Elite (&gt;$300k)"/>
  </r>
  <r>
    <x v="532"/>
    <x v="6"/>
    <x v="0"/>
    <x v="0"/>
    <x v="11"/>
    <x v="2"/>
    <n v="188000"/>
    <n v="180000"/>
    <n v="312000"/>
    <s v="London"/>
    <x v="1"/>
    <s v="Hybrid"/>
    <s v="SME (51-500)"/>
    <x v="4"/>
    <s v="Distributed Systems|MLOps|System Design|SQL"/>
    <n v="11.6"/>
    <x v="0"/>
    <x v="221"/>
    <n v="9.4"/>
    <x v="1"/>
    <n v="5"/>
    <n v="1"/>
    <x v="1"/>
    <x v="1"/>
    <s v="Upper-Mid ($150-200k)"/>
  </r>
  <r>
    <x v="533"/>
    <x v="15"/>
    <x v="0"/>
    <x v="0"/>
    <x v="3"/>
    <x v="1"/>
    <n v="285000"/>
    <n v="145000"/>
    <n v="280000"/>
    <s v="San Francisco"/>
    <x v="0"/>
    <s v="Fully Remote"/>
    <s v="SME (51-500)"/>
    <x v="11"/>
    <s v="Python|Search Systems|Vector DBs|Leadership|Problem Solving"/>
    <n v="9.6"/>
    <x v="14"/>
    <x v="2"/>
    <n v="8.1999999999999993"/>
    <x v="0"/>
    <n v="1"/>
    <n v="1"/>
    <x v="1"/>
    <x v="0"/>
    <s v="Senior ($200-300k)"/>
  </r>
  <r>
    <x v="534"/>
    <x v="2"/>
    <x v="0"/>
    <x v="3"/>
    <x v="8"/>
    <x v="2"/>
    <n v="174000"/>
    <n v="160000"/>
    <n v="300000"/>
    <s v="Seattle"/>
    <x v="0"/>
    <s v="Hybrid"/>
    <s v="Startup (1-50)"/>
    <x v="11"/>
    <s v="Prompt Engineering|Python|Vector DBs|Fine-tuning|LLM APIs|RAG|Agile|Communication"/>
    <n v="4.7"/>
    <x v="2"/>
    <x v="326"/>
    <n v="8.9"/>
    <x v="1"/>
    <n v="8"/>
    <n v="0"/>
    <x v="1"/>
    <x v="0"/>
    <s v="Upper-Mid ($150-200k)"/>
  </r>
  <r>
    <x v="535"/>
    <x v="4"/>
    <x v="2"/>
    <x v="1"/>
    <x v="8"/>
    <x v="3"/>
    <n v="246000"/>
    <n v="140000"/>
    <n v="260000"/>
    <s v="Boston"/>
    <x v="0"/>
    <s v="Fully Remote"/>
    <s v="SME (51-500)"/>
    <x v="11"/>
    <s v="Data Analysis|Product Strategy|AI Literacy|Stakeholder Mgmt|Agile|Cloud|Communication"/>
    <n v="17.899999999999999"/>
    <x v="4"/>
    <x v="223"/>
    <n v="6.9"/>
    <x v="0"/>
    <n v="3"/>
    <n v="1"/>
    <x v="1"/>
    <x v="1"/>
    <s v="Senior ($200-300k)"/>
  </r>
  <r>
    <x v="536"/>
    <x v="14"/>
    <x v="6"/>
    <x v="0"/>
    <x v="1"/>
    <x v="4"/>
    <n v="216000"/>
    <n v="95000"/>
    <n v="180000"/>
    <s v="Austin"/>
    <x v="0"/>
    <s v="Hybrid"/>
    <s v="Big Tech (FAANG+)"/>
    <x v="5"/>
    <s v="Data Visualization|Communication|Business Analysis|Problem Solving"/>
    <n v="15.7"/>
    <x v="13"/>
    <x v="19"/>
    <n v="9.3000000000000007"/>
    <x v="1"/>
    <n v="2"/>
    <n v="1"/>
    <x v="1"/>
    <x v="1"/>
    <s v="Senior ($200-300k)"/>
  </r>
  <r>
    <x v="537"/>
    <x v="1"/>
    <x v="0"/>
    <x v="1"/>
    <x v="5"/>
    <x v="1"/>
    <n v="195000"/>
    <n v="90000"/>
    <n v="200000"/>
    <s v="Berlin"/>
    <x v="12"/>
    <s v="Hybrid"/>
    <s v="Big Tech (FAANG+)"/>
    <x v="8"/>
    <s v="Prompt Design|LLM APIs|Documentation|NLP|Testing|Python|Linux|Cloud"/>
    <n v="8"/>
    <x v="1"/>
    <x v="281"/>
    <n v="9.4"/>
    <x v="0"/>
    <n v="3"/>
    <n v="1"/>
    <x v="1"/>
    <x v="0"/>
    <s v="Upper-Mid ($150-200k)"/>
  </r>
  <r>
    <x v="538"/>
    <x v="15"/>
    <x v="0"/>
    <x v="2"/>
    <x v="2"/>
    <x v="1"/>
    <n v="145000"/>
    <n v="145000"/>
    <n v="280000"/>
    <s v="Beijing"/>
    <x v="6"/>
    <s v="Fully Remote"/>
    <s v="Startup (1-50)"/>
    <x v="9"/>
    <s v="Embeddings|LangChain|Search Systems|Vector DBs|LLMs|Python|Linux|Leadership|Git"/>
    <n v="7.2"/>
    <x v="14"/>
    <x v="327"/>
    <n v="8.5"/>
    <x v="1"/>
    <n v="8"/>
    <n v="0"/>
    <x v="1"/>
    <x v="0"/>
    <s v="Mid ($100-150k)"/>
  </r>
  <r>
    <x v="539"/>
    <x v="24"/>
    <x v="11"/>
    <x v="0"/>
    <x v="11"/>
    <x v="1"/>
    <n v="237000"/>
    <n v="115000"/>
    <n v="280000"/>
    <s v="Dubai"/>
    <x v="8"/>
    <s v="On-site"/>
    <s v="Big Tech (FAANG+)"/>
    <x v="9"/>
    <s v="Python|Mathematics|Deep Learning|PyTorch|Research|Statistics|Linux"/>
    <n v="17.5"/>
    <x v="3"/>
    <x v="275"/>
    <n v="8.8000000000000007"/>
    <x v="0"/>
    <n v="2"/>
    <n v="1"/>
    <x v="0"/>
    <x v="1"/>
    <s v="Senior ($200-300k)"/>
  </r>
  <r>
    <x v="540"/>
    <x v="14"/>
    <x v="6"/>
    <x v="2"/>
    <x v="1"/>
    <x v="4"/>
    <n v="95000"/>
    <n v="95000"/>
    <n v="180000"/>
    <s v="Beijing"/>
    <x v="6"/>
    <s v="Fully Remote"/>
    <s v="Mid-size (501-5000)"/>
    <x v="6"/>
    <s v="Business Analysis|Data Visualization|Python|SQL|Agile"/>
    <n v="15.5"/>
    <x v="13"/>
    <x v="223"/>
    <n v="8.5"/>
    <x v="1"/>
    <n v="4"/>
    <n v="0"/>
    <x v="1"/>
    <x v="1"/>
    <s v="Entry (&lt;$100k)"/>
  </r>
  <r>
    <x v="541"/>
    <x v="16"/>
    <x v="7"/>
    <x v="2"/>
    <x v="8"/>
    <x v="2"/>
    <n v="125000"/>
    <n v="125000"/>
    <n v="240000"/>
    <s v="Dubai"/>
    <x v="8"/>
    <s v="Hybrid"/>
    <s v="SME (51-500)"/>
    <x v="11"/>
    <s v="Computer Vision|ROS|C++|Agile"/>
    <n v="12.4"/>
    <x v="15"/>
    <x v="30"/>
    <n v="7.7"/>
    <x v="0"/>
    <n v="3"/>
    <n v="0"/>
    <x v="1"/>
    <x v="1"/>
    <s v="Mid ($100-150k)"/>
  </r>
  <r>
    <x v="542"/>
    <x v="19"/>
    <x v="10"/>
    <x v="1"/>
    <x v="9"/>
    <x v="3"/>
    <n v="287000"/>
    <n v="140000"/>
    <n v="270000"/>
    <s v="Boston"/>
    <x v="0"/>
    <s v="Hybrid"/>
    <s v="Enterprise (5000+)"/>
    <x v="9"/>
    <s v="CUDA|Cloud|Networking|Storage|Communication|Git|Statistics"/>
    <n v="10.8"/>
    <x v="4"/>
    <x v="328"/>
    <n v="7.9"/>
    <x v="0"/>
    <n v="3"/>
    <n v="1"/>
    <x v="1"/>
    <x v="1"/>
    <s v="Senior ($200-300k)"/>
  </r>
  <r>
    <x v="543"/>
    <x v="19"/>
    <x v="10"/>
    <x v="1"/>
    <x v="9"/>
    <x v="1"/>
    <n v="210000"/>
    <n v="140000"/>
    <n v="270000"/>
    <s v="Toronto"/>
    <x v="7"/>
    <s v="Hybrid"/>
    <s v="Startup (1-50)"/>
    <x v="11"/>
    <s v="Kubernetes|Storage|Cloud|CUDA|Distributed Systems|Linux"/>
    <n v="17.399999999999999"/>
    <x v="4"/>
    <x v="197"/>
    <n v="7"/>
    <x v="1"/>
    <n v="3"/>
    <n v="1"/>
    <x v="1"/>
    <x v="1"/>
    <s v="Senior ($200-300k)"/>
  </r>
  <r>
    <x v="544"/>
    <x v="10"/>
    <x v="0"/>
    <x v="3"/>
    <x v="1"/>
    <x v="0"/>
    <n v="230000"/>
    <n v="150000"/>
    <n v="295000"/>
    <s v="Remote"/>
    <x v="3"/>
    <s v="Hybrid"/>
    <s v="Mid-size (501-5000)"/>
    <x v="1"/>
    <s v="Python|Diffusion Models|Deployment|GenAI APIs|Problem Solving|Communication|Linux"/>
    <n v="10.6"/>
    <x v="9"/>
    <x v="329"/>
    <n v="8.1999999999999993"/>
    <x v="0"/>
    <n v="2"/>
    <n v="0"/>
    <x v="1"/>
    <x v="0"/>
    <s v="Senior ($200-300k)"/>
  </r>
  <r>
    <x v="545"/>
    <x v="5"/>
    <x v="3"/>
    <x v="3"/>
    <x v="10"/>
    <x v="4"/>
    <n v="210000"/>
    <n v="140000"/>
    <n v="260000"/>
    <s v="Chicago"/>
    <x v="0"/>
    <s v="Fully Remote"/>
    <s v="Mid-size (501-5000)"/>
    <x v="0"/>
    <s v="Red Teaming|Python|Risk Analysis|ML Security|Cybersecurity|Communication"/>
    <n v="17"/>
    <x v="5"/>
    <x v="95"/>
    <n v="7.6"/>
    <x v="0"/>
    <n v="1"/>
    <n v="0"/>
    <x v="1"/>
    <x v="1"/>
    <s v="Senior ($200-300k)"/>
  </r>
  <r>
    <x v="546"/>
    <x v="12"/>
    <x v="0"/>
    <x v="3"/>
    <x v="6"/>
    <x v="3"/>
    <n v="160000"/>
    <n v="160000"/>
    <n v="300000"/>
    <s v="Amsterdam"/>
    <x v="9"/>
    <s v="Hybrid"/>
    <s v="Startup (1-50)"/>
    <x v="5"/>
    <s v="PyTorch|APIs|Fine-tuning|Research"/>
    <n v="14.9"/>
    <x v="11"/>
    <x v="190"/>
    <n v="7"/>
    <x v="1"/>
    <n v="7"/>
    <n v="0"/>
    <x v="1"/>
    <x v="1"/>
    <s v="Upper-Mid ($150-200k)"/>
  </r>
  <r>
    <x v="547"/>
    <x v="9"/>
    <x v="0"/>
    <x v="0"/>
    <x v="10"/>
    <x v="4"/>
    <n v="207000"/>
    <n v="120000"/>
    <n v="280000"/>
    <s v="Tokyo"/>
    <x v="5"/>
    <s v="Hybrid"/>
    <s v="Mid-size (501-5000)"/>
    <x v="5"/>
    <s v="MLOps|TensorFlow|Python|PyTorch|Kubernetes|SQL|SQL|Agile"/>
    <n v="13.7"/>
    <x v="8"/>
    <x v="330"/>
    <n v="6.8"/>
    <x v="0"/>
    <n v="3"/>
    <n v="1"/>
    <x v="1"/>
    <x v="1"/>
    <s v="Senior ($200-300k)"/>
  </r>
  <r>
    <x v="548"/>
    <x v="15"/>
    <x v="0"/>
    <x v="2"/>
    <x v="1"/>
    <x v="1"/>
    <n v="145000"/>
    <n v="145000"/>
    <n v="280000"/>
    <s v="Toronto"/>
    <x v="7"/>
    <s v="Fully Remote"/>
    <s v="SME (51-500)"/>
    <x v="9"/>
    <s v="LLMs|Search Systems|Python|LangChain|Embeddings|Communication|Statistics|Problem Solving"/>
    <n v="5.8"/>
    <x v="14"/>
    <x v="331"/>
    <n v="7.1"/>
    <x v="1"/>
    <n v="6"/>
    <n v="0"/>
    <x v="1"/>
    <x v="0"/>
    <s v="Mid ($100-150k)"/>
  </r>
  <r>
    <x v="549"/>
    <x v="4"/>
    <x v="2"/>
    <x v="3"/>
    <x v="2"/>
    <x v="1"/>
    <n v="140000"/>
    <n v="140000"/>
    <n v="260000"/>
    <s v="Amsterdam"/>
    <x v="9"/>
    <s v="Hybrid"/>
    <s v="SME (51-500)"/>
    <x v="2"/>
    <s v="Product Strategy|Agile|AI Literacy|Data Analysis|Stakeholder Mgmt|Agile|SQL"/>
    <n v="14.9"/>
    <x v="4"/>
    <x v="314"/>
    <n v="8.8000000000000007"/>
    <x v="0"/>
    <n v="2"/>
    <n v="0"/>
    <x v="1"/>
    <x v="1"/>
    <s v="Mid ($100-150k)"/>
  </r>
  <r>
    <x v="550"/>
    <x v="0"/>
    <x v="0"/>
    <x v="0"/>
    <x v="8"/>
    <x v="1"/>
    <n v="178000"/>
    <n v="155000"/>
    <n v="290000"/>
    <s v="Sydney"/>
    <x v="11"/>
    <s v="Fully Remote"/>
    <s v="SME (51-500)"/>
    <x v="10"/>
    <s v="Python|APIs|LangChain|Planning Systems|Tool Use|AutoGen|Agile|Statistics|Cloud"/>
    <n v="11"/>
    <x v="0"/>
    <x v="317"/>
    <n v="6.4"/>
    <x v="0"/>
    <n v="3"/>
    <n v="1"/>
    <x v="1"/>
    <x v="0"/>
    <s v="Upper-Mid ($150-200k)"/>
  </r>
  <r>
    <x v="551"/>
    <x v="18"/>
    <x v="9"/>
    <x v="1"/>
    <x v="10"/>
    <x v="1"/>
    <n v="172000"/>
    <n v="110000"/>
    <n v="210000"/>
    <s v="Sydney"/>
    <x v="11"/>
    <s v="Hybrid"/>
    <s v="Mid-size (501-5000)"/>
    <x v="8"/>
    <s v="Ethics Frameworks|Communication|Risk Assessment|AI Policy|Research|Research"/>
    <n v="11.7"/>
    <x v="16"/>
    <x v="332"/>
    <n v="6.4"/>
    <x v="1"/>
    <n v="1"/>
    <n v="1"/>
    <x v="1"/>
    <x v="1"/>
    <s v="Upper-Mid ($150-200k)"/>
  </r>
  <r>
    <x v="552"/>
    <x v="2"/>
    <x v="0"/>
    <x v="0"/>
    <x v="0"/>
    <x v="3"/>
    <n v="226000"/>
    <n v="160000"/>
    <n v="300000"/>
    <s v="London"/>
    <x v="1"/>
    <s v="On-site"/>
    <s v="Enterprise (5000+)"/>
    <x v="11"/>
    <s v="Fine-tuning|LLM APIs|Python|RAG|Vector DBs|Research"/>
    <n v="4"/>
    <x v="2"/>
    <x v="333"/>
    <n v="7.8"/>
    <x v="0"/>
    <n v="3"/>
    <n v="1"/>
    <x v="0"/>
    <x v="0"/>
    <s v="Senior ($200-300k)"/>
  </r>
  <r>
    <x v="553"/>
    <x v="23"/>
    <x v="9"/>
    <x v="1"/>
    <x v="6"/>
    <x v="4"/>
    <n v="173000"/>
    <n v="100000"/>
    <n v="200000"/>
    <s v="London"/>
    <x v="1"/>
    <s v="Hybrid"/>
    <s v="Startup (1-50)"/>
    <x v="6"/>
    <s v="EU AI Act|Documentation|Legal Knowledge|Problem Solving|Cloud|SQL"/>
    <n v="15.6"/>
    <x v="19"/>
    <x v="59"/>
    <n v="8.1"/>
    <x v="1"/>
    <n v="11"/>
    <n v="1"/>
    <x v="1"/>
    <x v="1"/>
    <s v="Upper-Mid ($150-200k)"/>
  </r>
  <r>
    <x v="554"/>
    <x v="7"/>
    <x v="0"/>
    <x v="1"/>
    <x v="2"/>
    <x v="2"/>
    <n v="236000"/>
    <n v="145000"/>
    <n v="290000"/>
    <s v="Toronto"/>
    <x v="7"/>
    <s v="Hybrid"/>
    <s v="Enterprise (5000+)"/>
    <x v="9"/>
    <s v="LLMs|Python|Text Processing|SQL"/>
    <n v="3.9"/>
    <x v="6"/>
    <x v="261"/>
    <n v="9.3000000000000007"/>
    <x v="1"/>
    <n v="7"/>
    <n v="1"/>
    <x v="1"/>
    <x v="1"/>
    <s v="Senior ($200-300k)"/>
  </r>
  <r>
    <x v="555"/>
    <x v="18"/>
    <x v="9"/>
    <x v="1"/>
    <x v="12"/>
    <x v="0"/>
    <n v="252000"/>
    <n v="110000"/>
    <n v="210000"/>
    <s v="Chicago"/>
    <x v="0"/>
    <s v="Hybrid"/>
    <s v="Big Tech (FAANG+)"/>
    <x v="10"/>
    <s v="Communication|AI Policy|Risk Assessment|Research|Agile|Problem Solving"/>
    <n v="16.899999999999999"/>
    <x v="16"/>
    <x v="293"/>
    <n v="6.6"/>
    <x v="1"/>
    <n v="11"/>
    <n v="1"/>
    <x v="1"/>
    <x v="1"/>
    <s v="Senior ($200-300k)"/>
  </r>
  <r>
    <x v="556"/>
    <x v="11"/>
    <x v="0"/>
    <x v="0"/>
    <x v="6"/>
    <x v="3"/>
    <n v="141000"/>
    <n v="141000"/>
    <n v="270000"/>
    <s v="Beijing"/>
    <x v="6"/>
    <s v="Hybrid"/>
    <s v="Mid-size (501-5000)"/>
    <x v="9"/>
    <s v="PyTorch|GPU Computing|Neural Networks|Python|Cloud|Linux"/>
    <n v="10"/>
    <x v="10"/>
    <x v="334"/>
    <n v="8.6999999999999993"/>
    <x v="1"/>
    <n v="2"/>
    <n v="1"/>
    <x v="1"/>
    <x v="1"/>
    <s v="Mid ($100-150k)"/>
  </r>
  <r>
    <x v="557"/>
    <x v="16"/>
    <x v="7"/>
    <x v="2"/>
    <x v="4"/>
    <x v="1"/>
    <n v="125000"/>
    <n v="125000"/>
    <n v="240000"/>
    <s v="Zurich"/>
    <x v="13"/>
    <s v="Hybrid"/>
    <s v="Mid-size (501-5000)"/>
    <x v="6"/>
    <s v="C++|Control Systems|Python|SQL|Communication"/>
    <n v="17.100000000000001"/>
    <x v="15"/>
    <x v="321"/>
    <n v="8.8000000000000007"/>
    <x v="1"/>
    <n v="7"/>
    <n v="0"/>
    <x v="1"/>
    <x v="1"/>
    <s v="Mid ($100-150k)"/>
  </r>
  <r>
    <x v="558"/>
    <x v="22"/>
    <x v="0"/>
    <x v="3"/>
    <x v="2"/>
    <x v="1"/>
    <n v="194000"/>
    <n v="145000"/>
    <n v="280000"/>
    <s v="Tokyo"/>
    <x v="5"/>
    <s v="Hybrid"/>
    <s v="Big Tech (FAANG+)"/>
    <x v="10"/>
    <s v="PyTorch|OpenCV|CUDA|CNNs|Linux"/>
    <n v="8.4"/>
    <x v="18"/>
    <x v="335"/>
    <n v="8.9"/>
    <x v="0"/>
    <n v="2"/>
    <n v="0"/>
    <x v="1"/>
    <x v="1"/>
    <s v="Upper-Mid ($150-200k)"/>
  </r>
  <r>
    <x v="559"/>
    <x v="10"/>
    <x v="0"/>
    <x v="3"/>
    <x v="3"/>
    <x v="0"/>
    <n v="150000"/>
    <n v="150000"/>
    <n v="295000"/>
    <s v="Beijing"/>
    <x v="6"/>
    <s v="Hybrid"/>
    <s v="Enterprise (5000+)"/>
    <x v="1"/>
    <s v="Python|LLMs|GenAI APIs|Deployment|Research"/>
    <n v="17"/>
    <x v="9"/>
    <x v="336"/>
    <n v="7.9"/>
    <x v="0"/>
    <n v="3"/>
    <n v="0"/>
    <x v="1"/>
    <x v="0"/>
    <s v="Mid ($100-150k)"/>
  </r>
  <r>
    <x v="560"/>
    <x v="18"/>
    <x v="9"/>
    <x v="2"/>
    <x v="10"/>
    <x v="0"/>
    <n v="110000"/>
    <n v="110000"/>
    <n v="210000"/>
    <s v="Toronto"/>
    <x v="7"/>
    <s v="Fully Remote"/>
    <s v="Mid-size (501-5000)"/>
    <x v="7"/>
    <s v="Communication|Ethics Frameworks|Risk Assessment|Research|Git|Communication|Linux"/>
    <n v="15.1"/>
    <x v="16"/>
    <x v="337"/>
    <n v="8.1"/>
    <x v="0"/>
    <n v="2"/>
    <n v="0"/>
    <x v="1"/>
    <x v="1"/>
    <s v="Mid ($100-150k)"/>
  </r>
  <r>
    <x v="561"/>
    <x v="12"/>
    <x v="0"/>
    <x v="1"/>
    <x v="9"/>
    <x v="4"/>
    <n v="360000"/>
    <n v="160000"/>
    <n v="300000"/>
    <s v="Boston"/>
    <x v="0"/>
    <s v="Fully Remote"/>
    <s v="Big Tech (FAANG+)"/>
    <x v="10"/>
    <s v="APIs|PyTorch|Fine-tuning|Vision-Language Models|Problem Solving"/>
    <n v="17.2"/>
    <x v="11"/>
    <x v="338"/>
    <n v="7.4"/>
    <x v="0"/>
    <n v="1"/>
    <n v="1"/>
    <x v="1"/>
    <x v="1"/>
    <s v="Elite (&gt;$300k)"/>
  </r>
  <r>
    <x v="562"/>
    <x v="11"/>
    <x v="0"/>
    <x v="3"/>
    <x v="6"/>
    <x v="1"/>
    <n v="173000"/>
    <n v="141000"/>
    <n v="270000"/>
    <s v="Zurich"/>
    <x v="13"/>
    <s v="Hybrid"/>
    <s v="Mid-size (501-5000)"/>
    <x v="7"/>
    <s v="TensorFlow|CUDA|Python|Agile|SQL|Problem Solving"/>
    <n v="3.3"/>
    <x v="10"/>
    <x v="339"/>
    <n v="7"/>
    <x v="0"/>
    <n v="3"/>
    <n v="0"/>
    <x v="1"/>
    <x v="1"/>
    <s v="Upper-Mid ($150-200k)"/>
  </r>
  <r>
    <x v="563"/>
    <x v="20"/>
    <x v="0"/>
    <x v="1"/>
    <x v="0"/>
    <x v="3"/>
    <n v="278000"/>
    <n v="100000"/>
    <n v="250000"/>
    <s v="Remote"/>
    <x v="3"/>
    <s v="Hybrid"/>
    <s v="Big Tech (FAANG+)"/>
    <x v="0"/>
    <s v="Docker|Python|PyTorch|LLM Integration|Cloud (AWS/GCP/Azure)|Linux|Problem Solving|Leadership"/>
    <n v="16.5"/>
    <x v="9"/>
    <x v="293"/>
    <n v="8.4"/>
    <x v="1"/>
    <n v="2"/>
    <n v="1"/>
    <x v="1"/>
    <x v="1"/>
    <s v="Senior ($200-300k)"/>
  </r>
  <r>
    <x v="564"/>
    <x v="16"/>
    <x v="7"/>
    <x v="2"/>
    <x v="6"/>
    <x v="4"/>
    <n v="125000"/>
    <n v="125000"/>
    <n v="240000"/>
    <s v="Berlin"/>
    <x v="12"/>
    <s v="On-site"/>
    <s v="SME (51-500)"/>
    <x v="0"/>
    <s v="Control Systems|C++|ROS|Simulation|Cloud|SQL"/>
    <n v="15.6"/>
    <x v="15"/>
    <x v="184"/>
    <n v="7"/>
    <x v="1"/>
    <n v="1"/>
    <n v="0"/>
    <x v="0"/>
    <x v="1"/>
    <s v="Mid ($100-150k)"/>
  </r>
  <r>
    <x v="565"/>
    <x v="22"/>
    <x v="0"/>
    <x v="1"/>
    <x v="3"/>
    <x v="0"/>
    <n v="145000"/>
    <n v="145000"/>
    <n v="280000"/>
    <s v="Beijing"/>
    <x v="6"/>
    <s v="Fully Remote"/>
    <s v="SME (51-500)"/>
    <x v="11"/>
    <s v="PyTorch|Image Processing|CUDA|Python|OpenCV|Problem Solving|Git"/>
    <n v="3.6"/>
    <x v="18"/>
    <x v="340"/>
    <n v="6.7"/>
    <x v="1"/>
    <n v="6"/>
    <n v="1"/>
    <x v="1"/>
    <x v="1"/>
    <s v="Mid ($100-150k)"/>
  </r>
  <r>
    <x v="566"/>
    <x v="14"/>
    <x v="6"/>
    <x v="2"/>
    <x v="4"/>
    <x v="0"/>
    <n v="131000"/>
    <n v="95000"/>
    <n v="180000"/>
    <s v="San Francisco"/>
    <x v="0"/>
    <s v="Hybrid"/>
    <s v="SME (51-500)"/>
    <x v="1"/>
    <s v="Python|Business Analysis|Data Visualization|Communication|Linux|Agile"/>
    <n v="10.9"/>
    <x v="13"/>
    <x v="341"/>
    <n v="8.1"/>
    <x v="0"/>
    <n v="1"/>
    <n v="0"/>
    <x v="1"/>
    <x v="1"/>
    <s v="Mid ($100-150k)"/>
  </r>
  <r>
    <x v="567"/>
    <x v="22"/>
    <x v="0"/>
    <x v="0"/>
    <x v="0"/>
    <x v="4"/>
    <n v="286000"/>
    <n v="145000"/>
    <n v="280000"/>
    <s v="Los Angeles"/>
    <x v="0"/>
    <s v="Hybrid"/>
    <s v="SME (51-500)"/>
    <x v="7"/>
    <s v="CNNs|PyTorch|Image Processing|Leadership|Research"/>
    <n v="4.2"/>
    <x v="18"/>
    <x v="62"/>
    <n v="8.1999999999999993"/>
    <x v="1"/>
    <n v="10"/>
    <n v="1"/>
    <x v="1"/>
    <x v="1"/>
    <s v="Senior ($200-300k)"/>
  </r>
  <r>
    <x v="568"/>
    <x v="11"/>
    <x v="0"/>
    <x v="0"/>
    <x v="0"/>
    <x v="0"/>
    <n v="196000"/>
    <n v="141000"/>
    <n v="270000"/>
    <s v="Amsterdam"/>
    <x v="9"/>
    <s v="On-site"/>
    <s v="Mid-size (501-5000)"/>
    <x v="6"/>
    <s v="GPU Computing|PyTorch|TensorFlow|Research"/>
    <n v="3.8"/>
    <x v="10"/>
    <x v="188"/>
    <n v="6.7"/>
    <x v="1"/>
    <n v="10"/>
    <n v="1"/>
    <x v="0"/>
    <x v="1"/>
    <s v="Upper-Mid ($150-200k)"/>
  </r>
  <r>
    <x v="569"/>
    <x v="4"/>
    <x v="2"/>
    <x v="1"/>
    <x v="8"/>
    <x v="2"/>
    <n v="312000"/>
    <n v="140000"/>
    <n v="260000"/>
    <s v="Singapore"/>
    <x v="2"/>
    <s v="Fully Remote"/>
    <s v="Big Tech (FAANG+)"/>
    <x v="7"/>
    <s v="Product Strategy|Stakeholder Mgmt|Data Analysis|Agile|AI Literacy|Statistics|Problem Solving"/>
    <n v="9.9"/>
    <x v="4"/>
    <x v="248"/>
    <n v="6.6"/>
    <x v="0"/>
    <n v="1"/>
    <n v="1"/>
    <x v="1"/>
    <x v="1"/>
    <s v="Elite (&gt;$300k)"/>
  </r>
  <r>
    <x v="570"/>
    <x v="8"/>
    <x v="4"/>
    <x v="1"/>
    <x v="9"/>
    <x v="3"/>
    <n v="180000"/>
    <n v="180000"/>
    <n v="320000"/>
    <s v="Beijing"/>
    <x v="6"/>
    <s v="On-site"/>
    <s v="Enterprise (5000+)"/>
    <x v="10"/>
    <s v="Enterprise Architecture|ML|Leadership|Cloud|Python|SQL|Communication"/>
    <n v="12.3"/>
    <x v="7"/>
    <x v="290"/>
    <n v="8.1999999999999993"/>
    <x v="0"/>
    <n v="1"/>
    <n v="1"/>
    <x v="0"/>
    <x v="1"/>
    <s v="Upper-Mid ($150-200k)"/>
  </r>
  <r>
    <x v="571"/>
    <x v="5"/>
    <x v="3"/>
    <x v="3"/>
    <x v="4"/>
    <x v="2"/>
    <n v="160000"/>
    <n v="140000"/>
    <n v="260000"/>
    <s v="Chicago"/>
    <x v="0"/>
    <s v="Hybrid"/>
    <s v="Mid-size (501-5000)"/>
    <x v="9"/>
    <s v="Python|Cybersecurity|Red Teaming|ML Security|Risk Analysis|Research|Cloud"/>
    <n v="14.6"/>
    <x v="5"/>
    <x v="101"/>
    <n v="6.7"/>
    <x v="1"/>
    <n v="3"/>
    <n v="0"/>
    <x v="1"/>
    <x v="1"/>
    <s v="Upper-Mid ($150-200k)"/>
  </r>
  <r>
    <x v="572"/>
    <x v="7"/>
    <x v="0"/>
    <x v="2"/>
    <x v="6"/>
    <x v="0"/>
    <n v="179000"/>
    <n v="145000"/>
    <n v="290000"/>
    <s v="Los Angeles"/>
    <x v="0"/>
    <s v="Hybrid"/>
    <s v="Enterprise (5000+)"/>
    <x v="10"/>
    <s v="LLMs|Transformers|BERT|Research"/>
    <n v="7.9"/>
    <x v="6"/>
    <x v="342"/>
    <n v="8.5"/>
    <x v="0"/>
    <n v="3"/>
    <n v="0"/>
    <x v="1"/>
    <x v="1"/>
    <s v="Upper-Mid ($150-200k)"/>
  </r>
  <r>
    <x v="573"/>
    <x v="7"/>
    <x v="0"/>
    <x v="3"/>
    <x v="4"/>
    <x v="4"/>
    <n v="287000"/>
    <n v="145000"/>
    <n v="290000"/>
    <s v="Boston"/>
    <x v="0"/>
    <s v="Fully Remote"/>
    <s v="Enterprise (5000+)"/>
    <x v="2"/>
    <s v="BERT|Text Processing|LLMs|Hugging Face|Transformers|Python|Research|SQL"/>
    <n v="4.2"/>
    <x v="6"/>
    <x v="343"/>
    <n v="7.4"/>
    <x v="0"/>
    <n v="1"/>
    <n v="0"/>
    <x v="1"/>
    <x v="1"/>
    <s v="Senior ($200-300k)"/>
  </r>
  <r>
    <x v="574"/>
    <x v="15"/>
    <x v="0"/>
    <x v="2"/>
    <x v="3"/>
    <x v="0"/>
    <n v="145000"/>
    <n v="145000"/>
    <n v="280000"/>
    <s v="Beijing"/>
    <x v="6"/>
    <s v="Hybrid"/>
    <s v="Enterprise (5000+)"/>
    <x v="3"/>
    <s v="Vector DBs|LLMs|Embeddings|Statistics"/>
    <n v="6"/>
    <x v="14"/>
    <x v="306"/>
    <n v="7.5"/>
    <x v="0"/>
    <n v="1"/>
    <n v="0"/>
    <x v="1"/>
    <x v="0"/>
    <s v="Mid ($100-150k)"/>
  </r>
  <r>
    <x v="575"/>
    <x v="22"/>
    <x v="0"/>
    <x v="3"/>
    <x v="2"/>
    <x v="3"/>
    <n v="145000"/>
    <n v="145000"/>
    <n v="280000"/>
    <s v="Amsterdam"/>
    <x v="9"/>
    <s v="Hybrid"/>
    <s v="SME (51-500)"/>
    <x v="9"/>
    <s v="Python|PyTorch|CUDA|Image Processing|OpenCV|CNNs|Statistics"/>
    <n v="5.7"/>
    <x v="18"/>
    <x v="21"/>
    <n v="7.8"/>
    <x v="0"/>
    <n v="2"/>
    <n v="0"/>
    <x v="1"/>
    <x v="1"/>
    <s v="Mid ($100-150k)"/>
  </r>
  <r>
    <x v="576"/>
    <x v="1"/>
    <x v="0"/>
    <x v="1"/>
    <x v="5"/>
    <x v="4"/>
    <n v="240000"/>
    <n v="90000"/>
    <n v="200000"/>
    <s v="New York"/>
    <x v="0"/>
    <s v="Hybrid"/>
    <s v="Mid-size (501-5000)"/>
    <x v="3"/>
    <s v="Testing|Python|NLP|Documentation|LLM APIs|Prompt Design|Linux"/>
    <n v="5.7"/>
    <x v="1"/>
    <x v="283"/>
    <n v="6.6"/>
    <x v="1"/>
    <n v="12"/>
    <n v="1"/>
    <x v="1"/>
    <x v="0"/>
    <s v="Senior ($200-300k)"/>
  </r>
  <r>
    <x v="577"/>
    <x v="14"/>
    <x v="6"/>
    <x v="1"/>
    <x v="2"/>
    <x v="3"/>
    <n v="111000"/>
    <n v="95000"/>
    <n v="180000"/>
    <s v="Berlin"/>
    <x v="12"/>
    <s v="Hybrid"/>
    <s v="SME (51-500)"/>
    <x v="6"/>
    <s v="SQL|Data Visualization|Python|SQL|Statistics"/>
    <n v="14.7"/>
    <x v="13"/>
    <x v="173"/>
    <n v="6.1"/>
    <x v="1"/>
    <n v="5"/>
    <n v="1"/>
    <x v="1"/>
    <x v="1"/>
    <s v="Mid ($100-150k)"/>
  </r>
  <r>
    <x v="578"/>
    <x v="3"/>
    <x v="1"/>
    <x v="1"/>
    <x v="1"/>
    <x v="4"/>
    <n v="183000"/>
    <n v="130000"/>
    <n v="220000"/>
    <s v="Amsterdam"/>
    <x v="9"/>
    <s v="Hybrid"/>
    <s v="Startup (1-50)"/>
    <x v="7"/>
    <s v="Python|SQL|ETL|Airflow|dbt|Feature Stores|Spark|Git|Linux|Leadership"/>
    <n v="16.899999999999999"/>
    <x v="3"/>
    <x v="224"/>
    <n v="7.7"/>
    <x v="0"/>
    <n v="3"/>
    <n v="1"/>
    <x v="1"/>
    <x v="1"/>
    <s v="Upper-Mid ($150-200k)"/>
  </r>
  <r>
    <x v="579"/>
    <x v="5"/>
    <x v="3"/>
    <x v="2"/>
    <x v="3"/>
    <x v="1"/>
    <n v="140000"/>
    <n v="140000"/>
    <n v="260000"/>
    <s v="Bangalore"/>
    <x v="4"/>
    <s v="Hybrid"/>
    <s v="Enterprise (5000+)"/>
    <x v="3"/>
    <s v="Risk Analysis|Cybersecurity|ML Security|Git|Statistics|Agile"/>
    <n v="9.8000000000000007"/>
    <x v="5"/>
    <x v="44"/>
    <n v="8.6999999999999993"/>
    <x v="0"/>
    <n v="1"/>
    <n v="0"/>
    <x v="1"/>
    <x v="1"/>
    <s v="Mid ($100-150k)"/>
  </r>
  <r>
    <x v="580"/>
    <x v="1"/>
    <x v="0"/>
    <x v="0"/>
    <x v="4"/>
    <x v="4"/>
    <n v="205000"/>
    <n v="90000"/>
    <n v="200000"/>
    <s v="Boston"/>
    <x v="0"/>
    <s v="Fully Remote"/>
    <s v="SME (51-500)"/>
    <x v="6"/>
    <s v="Documentation|Prompt Design|Python|NLP|Communication|Cloud"/>
    <n v="8.4"/>
    <x v="1"/>
    <x v="165"/>
    <n v="8.6"/>
    <x v="0"/>
    <n v="1"/>
    <n v="1"/>
    <x v="1"/>
    <x v="0"/>
    <s v="Senior ($200-300k)"/>
  </r>
  <r>
    <x v="581"/>
    <x v="12"/>
    <x v="0"/>
    <x v="2"/>
    <x v="9"/>
    <x v="3"/>
    <n v="160000"/>
    <n v="160000"/>
    <n v="300000"/>
    <s v="Paris"/>
    <x v="10"/>
    <s v="On-site"/>
    <s v="Mid-size (501-5000)"/>
    <x v="2"/>
    <s v="Vision-Language Models|PyTorch|Fine-tuning|APIs|Statistics|Git|Communication"/>
    <n v="11.2"/>
    <x v="11"/>
    <x v="72"/>
    <n v="7.1"/>
    <x v="0"/>
    <n v="2"/>
    <n v="0"/>
    <x v="0"/>
    <x v="1"/>
    <s v="Upper-Mid ($150-200k)"/>
  </r>
  <r>
    <x v="582"/>
    <x v="14"/>
    <x v="6"/>
    <x v="0"/>
    <x v="8"/>
    <x v="2"/>
    <n v="149000"/>
    <n v="95000"/>
    <n v="180000"/>
    <s v="Amsterdam"/>
    <x v="9"/>
    <s v="Fully Remote"/>
    <s v="Big Tech (FAANG+)"/>
    <x v="5"/>
    <s v="Business Analysis|Communication|Python|Research|Linux"/>
    <n v="13"/>
    <x v="13"/>
    <x v="80"/>
    <n v="6.6"/>
    <x v="1"/>
    <n v="7"/>
    <n v="1"/>
    <x v="1"/>
    <x v="1"/>
    <s v="Mid ($100-150k)"/>
  </r>
  <r>
    <x v="583"/>
    <x v="9"/>
    <x v="0"/>
    <x v="1"/>
    <x v="2"/>
    <x v="2"/>
    <n v="120000"/>
    <n v="120000"/>
    <n v="280000"/>
    <s v="Bangalore"/>
    <x v="4"/>
    <s v="Hybrid"/>
    <s v="Startup (1-50)"/>
    <x v="7"/>
    <s v="SQL|Kubernetes|TensorFlow|PyTorch|Statistics|Research"/>
    <n v="9.6"/>
    <x v="8"/>
    <x v="194"/>
    <n v="8.4"/>
    <x v="0"/>
    <n v="2"/>
    <n v="1"/>
    <x v="1"/>
    <x v="1"/>
    <s v="Mid ($100-150k)"/>
  </r>
  <r>
    <x v="584"/>
    <x v="23"/>
    <x v="9"/>
    <x v="1"/>
    <x v="4"/>
    <x v="0"/>
    <n v="240000"/>
    <n v="100000"/>
    <n v="200000"/>
    <s v="San Francisco"/>
    <x v="0"/>
    <s v="Hybrid"/>
    <s v="Mid-size (501-5000)"/>
    <x v="0"/>
    <s v="Auditing|EU AI Act|Legal Knowledge|Risk Management|Communication"/>
    <n v="9.8000000000000007"/>
    <x v="19"/>
    <x v="37"/>
    <n v="9"/>
    <x v="0"/>
    <n v="2"/>
    <n v="1"/>
    <x v="1"/>
    <x v="1"/>
    <s v="Senior ($200-300k)"/>
  </r>
  <r>
    <x v="585"/>
    <x v="16"/>
    <x v="7"/>
    <x v="3"/>
    <x v="0"/>
    <x v="3"/>
    <n v="132000"/>
    <n v="125000"/>
    <n v="240000"/>
    <s v="Amsterdam"/>
    <x v="9"/>
    <s v="Fully Remote"/>
    <s v="Mid-size (501-5000)"/>
    <x v="5"/>
    <s v="C++|ROS|Simulation|Computer Vision|Python|Cloud"/>
    <n v="10.9"/>
    <x v="15"/>
    <x v="223"/>
    <n v="6.6"/>
    <x v="0"/>
    <n v="2"/>
    <n v="0"/>
    <x v="1"/>
    <x v="1"/>
    <s v="Mid ($100-150k)"/>
  </r>
  <r>
    <x v="586"/>
    <x v="13"/>
    <x v="5"/>
    <x v="0"/>
    <x v="6"/>
    <x v="3"/>
    <n v="312000"/>
    <n v="130000"/>
    <n v="260000"/>
    <s v="San Francisco"/>
    <x v="0"/>
    <s v="On-site"/>
    <s v="Big Tech (FAANG+)"/>
    <x v="7"/>
    <s v="CI/CD|MLflow|Cloud|Cloud|Communication"/>
    <n v="10.199999999999999"/>
    <x v="12"/>
    <x v="344"/>
    <n v="7.9"/>
    <x v="1"/>
    <n v="10"/>
    <n v="1"/>
    <x v="0"/>
    <x v="1"/>
    <s v="Elite (&gt;$300k)"/>
  </r>
  <r>
    <x v="587"/>
    <x v="10"/>
    <x v="0"/>
    <x v="0"/>
    <x v="8"/>
    <x v="2"/>
    <n v="150000"/>
    <n v="150000"/>
    <n v="295000"/>
    <s v="Amsterdam"/>
    <x v="9"/>
    <s v="Fully Remote"/>
    <s v="Startup (1-50)"/>
    <x v="4"/>
    <s v="Deployment|Python|Fine-tuning|LLMs|GenAI APIs|Diffusion Models|Research"/>
    <n v="10.4"/>
    <x v="9"/>
    <x v="345"/>
    <n v="8.6999999999999993"/>
    <x v="1"/>
    <n v="3"/>
    <n v="1"/>
    <x v="1"/>
    <x v="0"/>
    <s v="Mid ($100-150k)"/>
  </r>
  <r>
    <x v="588"/>
    <x v="13"/>
    <x v="5"/>
    <x v="3"/>
    <x v="2"/>
    <x v="2"/>
    <n v="142000"/>
    <n v="130000"/>
    <n v="260000"/>
    <s v="Seattle"/>
    <x v="0"/>
    <s v="Fully Remote"/>
    <s v="Startup (1-50)"/>
    <x v="5"/>
    <s v="CI/CD|Kubernetes|Monitoring|Cloud|Docker|Python|MLflow|Communication"/>
    <n v="8.6999999999999993"/>
    <x v="12"/>
    <x v="346"/>
    <n v="8.6"/>
    <x v="0"/>
    <n v="3"/>
    <n v="0"/>
    <x v="1"/>
    <x v="1"/>
    <s v="Mid ($100-150k)"/>
  </r>
  <r>
    <x v="589"/>
    <x v="18"/>
    <x v="9"/>
    <x v="1"/>
    <x v="12"/>
    <x v="4"/>
    <n v="202000"/>
    <n v="110000"/>
    <n v="210000"/>
    <s v="Sydney"/>
    <x v="11"/>
    <s v="Fully Remote"/>
    <s v="Startup (1-50)"/>
    <x v="3"/>
    <s v="Research|AI Policy|Risk Assessment|SQL|Agile"/>
    <n v="15.3"/>
    <x v="16"/>
    <x v="292"/>
    <n v="7.5"/>
    <x v="0"/>
    <n v="3"/>
    <n v="1"/>
    <x v="1"/>
    <x v="1"/>
    <s v="Senior ($200-300k)"/>
  </r>
  <r>
    <x v="590"/>
    <x v="0"/>
    <x v="0"/>
    <x v="2"/>
    <x v="2"/>
    <x v="1"/>
    <n v="155000"/>
    <n v="155000"/>
    <n v="290000"/>
    <s v="Zurich"/>
    <x v="13"/>
    <s v="Fully Remote"/>
    <s v="Enterprise (5000+)"/>
    <x v="2"/>
    <s v="APIs|LangChain|AutoGen|Statistics|Linux"/>
    <n v="10.1"/>
    <x v="0"/>
    <x v="175"/>
    <n v="8.4"/>
    <x v="1"/>
    <n v="12"/>
    <n v="0"/>
    <x v="1"/>
    <x v="0"/>
    <s v="Upper-Mid ($150-200k)"/>
  </r>
  <r>
    <x v="591"/>
    <x v="18"/>
    <x v="9"/>
    <x v="0"/>
    <x v="9"/>
    <x v="4"/>
    <n v="187000"/>
    <n v="110000"/>
    <n v="210000"/>
    <s v="London"/>
    <x v="1"/>
    <s v="Hybrid"/>
    <s v="Mid-size (501-5000)"/>
    <x v="10"/>
    <s v="Ethics Frameworks|Research|Communication|AI Policy|Linux"/>
    <n v="10.199999999999999"/>
    <x v="16"/>
    <x v="305"/>
    <n v="7.4"/>
    <x v="1"/>
    <n v="12"/>
    <n v="1"/>
    <x v="1"/>
    <x v="1"/>
    <s v="Upper-Mid ($150-200k)"/>
  </r>
  <r>
    <x v="592"/>
    <x v="24"/>
    <x v="11"/>
    <x v="1"/>
    <x v="8"/>
    <x v="3"/>
    <n v="115000"/>
    <n v="115000"/>
    <n v="280000"/>
    <s v="Bangalore"/>
    <x v="4"/>
    <s v="Hybrid"/>
    <s v="Mid-size (501-5000)"/>
    <x v="2"/>
    <s v="PyTorch|Mathematics|Research|Publishing|Communication|SQL"/>
    <n v="9.5"/>
    <x v="3"/>
    <x v="135"/>
    <n v="7.4"/>
    <x v="0"/>
    <n v="3"/>
    <n v="1"/>
    <x v="1"/>
    <x v="1"/>
    <s v="Mid ($100-150k)"/>
  </r>
  <r>
    <x v="593"/>
    <x v="2"/>
    <x v="0"/>
    <x v="3"/>
    <x v="8"/>
    <x v="4"/>
    <n v="350000"/>
    <n v="160000"/>
    <n v="300000"/>
    <s v="Remote"/>
    <x v="3"/>
    <s v="On-site"/>
    <s v="Big Tech (FAANG+)"/>
    <x v="3"/>
    <s v="Prompt Engineering|Fine-tuning|RAG|LLM APIs|Python|Research|Linux|Problem Solving"/>
    <n v="9.6"/>
    <x v="2"/>
    <x v="347"/>
    <n v="7.2"/>
    <x v="1"/>
    <n v="5"/>
    <n v="0"/>
    <x v="0"/>
    <x v="0"/>
    <s v="Elite (&gt;$300k)"/>
  </r>
  <r>
    <x v="594"/>
    <x v="15"/>
    <x v="0"/>
    <x v="0"/>
    <x v="0"/>
    <x v="3"/>
    <n v="223000"/>
    <n v="145000"/>
    <n v="280000"/>
    <s v="Boston"/>
    <x v="0"/>
    <s v="Hybrid"/>
    <s v="SME (51-500)"/>
    <x v="3"/>
    <s v="LangChain|Search Systems|Vector DBs|Communication|Statistics|SQL"/>
    <n v="9.6999999999999993"/>
    <x v="14"/>
    <x v="348"/>
    <n v="7"/>
    <x v="0"/>
    <n v="3"/>
    <n v="1"/>
    <x v="1"/>
    <x v="0"/>
    <s v="Senior ($200-300k)"/>
  </r>
  <r>
    <x v="595"/>
    <x v="16"/>
    <x v="7"/>
    <x v="1"/>
    <x v="8"/>
    <x v="2"/>
    <n v="212000"/>
    <n v="125000"/>
    <n v="240000"/>
    <s v="Seattle"/>
    <x v="0"/>
    <s v="Hybrid"/>
    <s v="Startup (1-50)"/>
    <x v="11"/>
    <s v="Simulation|Python|Control Systems|ROS|Computer Vision|SQL"/>
    <n v="10.8"/>
    <x v="15"/>
    <x v="349"/>
    <n v="8.8000000000000007"/>
    <x v="0"/>
    <n v="1"/>
    <n v="1"/>
    <x v="1"/>
    <x v="1"/>
    <s v="Senior ($200-300k)"/>
  </r>
  <r>
    <x v="596"/>
    <x v="5"/>
    <x v="3"/>
    <x v="3"/>
    <x v="10"/>
    <x v="0"/>
    <n v="140000"/>
    <n v="140000"/>
    <n v="260000"/>
    <s v="Paris"/>
    <x v="10"/>
    <s v="Hybrid"/>
    <s v="Startup (1-50)"/>
    <x v="0"/>
    <s v="Cybersecurity|Risk Analysis|ML Security|Red Teaming|Research"/>
    <n v="12.8"/>
    <x v="5"/>
    <x v="94"/>
    <n v="8.1999999999999993"/>
    <x v="0"/>
    <n v="2"/>
    <n v="0"/>
    <x v="1"/>
    <x v="1"/>
    <s v="Mid ($100-150k)"/>
  </r>
  <r>
    <x v="597"/>
    <x v="14"/>
    <x v="6"/>
    <x v="1"/>
    <x v="4"/>
    <x v="1"/>
    <n v="216000"/>
    <n v="95000"/>
    <n v="180000"/>
    <s v="San Francisco"/>
    <x v="0"/>
    <s v="Hybrid"/>
    <s v="Big Tech (FAANG+)"/>
    <x v="4"/>
    <s v="Python|Data Visualization|SQL|Communication|Business Analysis|Agile|Research|Linux"/>
    <n v="13.1"/>
    <x v="13"/>
    <x v="25"/>
    <n v="7.1"/>
    <x v="0"/>
    <n v="1"/>
    <n v="1"/>
    <x v="1"/>
    <x v="1"/>
    <s v="Senior ($200-300k)"/>
  </r>
  <r>
    <x v="598"/>
    <x v="4"/>
    <x v="2"/>
    <x v="0"/>
    <x v="10"/>
    <x v="3"/>
    <n v="197000"/>
    <n v="140000"/>
    <n v="260000"/>
    <s v="Berlin"/>
    <x v="12"/>
    <s v="On-site"/>
    <s v="Big Tech (FAANG+)"/>
    <x v="9"/>
    <s v="Agile|Product Strategy|AI Literacy|Research|Problem Solving|Linux"/>
    <n v="12.3"/>
    <x v="4"/>
    <x v="123"/>
    <n v="9.5"/>
    <x v="0"/>
    <n v="3"/>
    <n v="1"/>
    <x v="0"/>
    <x v="1"/>
    <s v="Upper-Mid ($150-200k)"/>
  </r>
  <r>
    <x v="599"/>
    <x v="12"/>
    <x v="0"/>
    <x v="3"/>
    <x v="2"/>
    <x v="1"/>
    <n v="161000"/>
    <n v="160000"/>
    <n v="300000"/>
    <s v="Tokyo"/>
    <x v="5"/>
    <s v="On-site"/>
    <s v="SME (51-500)"/>
    <x v="11"/>
    <s v="Fine-tuning|PyTorch|Vision-Language Models|APIs|Agile"/>
    <n v="14.7"/>
    <x v="11"/>
    <x v="350"/>
    <n v="6.7"/>
    <x v="1"/>
    <n v="3"/>
    <n v="0"/>
    <x v="0"/>
    <x v="1"/>
    <s v="Upper-Mid ($150-200k)"/>
  </r>
  <r>
    <x v="600"/>
    <x v="24"/>
    <x v="11"/>
    <x v="0"/>
    <x v="10"/>
    <x v="2"/>
    <n v="115000"/>
    <n v="115000"/>
    <n v="280000"/>
    <s v="Beijing"/>
    <x v="6"/>
    <s v="Fully Remote"/>
    <s v="SME (51-500)"/>
    <x v="4"/>
    <s v="PyTorch|Research|Deep Learning|Publishing|Mathematics|Agile"/>
    <n v="16.3"/>
    <x v="3"/>
    <x v="272"/>
    <n v="7.2"/>
    <x v="0"/>
    <n v="2"/>
    <n v="1"/>
    <x v="1"/>
    <x v="1"/>
    <s v="Mid ($100-150k)"/>
  </r>
  <r>
    <x v="601"/>
    <x v="20"/>
    <x v="0"/>
    <x v="1"/>
    <x v="3"/>
    <x v="4"/>
    <n v="204000"/>
    <n v="100000"/>
    <n v="250000"/>
    <s v="Sydney"/>
    <x v="11"/>
    <s v="Fully Remote"/>
    <s v="Startup (1-50)"/>
    <x v="6"/>
    <s v="Cloud (AWS/GCP/Azure)|Python|Docker|PyTorch|Agile"/>
    <n v="8.1999999999999993"/>
    <x v="9"/>
    <x v="351"/>
    <n v="7.5"/>
    <x v="0"/>
    <n v="3"/>
    <n v="1"/>
    <x v="1"/>
    <x v="1"/>
    <s v="Senior ($200-300k)"/>
  </r>
  <r>
    <x v="602"/>
    <x v="11"/>
    <x v="0"/>
    <x v="1"/>
    <x v="8"/>
    <x v="4"/>
    <n v="324000"/>
    <n v="141000"/>
    <n v="270000"/>
    <s v="Los Angeles"/>
    <x v="0"/>
    <s v="Fully Remote"/>
    <s v="Big Tech (FAANG+)"/>
    <x v="6"/>
    <s v="TensorFlow|Neural Networks|GPU Computing|Python|Cloud|Research|Communication"/>
    <n v="7.1"/>
    <x v="10"/>
    <x v="352"/>
    <n v="6.2"/>
    <x v="1"/>
    <n v="9"/>
    <n v="1"/>
    <x v="1"/>
    <x v="1"/>
    <s v="Elite (&gt;$300k)"/>
  </r>
  <r>
    <x v="603"/>
    <x v="3"/>
    <x v="1"/>
    <x v="2"/>
    <x v="0"/>
    <x v="3"/>
    <n v="130000"/>
    <n v="130000"/>
    <n v="220000"/>
    <s v="Zurich"/>
    <x v="13"/>
    <s v="Hybrid"/>
    <s v="Mid-size (501-5000)"/>
    <x v="11"/>
    <s v="SQL|Feature Stores|Airflow|Linux"/>
    <n v="10"/>
    <x v="3"/>
    <x v="353"/>
    <n v="6.9"/>
    <x v="0"/>
    <n v="3"/>
    <n v="0"/>
    <x v="1"/>
    <x v="1"/>
    <s v="Mid ($100-150k)"/>
  </r>
  <r>
    <x v="604"/>
    <x v="22"/>
    <x v="0"/>
    <x v="0"/>
    <x v="2"/>
    <x v="1"/>
    <n v="221000"/>
    <n v="145000"/>
    <n v="280000"/>
    <s v="Tokyo"/>
    <x v="5"/>
    <s v="Hybrid"/>
    <s v="Big Tech (FAANG+)"/>
    <x v="4"/>
    <s v="PyTorch|CNNs|OpenCV|Python|Image Processing|Communication|Research"/>
    <n v="7.7"/>
    <x v="18"/>
    <x v="354"/>
    <n v="7"/>
    <x v="0"/>
    <n v="1"/>
    <n v="1"/>
    <x v="1"/>
    <x v="1"/>
    <s v="Senior ($200-300k)"/>
  </r>
  <r>
    <x v="605"/>
    <x v="17"/>
    <x v="8"/>
    <x v="1"/>
    <x v="4"/>
    <x v="3"/>
    <n v="261600"/>
    <n v="157000"/>
    <n v="218000"/>
    <s v="Boston"/>
    <x v="0"/>
    <s v="Hybrid"/>
    <s v="Enterprise (5000+)"/>
    <x v="10"/>
    <s v="Deep Learning|Causal Inference|Python|Cloud|SQL|Statistics"/>
    <n v="7"/>
    <x v="11"/>
    <x v="32"/>
    <n v="8.8000000000000007"/>
    <x v="0"/>
    <n v="3"/>
    <n v="1"/>
    <x v="1"/>
    <x v="1"/>
    <s v="Senior ($200-300k)"/>
  </r>
  <r>
    <x v="606"/>
    <x v="23"/>
    <x v="9"/>
    <x v="3"/>
    <x v="2"/>
    <x v="2"/>
    <n v="189000"/>
    <n v="100000"/>
    <n v="200000"/>
    <s v="Boston"/>
    <x v="0"/>
    <s v="Hybrid"/>
    <s v="Big Tech (FAANG+)"/>
    <x v="7"/>
    <s v="Legal Knowledge|Risk Management|EU AI Act|Auditing|Documentation|Research|Linux"/>
    <n v="9.8000000000000007"/>
    <x v="19"/>
    <x v="355"/>
    <n v="7.7"/>
    <x v="0"/>
    <n v="3"/>
    <n v="0"/>
    <x v="1"/>
    <x v="1"/>
    <s v="Upper-Mid ($150-200k)"/>
  </r>
  <r>
    <x v="607"/>
    <x v="1"/>
    <x v="0"/>
    <x v="0"/>
    <x v="2"/>
    <x v="1"/>
    <n v="240000"/>
    <n v="90000"/>
    <n v="200000"/>
    <s v="San Francisco"/>
    <x v="0"/>
    <s v="Hybrid"/>
    <s v="Enterprise (5000+)"/>
    <x v="2"/>
    <s v="Prompt Design|LLM APIs|Python|Linux|Agile"/>
    <n v="8.4"/>
    <x v="1"/>
    <x v="80"/>
    <n v="8.5"/>
    <x v="1"/>
    <n v="10"/>
    <n v="1"/>
    <x v="1"/>
    <x v="0"/>
    <s v="Senior ($200-300k)"/>
  </r>
  <r>
    <x v="608"/>
    <x v="3"/>
    <x v="1"/>
    <x v="3"/>
    <x v="3"/>
    <x v="0"/>
    <n v="130000"/>
    <n v="130000"/>
    <n v="220000"/>
    <s v="Bangalore"/>
    <x v="4"/>
    <s v="Hybrid"/>
    <s v="SME (51-500)"/>
    <x v="10"/>
    <s v="Python|dbt|Feature Stores|Linux"/>
    <n v="8.6999999999999993"/>
    <x v="3"/>
    <x v="324"/>
    <n v="9.5"/>
    <x v="0"/>
    <n v="1"/>
    <n v="0"/>
    <x v="1"/>
    <x v="1"/>
    <s v="Mid ($100-150k)"/>
  </r>
  <r>
    <x v="609"/>
    <x v="13"/>
    <x v="5"/>
    <x v="0"/>
    <x v="2"/>
    <x v="0"/>
    <n v="279000"/>
    <n v="130000"/>
    <n v="260000"/>
    <s v="Chicago"/>
    <x v="0"/>
    <s v="Fully Remote"/>
    <s v="Enterprise (5000+)"/>
    <x v="8"/>
    <s v="Python|Kubernetes|CI/CD|Cloud|Monitoring|Research"/>
    <n v="10.1"/>
    <x v="12"/>
    <x v="71"/>
    <n v="7.7"/>
    <x v="1"/>
    <n v="7"/>
    <n v="1"/>
    <x v="1"/>
    <x v="1"/>
    <s v="Senior ($200-300k)"/>
  </r>
  <r>
    <x v="610"/>
    <x v="14"/>
    <x v="6"/>
    <x v="3"/>
    <x v="0"/>
    <x v="2"/>
    <n v="110000"/>
    <n v="95000"/>
    <n v="180000"/>
    <s v="Boston"/>
    <x v="0"/>
    <s v="On-site"/>
    <s v="Startup (1-50)"/>
    <x v="3"/>
    <s v="SQL|Python|Communication|Business Analysis|Data Visualization|Problem Solving|Statistics|Leadership"/>
    <n v="17.899999999999999"/>
    <x v="13"/>
    <x v="57"/>
    <n v="7.4"/>
    <x v="1"/>
    <n v="2"/>
    <n v="0"/>
    <x v="0"/>
    <x v="1"/>
    <s v="Mid ($100-150k)"/>
  </r>
  <r>
    <x v="611"/>
    <x v="8"/>
    <x v="4"/>
    <x v="1"/>
    <x v="0"/>
    <x v="3"/>
    <n v="353000"/>
    <n v="180000"/>
    <n v="320000"/>
    <s v="San Francisco"/>
    <x v="0"/>
    <s v="Hybrid"/>
    <s v="Startup (1-50)"/>
    <x v="7"/>
    <s v="ML|Enterprise Architecture|System Design|Cloud|Leadership|Git"/>
    <n v="11.9"/>
    <x v="7"/>
    <x v="356"/>
    <n v="9.6"/>
    <x v="1"/>
    <n v="11"/>
    <n v="1"/>
    <x v="1"/>
    <x v="1"/>
    <s v="Elite (&gt;$300k)"/>
  </r>
  <r>
    <x v="612"/>
    <x v="4"/>
    <x v="2"/>
    <x v="3"/>
    <x v="4"/>
    <x v="0"/>
    <n v="212000"/>
    <n v="140000"/>
    <n v="260000"/>
    <s v="New York"/>
    <x v="0"/>
    <s v="Fully Remote"/>
    <s v="SME (51-500)"/>
    <x v="2"/>
    <s v="AI Literacy|Data Analysis|Stakeholder Mgmt|Agile|Product Strategy|Problem Solving"/>
    <n v="14.6"/>
    <x v="4"/>
    <x v="305"/>
    <n v="7.6"/>
    <x v="1"/>
    <n v="3"/>
    <n v="0"/>
    <x v="1"/>
    <x v="1"/>
    <s v="Senior ($200-300k)"/>
  </r>
  <r>
    <x v="613"/>
    <x v="24"/>
    <x v="11"/>
    <x v="3"/>
    <x v="4"/>
    <x v="4"/>
    <n v="174000"/>
    <n v="115000"/>
    <n v="280000"/>
    <s v="Dubai"/>
    <x v="8"/>
    <s v="Hybrid"/>
    <s v="SME (51-500)"/>
    <x v="11"/>
    <s v="Python|Deep Learning|PyTorch|Mathematics|Statistics|Agile"/>
    <n v="15.8"/>
    <x v="3"/>
    <x v="335"/>
    <n v="9.4"/>
    <x v="1"/>
    <n v="3"/>
    <n v="0"/>
    <x v="1"/>
    <x v="1"/>
    <s v="Upper-Mid ($150-200k)"/>
  </r>
  <r>
    <x v="614"/>
    <x v="1"/>
    <x v="0"/>
    <x v="1"/>
    <x v="1"/>
    <x v="2"/>
    <n v="240000"/>
    <n v="90000"/>
    <n v="200000"/>
    <s v="New York"/>
    <x v="0"/>
    <s v="On-site"/>
    <s v="Big Tech (FAANG+)"/>
    <x v="0"/>
    <s v="Prompt Design|Documentation|Python|Testing|Cloud"/>
    <n v="6.3"/>
    <x v="1"/>
    <x v="193"/>
    <n v="9.3000000000000007"/>
    <x v="0"/>
    <n v="1"/>
    <n v="1"/>
    <x v="0"/>
    <x v="0"/>
    <s v="Senior ($200-300k)"/>
  </r>
  <r>
    <x v="615"/>
    <x v="15"/>
    <x v="0"/>
    <x v="1"/>
    <x v="2"/>
    <x v="3"/>
    <n v="336000"/>
    <n v="145000"/>
    <n v="280000"/>
    <s v="San Francisco"/>
    <x v="0"/>
    <s v="Fully Remote"/>
    <s v="Mid-size (501-5000)"/>
    <x v="8"/>
    <s v="LLMs|Search Systems|LangChain|Embeddings|Git|Research|Leadership"/>
    <n v="7"/>
    <x v="14"/>
    <x v="173"/>
    <n v="8"/>
    <x v="0"/>
    <n v="1"/>
    <n v="1"/>
    <x v="1"/>
    <x v="0"/>
    <s v="Elite (&gt;$300k)"/>
  </r>
  <r>
    <x v="616"/>
    <x v="7"/>
    <x v="0"/>
    <x v="1"/>
    <x v="2"/>
    <x v="4"/>
    <n v="348000"/>
    <n v="145000"/>
    <n v="290000"/>
    <s v="Seattle"/>
    <x v="0"/>
    <s v="Hybrid"/>
    <s v="Startup (1-50)"/>
    <x v="7"/>
    <s v="Transformers|BERT|Text Processing|Hugging Face|Agile|Statistics|Research"/>
    <n v="6.6"/>
    <x v="6"/>
    <x v="357"/>
    <n v="7"/>
    <x v="0"/>
    <n v="2"/>
    <n v="1"/>
    <x v="1"/>
    <x v="1"/>
    <s v="Elite (&gt;$300k)"/>
  </r>
  <r>
    <x v="617"/>
    <x v="1"/>
    <x v="0"/>
    <x v="2"/>
    <x v="1"/>
    <x v="3"/>
    <n v="90000"/>
    <n v="90000"/>
    <n v="200000"/>
    <s v="Singapore"/>
    <x v="2"/>
    <s v="On-site"/>
    <s v="SME (51-500)"/>
    <x v="4"/>
    <s v="Prompt Design|LLM APIs|Documentation|NLP|Cloud"/>
    <n v="6.4"/>
    <x v="1"/>
    <x v="46"/>
    <n v="6.7"/>
    <x v="0"/>
    <n v="3"/>
    <n v="0"/>
    <x v="0"/>
    <x v="0"/>
    <s v="Entry (&lt;$100k)"/>
  </r>
  <r>
    <x v="618"/>
    <x v="2"/>
    <x v="0"/>
    <x v="1"/>
    <x v="4"/>
    <x v="2"/>
    <n v="228000"/>
    <n v="160000"/>
    <n v="300000"/>
    <s v="Zurich"/>
    <x v="13"/>
    <s v="Fully Remote"/>
    <s v="SME (51-500)"/>
    <x v="4"/>
    <s v="Vector DBs|Fine-tuning|Prompt Engineering|Linux|Agile"/>
    <n v="6.4"/>
    <x v="2"/>
    <x v="358"/>
    <n v="8.5"/>
    <x v="0"/>
    <n v="2"/>
    <n v="1"/>
    <x v="1"/>
    <x v="0"/>
    <s v="Senior ($200-300k)"/>
  </r>
  <r>
    <x v="619"/>
    <x v="23"/>
    <x v="9"/>
    <x v="2"/>
    <x v="3"/>
    <x v="4"/>
    <n v="106000"/>
    <n v="100000"/>
    <n v="200000"/>
    <s v="Dubai"/>
    <x v="8"/>
    <s v="Hybrid"/>
    <s v="Mid-size (501-5000)"/>
    <x v="8"/>
    <s v="Risk Management|EU AI Act|Legal Knowledge|Auditing|Documentation|Leadership"/>
    <n v="16.7"/>
    <x v="19"/>
    <x v="6"/>
    <n v="7.7"/>
    <x v="0"/>
    <n v="1"/>
    <n v="0"/>
    <x v="1"/>
    <x v="1"/>
    <s v="Mid ($100-150k)"/>
  </r>
  <r>
    <x v="620"/>
    <x v="5"/>
    <x v="3"/>
    <x v="3"/>
    <x v="8"/>
    <x v="0"/>
    <n v="220000"/>
    <n v="140000"/>
    <n v="260000"/>
    <s v="Chicago"/>
    <x v="0"/>
    <s v="Hybrid"/>
    <s v="Enterprise (5000+)"/>
    <x v="10"/>
    <s v="ML Security|Python|Red Teaming|Linux|Leadership|SQL"/>
    <n v="10.3"/>
    <x v="5"/>
    <x v="62"/>
    <n v="8"/>
    <x v="1"/>
    <n v="2"/>
    <n v="0"/>
    <x v="1"/>
    <x v="1"/>
    <s v="Senior ($200-300k)"/>
  </r>
  <r>
    <x v="621"/>
    <x v="12"/>
    <x v="0"/>
    <x v="3"/>
    <x v="0"/>
    <x v="0"/>
    <n v="302000"/>
    <n v="160000"/>
    <n v="300000"/>
    <s v="Chicago"/>
    <x v="0"/>
    <s v="Fully Remote"/>
    <s v="Big Tech (FAANG+)"/>
    <x v="3"/>
    <s v="Vision-Language Models|PyTorch|Python|Fine-tuning|Cloud|Leadership"/>
    <n v="12.7"/>
    <x v="11"/>
    <x v="112"/>
    <n v="9.6"/>
    <x v="1"/>
    <n v="5"/>
    <n v="0"/>
    <x v="1"/>
    <x v="1"/>
    <s v="Elite (&gt;$300k)"/>
  </r>
  <r>
    <x v="622"/>
    <x v="19"/>
    <x v="10"/>
    <x v="3"/>
    <x v="3"/>
    <x v="2"/>
    <n v="140000"/>
    <n v="140000"/>
    <n v="270000"/>
    <s v="Tokyo"/>
    <x v="5"/>
    <s v="Fully Remote"/>
    <s v="Mid-size (501-5000)"/>
    <x v="3"/>
    <s v="Distributed Systems|Kubernetes|Storage|Linux|Communication"/>
    <n v="14.5"/>
    <x v="4"/>
    <x v="10"/>
    <n v="6.7"/>
    <x v="0"/>
    <n v="1"/>
    <n v="0"/>
    <x v="1"/>
    <x v="1"/>
    <s v="Mid ($100-150k)"/>
  </r>
  <r>
    <x v="623"/>
    <x v="7"/>
    <x v="0"/>
    <x v="1"/>
    <x v="4"/>
    <x v="1"/>
    <n v="222000"/>
    <n v="145000"/>
    <n v="290000"/>
    <s v="Berlin"/>
    <x v="12"/>
    <s v="Hybrid"/>
    <s v="SME (51-500)"/>
    <x v="10"/>
    <s v="LLMs|Transformers|BERT|Hugging Face|Git"/>
    <n v="3.7"/>
    <x v="6"/>
    <x v="246"/>
    <n v="7.8"/>
    <x v="0"/>
    <n v="2"/>
    <n v="1"/>
    <x v="1"/>
    <x v="1"/>
    <s v="Senior ($200-300k)"/>
  </r>
  <r>
    <x v="624"/>
    <x v="21"/>
    <x v="8"/>
    <x v="1"/>
    <x v="6"/>
    <x v="0"/>
    <n v="234000"/>
    <n v="138000"/>
    <n v="195000"/>
    <s v="Tokyo"/>
    <x v="5"/>
    <s v="Hybrid"/>
    <s v="Big Tech (FAANG+)"/>
    <x v="8"/>
    <s v="SQL|Python|Scikit-learn|Statistics|Data Visualization|Research|Cloud|Linux"/>
    <n v="8.6"/>
    <x v="17"/>
    <x v="359"/>
    <n v="6.9"/>
    <x v="1"/>
    <n v="12"/>
    <n v="1"/>
    <x v="1"/>
    <x v="1"/>
    <s v="Senior ($200-300k)"/>
  </r>
  <r>
    <x v="625"/>
    <x v="15"/>
    <x v="0"/>
    <x v="3"/>
    <x v="4"/>
    <x v="3"/>
    <n v="145000"/>
    <n v="145000"/>
    <n v="280000"/>
    <s v="Beijing"/>
    <x v="6"/>
    <s v="Fully Remote"/>
    <s v="Mid-size (501-5000)"/>
    <x v="7"/>
    <s v="Python|LangChain|LLMs|Embeddings|Vector DBs|Search Systems|Leadership|Statistics|Cloud"/>
    <n v="9.9"/>
    <x v="14"/>
    <x v="164"/>
    <n v="6.4"/>
    <x v="0"/>
    <n v="1"/>
    <n v="0"/>
    <x v="1"/>
    <x v="0"/>
    <s v="Mid ($100-150k)"/>
  </r>
  <r>
    <x v="626"/>
    <x v="14"/>
    <x v="6"/>
    <x v="1"/>
    <x v="6"/>
    <x v="4"/>
    <n v="195000"/>
    <n v="95000"/>
    <n v="180000"/>
    <s v="Remote"/>
    <x v="3"/>
    <s v="Fully Remote"/>
    <s v="SME (51-500)"/>
    <x v="0"/>
    <s v="Data Visualization|Communication|Business Analysis|Python|SQL|Git|Problem Solving|Leadership"/>
    <n v="10.4"/>
    <x v="13"/>
    <x v="360"/>
    <n v="8.6999999999999993"/>
    <x v="0"/>
    <n v="2"/>
    <n v="1"/>
    <x v="1"/>
    <x v="1"/>
    <s v="Upper-Mid ($150-200k)"/>
  </r>
  <r>
    <x v="627"/>
    <x v="19"/>
    <x v="10"/>
    <x v="1"/>
    <x v="0"/>
    <x v="3"/>
    <n v="307000"/>
    <n v="140000"/>
    <n v="270000"/>
    <s v="New York"/>
    <x v="0"/>
    <s v="On-site"/>
    <s v="Mid-size (501-5000)"/>
    <x v="9"/>
    <s v="Distributed Systems|Networking|Cloud|Problem Solving"/>
    <n v="17.5"/>
    <x v="4"/>
    <x v="94"/>
    <n v="9.5"/>
    <x v="0"/>
    <n v="3"/>
    <n v="1"/>
    <x v="0"/>
    <x v="1"/>
    <s v="Elite (&gt;$300k)"/>
  </r>
  <r>
    <x v="628"/>
    <x v="8"/>
    <x v="4"/>
    <x v="0"/>
    <x v="9"/>
    <x v="4"/>
    <n v="289000"/>
    <n v="180000"/>
    <n v="320000"/>
    <s v="Berlin"/>
    <x v="12"/>
    <s v="Fully Remote"/>
    <s v="Mid-size (501-5000)"/>
    <x v="10"/>
    <s v="Python|System Design|ML|Cloud|Enterprise Architecture|Communication"/>
    <n v="13.5"/>
    <x v="7"/>
    <x v="254"/>
    <n v="7.5"/>
    <x v="1"/>
    <n v="3"/>
    <n v="1"/>
    <x v="1"/>
    <x v="1"/>
    <s v="Senior ($200-300k)"/>
  </r>
  <r>
    <x v="629"/>
    <x v="18"/>
    <x v="9"/>
    <x v="0"/>
    <x v="0"/>
    <x v="2"/>
    <n v="182000"/>
    <n v="110000"/>
    <n v="210000"/>
    <s v="Seattle"/>
    <x v="0"/>
    <s v="On-site"/>
    <s v="Mid-size (501-5000)"/>
    <x v="7"/>
    <s v="Ethics Frameworks|AI Policy|Research|Communication|Cloud|Statistics|Research"/>
    <n v="11.8"/>
    <x v="16"/>
    <x v="1"/>
    <n v="8.6999999999999993"/>
    <x v="1"/>
    <n v="8"/>
    <n v="1"/>
    <x v="0"/>
    <x v="1"/>
    <s v="Upper-Mid ($150-200k)"/>
  </r>
  <r>
    <x v="630"/>
    <x v="3"/>
    <x v="1"/>
    <x v="0"/>
    <x v="8"/>
    <x v="1"/>
    <n v="158000"/>
    <n v="130000"/>
    <n v="220000"/>
    <s v="Chicago"/>
    <x v="0"/>
    <s v="On-site"/>
    <s v="SME (51-500)"/>
    <x v="2"/>
    <s v="dbt|Feature Stores|ETL|SQL|Airflow|Linux|Cloud|Git"/>
    <n v="15.1"/>
    <x v="3"/>
    <x v="257"/>
    <n v="8.5"/>
    <x v="0"/>
    <n v="1"/>
    <n v="1"/>
    <x v="0"/>
    <x v="1"/>
    <s v="Upper-Mid ($150-200k)"/>
  </r>
  <r>
    <x v="631"/>
    <x v="19"/>
    <x v="10"/>
    <x v="0"/>
    <x v="8"/>
    <x v="3"/>
    <n v="208000"/>
    <n v="140000"/>
    <n v="270000"/>
    <s v="Toronto"/>
    <x v="7"/>
    <s v="On-site"/>
    <s v="Big Tech (FAANG+)"/>
    <x v="1"/>
    <s v="Networking|CUDA|Cloud|Communication|Research"/>
    <n v="9.6"/>
    <x v="4"/>
    <x v="244"/>
    <n v="6.1"/>
    <x v="1"/>
    <n v="12"/>
    <n v="1"/>
    <x v="0"/>
    <x v="1"/>
    <s v="Senior ($200-300k)"/>
  </r>
  <r>
    <x v="632"/>
    <x v="7"/>
    <x v="0"/>
    <x v="1"/>
    <x v="0"/>
    <x v="0"/>
    <n v="227000"/>
    <n v="145000"/>
    <n v="290000"/>
    <s v="London"/>
    <x v="1"/>
    <s v="On-site"/>
    <s v="SME (51-500)"/>
    <x v="11"/>
    <s v="Python|Hugging Face|LLMs|Transformers|Leadership|Problem Solving"/>
    <n v="4.3"/>
    <x v="6"/>
    <x v="361"/>
    <n v="7.5"/>
    <x v="0"/>
    <n v="2"/>
    <n v="1"/>
    <x v="0"/>
    <x v="1"/>
    <s v="Senior ($200-300k)"/>
  </r>
  <r>
    <x v="633"/>
    <x v="10"/>
    <x v="0"/>
    <x v="0"/>
    <x v="3"/>
    <x v="3"/>
    <n v="174000"/>
    <n v="150000"/>
    <n v="295000"/>
    <s v="Berlin"/>
    <x v="12"/>
    <s v="On-site"/>
    <s v="Mid-size (501-5000)"/>
    <x v="11"/>
    <s v="LLMs|Fine-tuning|Python|Deployment|Diffusion Models|Communication|Leadership"/>
    <n v="17.8"/>
    <x v="9"/>
    <x v="114"/>
    <n v="7.9"/>
    <x v="0"/>
    <n v="2"/>
    <n v="1"/>
    <x v="0"/>
    <x v="0"/>
    <s v="Upper-Mid ($150-200k)"/>
  </r>
  <r>
    <x v="634"/>
    <x v="21"/>
    <x v="8"/>
    <x v="0"/>
    <x v="3"/>
    <x v="2"/>
    <n v="138000"/>
    <n v="138000"/>
    <n v="195000"/>
    <s v="Beijing"/>
    <x v="6"/>
    <s v="Hybrid"/>
    <s v="SME (51-500)"/>
    <x v="1"/>
    <s v="SQL|Data Visualization|Python|Statistics|ML Algorithms|Scikit-learn|Cloud|Git|Linux"/>
    <n v="6.9"/>
    <x v="17"/>
    <x v="54"/>
    <n v="7.3"/>
    <x v="0"/>
    <n v="1"/>
    <n v="1"/>
    <x v="1"/>
    <x v="1"/>
    <s v="Mid ($100-150k)"/>
  </r>
  <r>
    <x v="635"/>
    <x v="6"/>
    <x v="0"/>
    <x v="0"/>
    <x v="4"/>
    <x v="2"/>
    <n v="180000"/>
    <n v="180000"/>
    <n v="312000"/>
    <s v="Singapore"/>
    <x v="2"/>
    <s v="Fully Remote"/>
    <s v="Startup (1-50)"/>
    <x v="11"/>
    <s v="MLOps|PyTorch|Distributed Systems|Python|LLM Fine-tuning|System Design|Agile|Statistics|Communication"/>
    <n v="13.1"/>
    <x v="0"/>
    <x v="284"/>
    <n v="8.9"/>
    <x v="0"/>
    <n v="3"/>
    <n v="1"/>
    <x v="1"/>
    <x v="1"/>
    <s v="Upper-Mid ($150-200k)"/>
  </r>
  <r>
    <x v="636"/>
    <x v="4"/>
    <x v="2"/>
    <x v="2"/>
    <x v="10"/>
    <x v="4"/>
    <n v="300000"/>
    <n v="140000"/>
    <n v="260000"/>
    <s v="San Francisco"/>
    <x v="0"/>
    <s v="Fully Remote"/>
    <s v="Big Tech (FAANG+)"/>
    <x v="2"/>
    <s v="Data Analysis|Product Strategy|Stakeholder Mgmt|Linux|Communication"/>
    <n v="15.7"/>
    <x v="4"/>
    <x v="219"/>
    <n v="9.1999999999999993"/>
    <x v="1"/>
    <n v="8"/>
    <n v="0"/>
    <x v="1"/>
    <x v="1"/>
    <s v="Senior ($200-300k)"/>
  </r>
  <r>
    <x v="637"/>
    <x v="10"/>
    <x v="0"/>
    <x v="2"/>
    <x v="8"/>
    <x v="1"/>
    <n v="186000"/>
    <n v="150000"/>
    <n v="295000"/>
    <s v="Boston"/>
    <x v="0"/>
    <s v="On-site"/>
    <s v="Mid-size (501-5000)"/>
    <x v="4"/>
    <s v="Diffusion Models|Deployment|LLMs|Python|GenAI APIs|Fine-tuning|Agile"/>
    <n v="12.3"/>
    <x v="9"/>
    <x v="157"/>
    <n v="6.3"/>
    <x v="1"/>
    <n v="4"/>
    <n v="0"/>
    <x v="0"/>
    <x v="0"/>
    <s v="Upper-Mid ($150-200k)"/>
  </r>
  <r>
    <x v="638"/>
    <x v="7"/>
    <x v="0"/>
    <x v="0"/>
    <x v="0"/>
    <x v="3"/>
    <n v="180000"/>
    <n v="145000"/>
    <n v="290000"/>
    <s v="Singapore"/>
    <x v="2"/>
    <s v="Fully Remote"/>
    <s v="Startup (1-50)"/>
    <x v="1"/>
    <s v="Hugging Face|Python|Text Processing|Statistics|Git|Linux"/>
    <n v="6.7"/>
    <x v="6"/>
    <x v="213"/>
    <n v="7.5"/>
    <x v="1"/>
    <n v="10"/>
    <n v="1"/>
    <x v="1"/>
    <x v="1"/>
    <s v="Upper-Mid ($150-200k)"/>
  </r>
  <r>
    <x v="639"/>
    <x v="14"/>
    <x v="6"/>
    <x v="3"/>
    <x v="4"/>
    <x v="0"/>
    <n v="104000"/>
    <n v="95000"/>
    <n v="180000"/>
    <s v="Singapore"/>
    <x v="2"/>
    <s v="Hybrid"/>
    <s v="Startup (1-50)"/>
    <x v="11"/>
    <s v="Communication|Python|Data Visualization|Linux"/>
    <n v="9.8000000000000007"/>
    <x v="13"/>
    <x v="218"/>
    <n v="9.1999999999999993"/>
    <x v="0"/>
    <n v="3"/>
    <n v="0"/>
    <x v="1"/>
    <x v="1"/>
    <s v="Mid ($100-150k)"/>
  </r>
  <r>
    <x v="640"/>
    <x v="17"/>
    <x v="8"/>
    <x v="2"/>
    <x v="8"/>
    <x v="2"/>
    <n v="157000"/>
    <n v="157000"/>
    <n v="218000"/>
    <s v="Zurich"/>
    <x v="13"/>
    <s v="On-site"/>
    <s v="Startup (1-50)"/>
    <x v="5"/>
    <s v="Causal Inference|Python|Leadership|ML|Deep Learning|Leadership|Linux|Git"/>
    <n v="4.0999999999999996"/>
    <x v="11"/>
    <x v="313"/>
    <n v="7.3"/>
    <x v="0"/>
    <n v="3"/>
    <n v="0"/>
    <x v="0"/>
    <x v="1"/>
    <s v="Upper-Mid ($150-200k)"/>
  </r>
  <r>
    <x v="641"/>
    <x v="16"/>
    <x v="7"/>
    <x v="2"/>
    <x v="8"/>
    <x v="2"/>
    <n v="125000"/>
    <n v="125000"/>
    <n v="240000"/>
    <s v="Sydney"/>
    <x v="11"/>
    <s v="Fully Remote"/>
    <s v="Enterprise (5000+)"/>
    <x v="1"/>
    <s v="Python|Simulation|Computer Vision|ROS|Control Systems|Statistics"/>
    <n v="17.2"/>
    <x v="15"/>
    <x v="142"/>
    <n v="9.5"/>
    <x v="0"/>
    <n v="3"/>
    <n v="0"/>
    <x v="1"/>
    <x v="1"/>
    <s v="Mid ($100-150k)"/>
  </r>
  <r>
    <x v="642"/>
    <x v="21"/>
    <x v="8"/>
    <x v="0"/>
    <x v="0"/>
    <x v="2"/>
    <n v="138000"/>
    <n v="138000"/>
    <n v="195000"/>
    <s v="Dubai"/>
    <x v="8"/>
    <s v="Hybrid"/>
    <s v="Startup (1-50)"/>
    <x v="7"/>
    <s v="Data Visualization|Statistics|SQL|ML Algorithms|Python|Scikit-learn|Agile"/>
    <n v="6"/>
    <x v="17"/>
    <x v="362"/>
    <n v="6.1"/>
    <x v="1"/>
    <n v="9"/>
    <n v="1"/>
    <x v="1"/>
    <x v="1"/>
    <s v="Mid ($100-150k)"/>
  </r>
  <r>
    <x v="643"/>
    <x v="18"/>
    <x v="9"/>
    <x v="0"/>
    <x v="6"/>
    <x v="3"/>
    <n v="110000"/>
    <n v="110000"/>
    <n v="210000"/>
    <s v="Beijing"/>
    <x v="6"/>
    <s v="Hybrid"/>
    <s v="Enterprise (5000+)"/>
    <x v="7"/>
    <s v="AI Policy|Research|Communication|Ethics Frameworks|Risk Assessment|Problem Solving|Leadership|Linux"/>
    <n v="8.5"/>
    <x v="16"/>
    <x v="190"/>
    <n v="9.6999999999999993"/>
    <x v="1"/>
    <n v="6"/>
    <n v="1"/>
    <x v="1"/>
    <x v="1"/>
    <s v="Mid ($100-150k)"/>
  </r>
  <r>
    <x v="644"/>
    <x v="16"/>
    <x v="7"/>
    <x v="3"/>
    <x v="3"/>
    <x v="2"/>
    <n v="177000"/>
    <n v="125000"/>
    <n v="240000"/>
    <s v="New York"/>
    <x v="0"/>
    <s v="On-site"/>
    <s v="Enterprise (5000+)"/>
    <x v="5"/>
    <s v="ROS|Computer Vision|Python|Simulation|Statistics|Git|Communication"/>
    <n v="14.4"/>
    <x v="15"/>
    <x v="363"/>
    <n v="9.5"/>
    <x v="1"/>
    <n v="12"/>
    <n v="0"/>
    <x v="0"/>
    <x v="1"/>
    <s v="Upper-Mid ($150-200k)"/>
  </r>
  <r>
    <x v="645"/>
    <x v="21"/>
    <x v="8"/>
    <x v="3"/>
    <x v="4"/>
    <x v="4"/>
    <n v="138000"/>
    <n v="138000"/>
    <n v="195000"/>
    <s v="Paris"/>
    <x v="10"/>
    <s v="Hybrid"/>
    <s v="Startup (1-50)"/>
    <x v="2"/>
    <s v="SQL|Scikit-learn|Python|Data Visualization|Problem Solving"/>
    <n v="4.8"/>
    <x v="17"/>
    <x v="243"/>
    <n v="8.6"/>
    <x v="0"/>
    <n v="3"/>
    <n v="0"/>
    <x v="1"/>
    <x v="1"/>
    <s v="Mid ($100-150k)"/>
  </r>
  <r>
    <x v="646"/>
    <x v="13"/>
    <x v="5"/>
    <x v="1"/>
    <x v="8"/>
    <x v="1"/>
    <n v="284000"/>
    <n v="130000"/>
    <n v="260000"/>
    <s v="Los Angeles"/>
    <x v="0"/>
    <s v="Hybrid"/>
    <s v="Mid-size (501-5000)"/>
    <x v="9"/>
    <s v="Docker|Kubernetes|CI/CD|Cloud|MLflow|Python|Cloud|SQL|Research"/>
    <n v="10.199999999999999"/>
    <x v="12"/>
    <x v="364"/>
    <n v="6.4"/>
    <x v="0"/>
    <n v="2"/>
    <n v="1"/>
    <x v="1"/>
    <x v="1"/>
    <s v="Senior ($200-300k)"/>
  </r>
  <r>
    <x v="647"/>
    <x v="6"/>
    <x v="0"/>
    <x v="0"/>
    <x v="9"/>
    <x v="0"/>
    <n v="374400"/>
    <n v="180000"/>
    <n v="312000"/>
    <s v="Chicago"/>
    <x v="0"/>
    <s v="Fully Remote"/>
    <s v="Big Tech (FAANG+)"/>
    <x v="2"/>
    <s v="System Design|LLM Fine-tuning|Distributed Systems|PyTorch|MLOps|Python|Cloud"/>
    <n v="13.5"/>
    <x v="0"/>
    <x v="126"/>
    <n v="6.5"/>
    <x v="0"/>
    <n v="2"/>
    <n v="1"/>
    <x v="1"/>
    <x v="1"/>
    <s v="Elite (&gt;$300k)"/>
  </r>
  <r>
    <x v="648"/>
    <x v="18"/>
    <x v="9"/>
    <x v="3"/>
    <x v="8"/>
    <x v="1"/>
    <n v="141000"/>
    <n v="110000"/>
    <n v="210000"/>
    <s v="Boston"/>
    <x v="0"/>
    <s v="Hybrid"/>
    <s v="Startup (1-50)"/>
    <x v="5"/>
    <s v="AI Policy|Risk Assessment|Communication|Statistics|Research|Linux"/>
    <n v="8.4"/>
    <x v="16"/>
    <x v="64"/>
    <n v="8.9"/>
    <x v="1"/>
    <n v="4"/>
    <n v="0"/>
    <x v="1"/>
    <x v="1"/>
    <s v="Mid ($100-150k)"/>
  </r>
  <r>
    <x v="649"/>
    <x v="10"/>
    <x v="0"/>
    <x v="2"/>
    <x v="2"/>
    <x v="0"/>
    <n v="150000"/>
    <n v="150000"/>
    <n v="295000"/>
    <s v="Toronto"/>
    <x v="7"/>
    <s v="On-site"/>
    <s v="Startup (1-50)"/>
    <x v="3"/>
    <s v="Fine-tuning|Diffusion Models|GenAI APIs|Deployment|Cloud"/>
    <n v="10.9"/>
    <x v="9"/>
    <x v="78"/>
    <n v="6.7"/>
    <x v="1"/>
    <n v="11"/>
    <n v="0"/>
    <x v="0"/>
    <x v="0"/>
    <s v="Mid ($100-150k)"/>
  </r>
  <r>
    <x v="650"/>
    <x v="10"/>
    <x v="0"/>
    <x v="1"/>
    <x v="8"/>
    <x v="1"/>
    <n v="267000"/>
    <n v="150000"/>
    <n v="295000"/>
    <s v="Zurich"/>
    <x v="13"/>
    <s v="On-site"/>
    <s v="Startup (1-50)"/>
    <x v="7"/>
    <s v="LLMs|GenAI APIs|Deployment|Fine-tuning|Diffusion Models|Git"/>
    <n v="13.2"/>
    <x v="9"/>
    <x v="29"/>
    <n v="8.6999999999999993"/>
    <x v="0"/>
    <n v="2"/>
    <n v="1"/>
    <x v="0"/>
    <x v="0"/>
    <s v="Senior ($200-300k)"/>
  </r>
  <r>
    <x v="651"/>
    <x v="3"/>
    <x v="1"/>
    <x v="2"/>
    <x v="1"/>
    <x v="0"/>
    <n v="130000"/>
    <n v="130000"/>
    <n v="220000"/>
    <s v="New York"/>
    <x v="0"/>
    <s v="Hybrid"/>
    <s v="SME (51-500)"/>
    <x v="11"/>
    <s v="Python|Airflow|dbt|ETL|Feature Stores|SQL|Spark|Research"/>
    <n v="10.8"/>
    <x v="3"/>
    <x v="172"/>
    <n v="7.7"/>
    <x v="0"/>
    <n v="3"/>
    <n v="0"/>
    <x v="1"/>
    <x v="1"/>
    <s v="Mid ($100-150k)"/>
  </r>
  <r>
    <x v="652"/>
    <x v="18"/>
    <x v="9"/>
    <x v="0"/>
    <x v="8"/>
    <x v="3"/>
    <n v="110000"/>
    <n v="110000"/>
    <n v="210000"/>
    <s v="Beijing"/>
    <x v="6"/>
    <s v="Fully Remote"/>
    <s v="Mid-size (501-5000)"/>
    <x v="6"/>
    <s v="Research|Ethics Frameworks|AI Policy|Communication|Linux|Cloud"/>
    <n v="11.7"/>
    <x v="16"/>
    <x v="234"/>
    <n v="9.1"/>
    <x v="1"/>
    <n v="8"/>
    <n v="1"/>
    <x v="1"/>
    <x v="1"/>
    <s v="Mid ($100-150k)"/>
  </r>
  <r>
    <x v="653"/>
    <x v="1"/>
    <x v="0"/>
    <x v="1"/>
    <x v="3"/>
    <x v="0"/>
    <n v="175000"/>
    <n v="90000"/>
    <n v="200000"/>
    <s v="Tokyo"/>
    <x v="5"/>
    <s v="Hybrid"/>
    <s v="SME (51-500)"/>
    <x v="5"/>
    <s v="NLP|Documentation|Testing|LLM APIs|Research|Problem Solving|Cloud"/>
    <n v="5.3"/>
    <x v="1"/>
    <x v="240"/>
    <n v="8.6999999999999993"/>
    <x v="1"/>
    <n v="4"/>
    <n v="1"/>
    <x v="1"/>
    <x v="0"/>
    <s v="Upper-Mid ($150-200k)"/>
  </r>
  <r>
    <x v="654"/>
    <x v="19"/>
    <x v="10"/>
    <x v="3"/>
    <x v="8"/>
    <x v="2"/>
    <n v="226000"/>
    <n v="140000"/>
    <n v="270000"/>
    <s v="Los Angeles"/>
    <x v="0"/>
    <s v="Hybrid"/>
    <s v="Big Tech (FAANG+)"/>
    <x v="7"/>
    <s v="CUDA|Networking|Kubernetes|Distributed Systems|Cloud|Storage|Leadership"/>
    <n v="17"/>
    <x v="4"/>
    <x v="42"/>
    <n v="9.3000000000000007"/>
    <x v="0"/>
    <n v="1"/>
    <n v="0"/>
    <x v="1"/>
    <x v="1"/>
    <s v="Senior ($200-300k)"/>
  </r>
  <r>
    <x v="655"/>
    <x v="11"/>
    <x v="0"/>
    <x v="3"/>
    <x v="9"/>
    <x v="3"/>
    <n v="201000"/>
    <n v="141000"/>
    <n v="270000"/>
    <s v="Toronto"/>
    <x v="7"/>
    <s v="Hybrid"/>
    <s v="Big Tech (FAANG+)"/>
    <x v="7"/>
    <s v="Neural Networks|Python|PyTorch|CUDA|Linux|Agile|Problem Solving"/>
    <n v="8.5"/>
    <x v="10"/>
    <x v="365"/>
    <n v="7.6"/>
    <x v="0"/>
    <n v="3"/>
    <n v="0"/>
    <x v="1"/>
    <x v="1"/>
    <s v="Senior ($200-300k)"/>
  </r>
  <r>
    <x v="656"/>
    <x v="17"/>
    <x v="8"/>
    <x v="2"/>
    <x v="8"/>
    <x v="1"/>
    <n v="157000"/>
    <n v="157000"/>
    <n v="218000"/>
    <s v="Remote"/>
    <x v="3"/>
    <s v="On-site"/>
    <s v="Mid-size (501-5000)"/>
    <x v="4"/>
    <s v="Python|Leadership|Causal Inference|Statistics"/>
    <n v="4.0999999999999996"/>
    <x v="11"/>
    <x v="366"/>
    <n v="9.1999999999999993"/>
    <x v="1"/>
    <n v="6"/>
    <n v="0"/>
    <x v="0"/>
    <x v="1"/>
    <s v="Upper-Mid ($150-200k)"/>
  </r>
  <r>
    <x v="657"/>
    <x v="14"/>
    <x v="6"/>
    <x v="0"/>
    <x v="1"/>
    <x v="0"/>
    <n v="166000"/>
    <n v="95000"/>
    <n v="180000"/>
    <s v="Zurich"/>
    <x v="13"/>
    <s v="Hybrid"/>
    <s v="Enterprise (5000+)"/>
    <x v="10"/>
    <s v="Python|Communication|SQL|Data Visualization|Business Analysis|Problem Solving|Cloud|Linux"/>
    <n v="12.7"/>
    <x v="13"/>
    <x v="193"/>
    <n v="8.6"/>
    <x v="0"/>
    <n v="1"/>
    <n v="1"/>
    <x v="1"/>
    <x v="1"/>
    <s v="Upper-Mid ($150-200k)"/>
  </r>
  <r>
    <x v="658"/>
    <x v="12"/>
    <x v="0"/>
    <x v="2"/>
    <x v="8"/>
    <x v="1"/>
    <n v="168000"/>
    <n v="160000"/>
    <n v="300000"/>
    <s v="Austin"/>
    <x v="0"/>
    <s v="Fully Remote"/>
    <s v="Enterprise (5000+)"/>
    <x v="5"/>
    <s v="APIs|Fine-tuning|Python|PyTorch|Statistics|Research|Linux"/>
    <n v="17.7"/>
    <x v="11"/>
    <x v="62"/>
    <n v="8.1999999999999993"/>
    <x v="0"/>
    <n v="1"/>
    <n v="0"/>
    <x v="1"/>
    <x v="1"/>
    <s v="Upper-Mid ($150-200k)"/>
  </r>
  <r>
    <x v="659"/>
    <x v="3"/>
    <x v="1"/>
    <x v="3"/>
    <x v="4"/>
    <x v="2"/>
    <n v="132000"/>
    <n v="130000"/>
    <n v="220000"/>
    <s v="Seattle"/>
    <x v="0"/>
    <s v="Fully Remote"/>
    <s v="SME (51-500)"/>
    <x v="11"/>
    <s v="Python|Feature Stores|Spark|SQL|Git|Statistics"/>
    <n v="12.9"/>
    <x v="3"/>
    <x v="168"/>
    <n v="8.1999999999999993"/>
    <x v="0"/>
    <n v="2"/>
    <n v="0"/>
    <x v="1"/>
    <x v="1"/>
    <s v="Mid ($100-150k)"/>
  </r>
  <r>
    <x v="660"/>
    <x v="22"/>
    <x v="0"/>
    <x v="0"/>
    <x v="3"/>
    <x v="2"/>
    <n v="327000"/>
    <n v="145000"/>
    <n v="280000"/>
    <s v="Los Angeles"/>
    <x v="0"/>
    <s v="On-site"/>
    <s v="Big Tech (FAANG+)"/>
    <x v="4"/>
    <s v="PyTorch|OpenCV|Python|CUDA|CNNs|Image Processing|Research|Cloud"/>
    <n v="8.1999999999999993"/>
    <x v="18"/>
    <x v="367"/>
    <n v="7.7"/>
    <x v="1"/>
    <n v="9"/>
    <n v="1"/>
    <x v="0"/>
    <x v="1"/>
    <s v="Elite (&gt;$300k)"/>
  </r>
  <r>
    <x v="661"/>
    <x v="9"/>
    <x v="0"/>
    <x v="2"/>
    <x v="9"/>
    <x v="2"/>
    <n v="151000"/>
    <n v="120000"/>
    <n v="280000"/>
    <s v="Austin"/>
    <x v="0"/>
    <s v="Fully Remote"/>
    <s v="Big Tech (FAANG+)"/>
    <x v="4"/>
    <s v="MLOps|SQL|Kubernetes|Python|Agile|Cloud|Statistics"/>
    <n v="16.5"/>
    <x v="8"/>
    <x v="114"/>
    <n v="7.5"/>
    <x v="1"/>
    <n v="6"/>
    <n v="0"/>
    <x v="1"/>
    <x v="1"/>
    <s v="Upper-Mid ($150-200k)"/>
  </r>
  <r>
    <x v="662"/>
    <x v="10"/>
    <x v="0"/>
    <x v="3"/>
    <x v="1"/>
    <x v="3"/>
    <n v="180000"/>
    <n v="150000"/>
    <n v="295000"/>
    <s v="Berlin"/>
    <x v="12"/>
    <s v="On-site"/>
    <s v="Big Tech (FAANG+)"/>
    <x v="2"/>
    <s v="Deployment|Python|Fine-tuning|Diffusion Models|LLMs|GenAI APIs|Git"/>
    <n v="11.7"/>
    <x v="9"/>
    <x v="368"/>
    <n v="9"/>
    <x v="0"/>
    <n v="1"/>
    <n v="0"/>
    <x v="0"/>
    <x v="0"/>
    <s v="Upper-Mid ($150-200k)"/>
  </r>
  <r>
    <x v="663"/>
    <x v="20"/>
    <x v="0"/>
    <x v="2"/>
    <x v="6"/>
    <x v="0"/>
    <n v="172000"/>
    <n v="100000"/>
    <n v="250000"/>
    <s v="San Francisco"/>
    <x v="0"/>
    <s v="Fully Remote"/>
    <s v="Mid-size (501-5000)"/>
    <x v="2"/>
    <s v="Cloud (AWS/GCP/Azure)|Python|Docker|PyTorch|Linux"/>
    <n v="17.3"/>
    <x v="9"/>
    <x v="98"/>
    <n v="8.6999999999999993"/>
    <x v="1"/>
    <n v="7"/>
    <n v="0"/>
    <x v="1"/>
    <x v="1"/>
    <s v="Upper-Mid ($150-200k)"/>
  </r>
  <r>
    <x v="664"/>
    <x v="12"/>
    <x v="0"/>
    <x v="2"/>
    <x v="6"/>
    <x v="1"/>
    <n v="160000"/>
    <n v="160000"/>
    <n v="300000"/>
    <s v="London"/>
    <x v="1"/>
    <s v="On-site"/>
    <s v="SME (51-500)"/>
    <x v="5"/>
    <s v="Vision-Language Models|APIs|Python|Fine-tuning|PyTorch|Agile|SQL"/>
    <n v="8.1"/>
    <x v="11"/>
    <x v="311"/>
    <n v="6.8"/>
    <x v="1"/>
    <n v="9"/>
    <n v="0"/>
    <x v="0"/>
    <x v="1"/>
    <s v="Upper-Mid ($150-200k)"/>
  </r>
  <r>
    <x v="665"/>
    <x v="14"/>
    <x v="6"/>
    <x v="2"/>
    <x v="2"/>
    <x v="0"/>
    <n v="95000"/>
    <n v="95000"/>
    <n v="180000"/>
    <s v="Los Angeles"/>
    <x v="0"/>
    <s v="Hybrid"/>
    <s v="Startup (1-50)"/>
    <x v="2"/>
    <s v="Python|Data Visualization|Business Analysis|Agile|Cloud|Problem Solving"/>
    <n v="16.2"/>
    <x v="13"/>
    <x v="26"/>
    <n v="8"/>
    <x v="0"/>
    <n v="3"/>
    <n v="0"/>
    <x v="1"/>
    <x v="1"/>
    <s v="Entry (&lt;$100k)"/>
  </r>
  <r>
    <x v="666"/>
    <x v="22"/>
    <x v="0"/>
    <x v="2"/>
    <x v="6"/>
    <x v="1"/>
    <n v="145000"/>
    <n v="145000"/>
    <n v="280000"/>
    <s v="Paris"/>
    <x v="10"/>
    <s v="Hybrid"/>
    <s v="SME (51-500)"/>
    <x v="4"/>
    <s v="Image Processing|CNNs|Python|Research|SQL|Git"/>
    <n v="9.4"/>
    <x v="18"/>
    <x v="248"/>
    <n v="8.6"/>
    <x v="0"/>
    <n v="1"/>
    <n v="0"/>
    <x v="1"/>
    <x v="1"/>
    <s v="Mid ($100-150k)"/>
  </r>
  <r>
    <x v="667"/>
    <x v="14"/>
    <x v="6"/>
    <x v="1"/>
    <x v="4"/>
    <x v="4"/>
    <n v="184000"/>
    <n v="95000"/>
    <n v="180000"/>
    <s v="Berlin"/>
    <x v="12"/>
    <s v="Hybrid"/>
    <s v="Mid-size (501-5000)"/>
    <x v="1"/>
    <s v="Data Visualization|Business Analysis|Python|Communication|Communication|Problem Solving|Linux"/>
    <n v="12.1"/>
    <x v="13"/>
    <x v="369"/>
    <n v="7.2"/>
    <x v="0"/>
    <n v="2"/>
    <n v="1"/>
    <x v="1"/>
    <x v="1"/>
    <s v="Upper-Mid ($150-200k)"/>
  </r>
  <r>
    <x v="668"/>
    <x v="8"/>
    <x v="4"/>
    <x v="3"/>
    <x v="12"/>
    <x v="0"/>
    <n v="263000"/>
    <n v="180000"/>
    <n v="320000"/>
    <s v="Zurich"/>
    <x v="13"/>
    <s v="Fully Remote"/>
    <s v="Enterprise (5000+)"/>
    <x v="7"/>
    <s v="System Design|Cloud|ML|Leadership|Enterprise Architecture|Python|SQL|Cloud"/>
    <n v="9.5"/>
    <x v="7"/>
    <x v="62"/>
    <n v="6.8"/>
    <x v="1"/>
    <n v="8"/>
    <n v="0"/>
    <x v="1"/>
    <x v="1"/>
    <s v="Senior ($200-300k)"/>
  </r>
  <r>
    <x v="669"/>
    <x v="17"/>
    <x v="8"/>
    <x v="3"/>
    <x v="0"/>
    <x v="1"/>
    <n v="157000"/>
    <n v="157000"/>
    <n v="218000"/>
    <s v="Berlin"/>
    <x v="12"/>
    <s v="Hybrid"/>
    <s v="Mid-size (501-5000)"/>
    <x v="9"/>
    <s v="Deep Learning|Causal Inference|Advanced Statistics|Python|ML|Research|Cloud|Leadership"/>
    <n v="7.7"/>
    <x v="11"/>
    <x v="209"/>
    <n v="6.4"/>
    <x v="0"/>
    <n v="3"/>
    <n v="0"/>
    <x v="1"/>
    <x v="1"/>
    <s v="Upper-Mid ($150-200k)"/>
  </r>
  <r>
    <x v="670"/>
    <x v="18"/>
    <x v="9"/>
    <x v="3"/>
    <x v="11"/>
    <x v="0"/>
    <n v="110000"/>
    <n v="110000"/>
    <n v="210000"/>
    <s v="Beijing"/>
    <x v="6"/>
    <s v="Hybrid"/>
    <s v="Mid-size (501-5000)"/>
    <x v="7"/>
    <s v="Communication|Research|AI Policy|Linux|Statistics"/>
    <n v="14.2"/>
    <x v="16"/>
    <x v="313"/>
    <n v="8.3000000000000007"/>
    <x v="0"/>
    <n v="2"/>
    <n v="0"/>
    <x v="1"/>
    <x v="1"/>
    <s v="Mid ($100-150k)"/>
  </r>
  <r>
    <x v="671"/>
    <x v="10"/>
    <x v="0"/>
    <x v="0"/>
    <x v="1"/>
    <x v="2"/>
    <n v="203000"/>
    <n v="150000"/>
    <n v="295000"/>
    <s v="Singapore"/>
    <x v="2"/>
    <s v="Hybrid"/>
    <s v="SME (51-500)"/>
    <x v="4"/>
    <s v="Diffusion Models|Fine-tuning|Deployment|Communication"/>
    <n v="17.100000000000001"/>
    <x v="9"/>
    <x v="370"/>
    <n v="8.4"/>
    <x v="0"/>
    <n v="2"/>
    <n v="1"/>
    <x v="1"/>
    <x v="0"/>
    <s v="Senior ($200-300k)"/>
  </r>
  <r>
    <x v="672"/>
    <x v="22"/>
    <x v="0"/>
    <x v="0"/>
    <x v="6"/>
    <x v="0"/>
    <n v="212000"/>
    <n v="145000"/>
    <n v="280000"/>
    <s v="Tokyo"/>
    <x v="5"/>
    <s v="Hybrid"/>
    <s v="Mid-size (501-5000)"/>
    <x v="1"/>
    <s v="CUDA|Image Processing|OpenCV|Python|Problem Solving|Research"/>
    <n v="9.1999999999999993"/>
    <x v="18"/>
    <x v="371"/>
    <n v="6.6"/>
    <x v="1"/>
    <n v="9"/>
    <n v="1"/>
    <x v="1"/>
    <x v="1"/>
    <s v="Senior ($200-300k)"/>
  </r>
  <r>
    <x v="673"/>
    <x v="18"/>
    <x v="9"/>
    <x v="0"/>
    <x v="0"/>
    <x v="1"/>
    <n v="226000"/>
    <n v="110000"/>
    <n v="210000"/>
    <s v="Zurich"/>
    <x v="13"/>
    <s v="On-site"/>
    <s v="Big Tech (FAANG+)"/>
    <x v="7"/>
    <s v="Risk Assessment|Ethics Frameworks|AI Policy|Research|Communication"/>
    <n v="11.6"/>
    <x v="16"/>
    <x v="168"/>
    <n v="8.1"/>
    <x v="0"/>
    <n v="2"/>
    <n v="1"/>
    <x v="0"/>
    <x v="1"/>
    <s v="Senior ($200-300k)"/>
  </r>
  <r>
    <x v="674"/>
    <x v="18"/>
    <x v="9"/>
    <x v="3"/>
    <x v="4"/>
    <x v="0"/>
    <n v="185000"/>
    <n v="110000"/>
    <n v="210000"/>
    <s v="Toronto"/>
    <x v="7"/>
    <s v="Fully Remote"/>
    <s v="Big Tech (FAANG+)"/>
    <x v="3"/>
    <s v="AI Policy|Risk Assessment|Ethics Frameworks|Communication|Cloud"/>
    <n v="16.5"/>
    <x v="16"/>
    <x v="208"/>
    <n v="6.8"/>
    <x v="1"/>
    <n v="1"/>
    <n v="0"/>
    <x v="1"/>
    <x v="1"/>
    <s v="Upper-Mid ($150-200k)"/>
  </r>
  <r>
    <x v="675"/>
    <x v="0"/>
    <x v="0"/>
    <x v="0"/>
    <x v="3"/>
    <x v="3"/>
    <n v="175000"/>
    <n v="155000"/>
    <n v="290000"/>
    <s v="Amsterdam"/>
    <x v="9"/>
    <s v="Hybrid"/>
    <s v="Startup (1-50)"/>
    <x v="5"/>
    <s v="APIs|Tool Use|LangChain|AutoGen|Planning Systems|Python|Agile"/>
    <n v="15.1"/>
    <x v="0"/>
    <x v="372"/>
    <n v="6.6"/>
    <x v="1"/>
    <n v="1"/>
    <n v="1"/>
    <x v="1"/>
    <x v="0"/>
    <s v="Upper-Mid ($150-200k)"/>
  </r>
  <r>
    <x v="676"/>
    <x v="21"/>
    <x v="8"/>
    <x v="1"/>
    <x v="6"/>
    <x v="4"/>
    <n v="234000"/>
    <n v="138000"/>
    <n v="195000"/>
    <s v="New York"/>
    <x v="0"/>
    <s v="Fully Remote"/>
    <s v="Mid-size (501-5000)"/>
    <x v="11"/>
    <s v="Data Visualization|Python|Scikit-learn|SQL|Statistics|ML Algorithms|Statistics"/>
    <n v="3.2"/>
    <x v="17"/>
    <x v="279"/>
    <n v="8.1"/>
    <x v="0"/>
    <n v="3"/>
    <n v="1"/>
    <x v="1"/>
    <x v="1"/>
    <s v="Senior ($200-300k)"/>
  </r>
  <r>
    <x v="677"/>
    <x v="9"/>
    <x v="0"/>
    <x v="2"/>
    <x v="2"/>
    <x v="1"/>
    <n v="144000"/>
    <n v="120000"/>
    <n v="280000"/>
    <s v="Austin"/>
    <x v="0"/>
    <s v="Hybrid"/>
    <s v="Enterprise (5000+)"/>
    <x v="3"/>
    <s v="SQL|PyTorch|Python|Kubernetes|Statistics|Git"/>
    <n v="8.6999999999999993"/>
    <x v="8"/>
    <x v="373"/>
    <n v="6.2"/>
    <x v="0"/>
    <n v="2"/>
    <n v="0"/>
    <x v="1"/>
    <x v="1"/>
    <s v="Mid ($100-150k)"/>
  </r>
  <r>
    <x v="678"/>
    <x v="19"/>
    <x v="10"/>
    <x v="2"/>
    <x v="3"/>
    <x v="0"/>
    <n v="206000"/>
    <n v="140000"/>
    <n v="270000"/>
    <s v="Austin"/>
    <x v="0"/>
    <s v="On-site"/>
    <s v="Big Tech (FAANG+)"/>
    <x v="5"/>
    <s v="Kubernetes|Networking|Cloud|CUDA|Distributed Systems|Communication"/>
    <n v="10.199999999999999"/>
    <x v="4"/>
    <x v="374"/>
    <n v="6.6"/>
    <x v="0"/>
    <n v="3"/>
    <n v="0"/>
    <x v="0"/>
    <x v="1"/>
    <s v="Senior ($200-300k)"/>
  </r>
  <r>
    <x v="679"/>
    <x v="4"/>
    <x v="2"/>
    <x v="1"/>
    <x v="8"/>
    <x v="1"/>
    <n v="247000"/>
    <n v="140000"/>
    <n v="260000"/>
    <s v="Toronto"/>
    <x v="7"/>
    <s v="On-site"/>
    <s v="Enterprise (5000+)"/>
    <x v="11"/>
    <s v="Product Strategy|Agile|Stakeholder Mgmt|Data Analysis|Communication"/>
    <n v="10.3"/>
    <x v="4"/>
    <x v="4"/>
    <n v="7.3"/>
    <x v="1"/>
    <n v="6"/>
    <n v="1"/>
    <x v="0"/>
    <x v="1"/>
    <s v="Senior ($200-300k)"/>
  </r>
  <r>
    <x v="680"/>
    <x v="5"/>
    <x v="3"/>
    <x v="3"/>
    <x v="0"/>
    <x v="0"/>
    <n v="205000"/>
    <n v="140000"/>
    <n v="260000"/>
    <s v="Chicago"/>
    <x v="0"/>
    <s v="Hybrid"/>
    <s v="Enterprise (5000+)"/>
    <x v="11"/>
    <s v="Risk Analysis|Python|Red Teaming|ML Security|Communication"/>
    <n v="10"/>
    <x v="5"/>
    <x v="68"/>
    <n v="7.5"/>
    <x v="0"/>
    <n v="2"/>
    <n v="0"/>
    <x v="1"/>
    <x v="1"/>
    <s v="Senior ($200-300k)"/>
  </r>
  <r>
    <x v="681"/>
    <x v="20"/>
    <x v="0"/>
    <x v="1"/>
    <x v="1"/>
    <x v="0"/>
    <n v="296000"/>
    <n v="100000"/>
    <n v="250000"/>
    <s v="Zurich"/>
    <x v="13"/>
    <s v="On-site"/>
    <s v="Big Tech (FAANG+)"/>
    <x v="5"/>
    <s v="Python|LLM Integration|Docker|PyTorch|Communication|Agile|Statistics"/>
    <n v="14.3"/>
    <x v="9"/>
    <x v="276"/>
    <n v="9.4"/>
    <x v="1"/>
    <n v="9"/>
    <n v="1"/>
    <x v="0"/>
    <x v="1"/>
    <s v="Senior ($200-300k)"/>
  </r>
  <r>
    <x v="682"/>
    <x v="20"/>
    <x v="0"/>
    <x v="3"/>
    <x v="3"/>
    <x v="0"/>
    <n v="118000"/>
    <n v="100000"/>
    <n v="250000"/>
    <s v="Paris"/>
    <x v="10"/>
    <s v="Hybrid"/>
    <s v="Startup (1-50)"/>
    <x v="10"/>
    <s v="PyTorch|Cloud (AWS/GCP/Azure)|LLM Integration|Docker|Linux|Research|Leadership"/>
    <n v="16"/>
    <x v="9"/>
    <x v="174"/>
    <n v="9.6"/>
    <x v="1"/>
    <n v="2"/>
    <n v="0"/>
    <x v="1"/>
    <x v="1"/>
    <s v="Mid ($100-150k)"/>
  </r>
  <r>
    <x v="683"/>
    <x v="20"/>
    <x v="0"/>
    <x v="2"/>
    <x v="1"/>
    <x v="1"/>
    <n v="233000"/>
    <n v="100000"/>
    <n v="250000"/>
    <s v="San Francisco"/>
    <x v="0"/>
    <s v="On-site"/>
    <s v="Big Tech (FAANG+)"/>
    <x v="4"/>
    <s v="PyTorch|Docker|Cloud (AWS/GCP/Azure)|Python|SQL"/>
    <n v="9.9"/>
    <x v="9"/>
    <x v="375"/>
    <n v="9.3000000000000007"/>
    <x v="1"/>
    <n v="7"/>
    <n v="0"/>
    <x v="0"/>
    <x v="1"/>
    <s v="Senior ($200-300k)"/>
  </r>
  <r>
    <x v="684"/>
    <x v="0"/>
    <x v="0"/>
    <x v="2"/>
    <x v="2"/>
    <x v="1"/>
    <n v="198000"/>
    <n v="155000"/>
    <n v="290000"/>
    <s v="San Francisco"/>
    <x v="0"/>
    <s v="On-site"/>
    <s v="Mid-size (501-5000)"/>
    <x v="8"/>
    <s v="LangChain|Python|Planning Systems|APIs|Tool Use|AutoGen|Git"/>
    <n v="16.7"/>
    <x v="0"/>
    <x v="376"/>
    <n v="8.1"/>
    <x v="1"/>
    <n v="12"/>
    <n v="0"/>
    <x v="0"/>
    <x v="0"/>
    <s v="Upper-Mid ($150-200k)"/>
  </r>
  <r>
    <x v="685"/>
    <x v="14"/>
    <x v="6"/>
    <x v="3"/>
    <x v="0"/>
    <x v="0"/>
    <n v="105000"/>
    <n v="95000"/>
    <n v="180000"/>
    <s v="Remote"/>
    <x v="3"/>
    <s v="Hybrid"/>
    <s v="Startup (1-50)"/>
    <x v="1"/>
    <s v="SQL|Communication|Python|Business Analysis|Cloud|Linux"/>
    <n v="8.4"/>
    <x v="13"/>
    <x v="72"/>
    <n v="8.9"/>
    <x v="1"/>
    <n v="5"/>
    <n v="0"/>
    <x v="1"/>
    <x v="1"/>
    <s v="Mid ($100-150k)"/>
  </r>
  <r>
    <x v="686"/>
    <x v="10"/>
    <x v="0"/>
    <x v="0"/>
    <x v="6"/>
    <x v="1"/>
    <n v="252000"/>
    <n v="150000"/>
    <n v="295000"/>
    <s v="Remote"/>
    <x v="3"/>
    <s v="Hybrid"/>
    <s v="SME (51-500)"/>
    <x v="3"/>
    <s v="GenAI APIs|Diffusion Models|Python|Fine-tuning|Problem Solving"/>
    <n v="15"/>
    <x v="9"/>
    <x v="377"/>
    <n v="8.6999999999999993"/>
    <x v="0"/>
    <n v="2"/>
    <n v="1"/>
    <x v="1"/>
    <x v="0"/>
    <s v="Senior ($200-300k)"/>
  </r>
  <r>
    <x v="687"/>
    <x v="3"/>
    <x v="1"/>
    <x v="0"/>
    <x v="8"/>
    <x v="3"/>
    <n v="264000"/>
    <n v="130000"/>
    <n v="220000"/>
    <s v="Seattle"/>
    <x v="0"/>
    <s v="Hybrid"/>
    <s v="Big Tech (FAANG+)"/>
    <x v="9"/>
    <s v="SQL|Feature Stores|ETL|Spark|Statistics|Cloud"/>
    <n v="11.7"/>
    <x v="3"/>
    <x v="193"/>
    <n v="8.9"/>
    <x v="1"/>
    <n v="11"/>
    <n v="1"/>
    <x v="1"/>
    <x v="1"/>
    <s v="Senior ($200-300k)"/>
  </r>
  <r>
    <x v="688"/>
    <x v="23"/>
    <x v="9"/>
    <x v="1"/>
    <x v="2"/>
    <x v="4"/>
    <n v="240000"/>
    <n v="100000"/>
    <n v="200000"/>
    <s v="Remote"/>
    <x v="3"/>
    <s v="Hybrid"/>
    <s v="Big Tech (FAANG+)"/>
    <x v="1"/>
    <s v="Documentation|Risk Management|Legal Knowledge|Auditing|EU AI Act|Leadership|Linux"/>
    <n v="17.2"/>
    <x v="19"/>
    <x v="193"/>
    <n v="6.6"/>
    <x v="1"/>
    <n v="11"/>
    <n v="1"/>
    <x v="1"/>
    <x v="1"/>
    <s v="Senior ($200-300k)"/>
  </r>
  <r>
    <x v="689"/>
    <x v="10"/>
    <x v="0"/>
    <x v="3"/>
    <x v="4"/>
    <x v="0"/>
    <n v="308000"/>
    <n v="150000"/>
    <n v="295000"/>
    <s v="Chicago"/>
    <x v="0"/>
    <s v="Hybrid"/>
    <s v="Big Tech (FAANG+)"/>
    <x v="10"/>
    <s v="Diffusion Models|Python|LLMs|Git|SQL|Agile"/>
    <n v="9.6"/>
    <x v="9"/>
    <x v="39"/>
    <n v="8.6999999999999993"/>
    <x v="1"/>
    <n v="2"/>
    <n v="0"/>
    <x v="1"/>
    <x v="0"/>
    <s v="Elite (&gt;$300k)"/>
  </r>
  <r>
    <x v="690"/>
    <x v="4"/>
    <x v="2"/>
    <x v="1"/>
    <x v="0"/>
    <x v="2"/>
    <n v="303000"/>
    <n v="140000"/>
    <n v="260000"/>
    <s v="Singapore"/>
    <x v="2"/>
    <s v="Hybrid"/>
    <s v="Big Tech (FAANG+)"/>
    <x v="7"/>
    <s v="Data Analysis|Stakeholder Mgmt|Agile|Git|Communication"/>
    <n v="9.6"/>
    <x v="4"/>
    <x v="263"/>
    <n v="8.9"/>
    <x v="0"/>
    <n v="3"/>
    <n v="1"/>
    <x v="1"/>
    <x v="1"/>
    <s v="Elite (&gt;$300k)"/>
  </r>
  <r>
    <x v="691"/>
    <x v="21"/>
    <x v="8"/>
    <x v="2"/>
    <x v="4"/>
    <x v="4"/>
    <n v="138000"/>
    <n v="138000"/>
    <n v="195000"/>
    <s v="Remote"/>
    <x v="3"/>
    <s v="On-site"/>
    <s v="SME (51-500)"/>
    <x v="6"/>
    <s v="Statistics|Data Visualization|Python|Scikit-learn|SQL|SQL"/>
    <n v="4.3"/>
    <x v="17"/>
    <x v="378"/>
    <n v="6.3"/>
    <x v="1"/>
    <n v="2"/>
    <n v="0"/>
    <x v="0"/>
    <x v="1"/>
    <s v="Mid ($100-150k)"/>
  </r>
  <r>
    <x v="692"/>
    <x v="1"/>
    <x v="0"/>
    <x v="2"/>
    <x v="2"/>
    <x v="2"/>
    <n v="90000"/>
    <n v="90000"/>
    <n v="200000"/>
    <s v="Singapore"/>
    <x v="2"/>
    <s v="Hybrid"/>
    <s v="Enterprise (5000+)"/>
    <x v="1"/>
    <s v="LLM APIs|Python|NLP|Testing|Documentation|Problem Solving|SQL|Research"/>
    <n v="5.5"/>
    <x v="1"/>
    <x v="379"/>
    <n v="7.8"/>
    <x v="0"/>
    <n v="3"/>
    <n v="0"/>
    <x v="1"/>
    <x v="0"/>
    <s v="Entry (&lt;$100k)"/>
  </r>
  <r>
    <x v="693"/>
    <x v="23"/>
    <x v="9"/>
    <x v="0"/>
    <x v="9"/>
    <x v="3"/>
    <n v="212000"/>
    <n v="100000"/>
    <n v="200000"/>
    <s v="Boston"/>
    <x v="0"/>
    <s v="On-site"/>
    <s v="Enterprise (5000+)"/>
    <x v="0"/>
    <s v="Legal Knowledge|EU AI Act|Risk Management|Leadership|Git"/>
    <n v="16.3"/>
    <x v="19"/>
    <x v="328"/>
    <n v="6.4"/>
    <x v="1"/>
    <n v="6"/>
    <n v="1"/>
    <x v="0"/>
    <x v="1"/>
    <s v="Senior ($200-300k)"/>
  </r>
  <r>
    <x v="694"/>
    <x v="7"/>
    <x v="0"/>
    <x v="2"/>
    <x v="10"/>
    <x v="4"/>
    <n v="145000"/>
    <n v="145000"/>
    <n v="290000"/>
    <s v="Beijing"/>
    <x v="6"/>
    <s v="Hybrid"/>
    <s v="Enterprise (5000+)"/>
    <x v="0"/>
    <s v="Hugging Face|LLMs|Python|Text Processing|Linux|SQL|Research"/>
    <n v="6.2"/>
    <x v="6"/>
    <x v="380"/>
    <n v="7.5"/>
    <x v="0"/>
    <n v="3"/>
    <n v="0"/>
    <x v="1"/>
    <x v="1"/>
    <s v="Mid ($100-150k)"/>
  </r>
  <r>
    <x v="695"/>
    <x v="10"/>
    <x v="0"/>
    <x v="2"/>
    <x v="4"/>
    <x v="2"/>
    <n v="161000"/>
    <n v="150000"/>
    <n v="295000"/>
    <s v="New York"/>
    <x v="0"/>
    <s v="On-site"/>
    <s v="Mid-size (501-5000)"/>
    <x v="0"/>
    <s v="GenAI APIs|Python|Fine-tuning|Diffusion Models|Deployment|Git|Linux"/>
    <n v="12.9"/>
    <x v="9"/>
    <x v="152"/>
    <n v="8.9"/>
    <x v="0"/>
    <n v="1"/>
    <n v="0"/>
    <x v="0"/>
    <x v="0"/>
    <s v="Upper-Mid ($150-200k)"/>
  </r>
  <r>
    <x v="696"/>
    <x v="23"/>
    <x v="9"/>
    <x v="0"/>
    <x v="10"/>
    <x v="0"/>
    <n v="124000"/>
    <n v="100000"/>
    <n v="200000"/>
    <s v="Sydney"/>
    <x v="11"/>
    <s v="Fully Remote"/>
    <s v="Startup (1-50)"/>
    <x v="9"/>
    <s v="Legal Knowledge|EU AI Act|Auditing|Linux"/>
    <n v="17.5"/>
    <x v="19"/>
    <x v="293"/>
    <n v="7.7"/>
    <x v="1"/>
    <n v="12"/>
    <n v="1"/>
    <x v="1"/>
    <x v="1"/>
    <s v="Mid ($100-150k)"/>
  </r>
  <r>
    <x v="697"/>
    <x v="1"/>
    <x v="0"/>
    <x v="0"/>
    <x v="2"/>
    <x v="2"/>
    <n v="240000"/>
    <n v="90000"/>
    <n v="200000"/>
    <s v="San Francisco"/>
    <x v="0"/>
    <s v="Hybrid"/>
    <s v="Big Tech (FAANG+)"/>
    <x v="0"/>
    <s v="Python|NLP|Testing|Git"/>
    <n v="9.6"/>
    <x v="1"/>
    <x v="381"/>
    <n v="7.5"/>
    <x v="0"/>
    <n v="1"/>
    <n v="1"/>
    <x v="1"/>
    <x v="0"/>
    <s v="Senior ($200-300k)"/>
  </r>
  <r>
    <x v="698"/>
    <x v="21"/>
    <x v="8"/>
    <x v="2"/>
    <x v="3"/>
    <x v="2"/>
    <n v="138000"/>
    <n v="138000"/>
    <n v="195000"/>
    <s v="San Francisco"/>
    <x v="0"/>
    <s v="Hybrid"/>
    <s v="SME (51-500)"/>
    <x v="11"/>
    <s v="ML Algorithms|Data Visualization|SQL|Scikit-learn|Statistics|Python|Linux"/>
    <n v="6.9"/>
    <x v="17"/>
    <x v="382"/>
    <n v="6.6"/>
    <x v="1"/>
    <n v="12"/>
    <n v="0"/>
    <x v="1"/>
    <x v="1"/>
    <s v="Mid ($100-150k)"/>
  </r>
  <r>
    <x v="699"/>
    <x v="2"/>
    <x v="0"/>
    <x v="2"/>
    <x v="1"/>
    <x v="2"/>
    <n v="200000"/>
    <n v="160000"/>
    <n v="300000"/>
    <s v="San Francisco"/>
    <x v="0"/>
    <s v="On-site"/>
    <s v="Mid-size (501-5000)"/>
    <x v="2"/>
    <s v="Prompt Engineering|Vector DBs|Python|LLM APIs|RAG|Communication|Research"/>
    <n v="6.3"/>
    <x v="2"/>
    <x v="383"/>
    <n v="6.4"/>
    <x v="1"/>
    <n v="11"/>
    <n v="0"/>
    <x v="0"/>
    <x v="0"/>
    <s v="Upper-Mid ($150-200k)"/>
  </r>
  <r>
    <x v="700"/>
    <x v="0"/>
    <x v="0"/>
    <x v="3"/>
    <x v="3"/>
    <x v="0"/>
    <n v="158000"/>
    <n v="155000"/>
    <n v="290000"/>
    <s v="Tokyo"/>
    <x v="5"/>
    <s v="Hybrid"/>
    <s v="Startup (1-50)"/>
    <x v="7"/>
    <s v="Tool Use|Planning Systems|Python|Linux|Communication|Cloud"/>
    <n v="10.3"/>
    <x v="0"/>
    <x v="144"/>
    <n v="6.2"/>
    <x v="0"/>
    <n v="2"/>
    <n v="0"/>
    <x v="1"/>
    <x v="0"/>
    <s v="Upper-Mid ($150-200k)"/>
  </r>
  <r>
    <x v="701"/>
    <x v="23"/>
    <x v="9"/>
    <x v="3"/>
    <x v="8"/>
    <x v="4"/>
    <n v="111000"/>
    <n v="100000"/>
    <n v="200000"/>
    <s v="Sydney"/>
    <x v="11"/>
    <s v="Hybrid"/>
    <s v="Startup (1-50)"/>
    <x v="10"/>
    <s v="Risk Management|Legal Knowledge|Documentation|Auditing|EU AI Act|Problem Solving"/>
    <n v="15.7"/>
    <x v="19"/>
    <x v="169"/>
    <n v="6.1"/>
    <x v="1"/>
    <n v="2"/>
    <n v="0"/>
    <x v="1"/>
    <x v="1"/>
    <s v="Mid ($100-150k)"/>
  </r>
  <r>
    <x v="702"/>
    <x v="19"/>
    <x v="10"/>
    <x v="0"/>
    <x v="8"/>
    <x v="4"/>
    <n v="230000"/>
    <n v="140000"/>
    <n v="270000"/>
    <s v="Austin"/>
    <x v="0"/>
    <s v="Hybrid"/>
    <s v="Startup (1-50)"/>
    <x v="5"/>
    <s v="CUDA|Storage|Networking|Kubernetes|Distributed Systems|Research|Cloud|Linux"/>
    <n v="14.9"/>
    <x v="4"/>
    <x v="261"/>
    <n v="8"/>
    <x v="0"/>
    <n v="1"/>
    <n v="1"/>
    <x v="1"/>
    <x v="1"/>
    <s v="Senior ($200-300k)"/>
  </r>
  <r>
    <x v="703"/>
    <x v="22"/>
    <x v="0"/>
    <x v="0"/>
    <x v="6"/>
    <x v="2"/>
    <n v="154000"/>
    <n v="145000"/>
    <n v="280000"/>
    <s v="Berlin"/>
    <x v="12"/>
    <s v="Hybrid"/>
    <s v="Mid-size (501-5000)"/>
    <x v="10"/>
    <s v="OpenCV|Image Processing|CUDA|CNNs|PyTorch|Statistics"/>
    <n v="4.9000000000000004"/>
    <x v="18"/>
    <x v="127"/>
    <n v="8.5"/>
    <x v="1"/>
    <n v="10"/>
    <n v="1"/>
    <x v="1"/>
    <x v="1"/>
    <s v="Upper-Mid ($150-200k)"/>
  </r>
  <r>
    <x v="704"/>
    <x v="17"/>
    <x v="8"/>
    <x v="0"/>
    <x v="6"/>
    <x v="2"/>
    <n v="157000"/>
    <n v="157000"/>
    <n v="218000"/>
    <s v="Paris"/>
    <x v="10"/>
    <s v="Fully Remote"/>
    <s v="SME (51-500)"/>
    <x v="7"/>
    <s v="Deep Learning|Leadership|Advanced Statistics|Python|ML|Causal Inference|Problem Solving"/>
    <n v="4.3"/>
    <x v="11"/>
    <x v="28"/>
    <n v="7.9"/>
    <x v="1"/>
    <n v="8"/>
    <n v="1"/>
    <x v="1"/>
    <x v="1"/>
    <s v="Upper-Mid ($150-200k)"/>
  </r>
  <r>
    <x v="705"/>
    <x v="19"/>
    <x v="10"/>
    <x v="1"/>
    <x v="4"/>
    <x v="2"/>
    <n v="243000"/>
    <n v="140000"/>
    <n v="270000"/>
    <s v="Berlin"/>
    <x v="12"/>
    <s v="Fully Remote"/>
    <s v="Big Tech (FAANG+)"/>
    <x v="2"/>
    <s v="CUDA|Cloud|Distributed Systems|Cloud|SQL|Git"/>
    <n v="10.5"/>
    <x v="4"/>
    <x v="384"/>
    <n v="9.6"/>
    <x v="0"/>
    <n v="2"/>
    <n v="1"/>
    <x v="1"/>
    <x v="1"/>
    <s v="Senior ($200-300k)"/>
  </r>
  <r>
    <x v="706"/>
    <x v="5"/>
    <x v="3"/>
    <x v="3"/>
    <x v="9"/>
    <x v="4"/>
    <n v="140000"/>
    <n v="140000"/>
    <n v="260000"/>
    <s v="Bangalore"/>
    <x v="4"/>
    <s v="On-site"/>
    <s v="Enterprise (5000+)"/>
    <x v="9"/>
    <s v="Red Teaming|Cybersecurity|ML Security|Python|Risk Analysis|Git|Linux"/>
    <n v="15.6"/>
    <x v="5"/>
    <x v="45"/>
    <n v="6.2"/>
    <x v="1"/>
    <n v="2"/>
    <n v="0"/>
    <x v="0"/>
    <x v="1"/>
    <s v="Mid ($100-150k)"/>
  </r>
  <r>
    <x v="707"/>
    <x v="16"/>
    <x v="7"/>
    <x v="3"/>
    <x v="9"/>
    <x v="1"/>
    <n v="139000"/>
    <n v="125000"/>
    <n v="240000"/>
    <s v="Tokyo"/>
    <x v="5"/>
    <s v="Fully Remote"/>
    <s v="Mid-size (501-5000)"/>
    <x v="11"/>
    <s v="ROS|Control Systems|Simulation|Computer Vision|Statistics"/>
    <n v="10.8"/>
    <x v="15"/>
    <x v="385"/>
    <n v="6.8"/>
    <x v="0"/>
    <n v="2"/>
    <n v="0"/>
    <x v="1"/>
    <x v="1"/>
    <s v="Mid ($100-150k)"/>
  </r>
  <r>
    <x v="708"/>
    <x v="16"/>
    <x v="7"/>
    <x v="3"/>
    <x v="6"/>
    <x v="1"/>
    <n v="132000"/>
    <n v="125000"/>
    <n v="240000"/>
    <s v="Singapore"/>
    <x v="2"/>
    <s v="Fully Remote"/>
    <s v="SME (51-500)"/>
    <x v="11"/>
    <s v="Python|Computer Vision|Simulation|C++|SQL|Linux|Git"/>
    <n v="17.8"/>
    <x v="15"/>
    <x v="290"/>
    <n v="7.8"/>
    <x v="1"/>
    <n v="7"/>
    <n v="0"/>
    <x v="1"/>
    <x v="1"/>
    <s v="Mid ($100-150k)"/>
  </r>
  <r>
    <x v="709"/>
    <x v="7"/>
    <x v="0"/>
    <x v="3"/>
    <x v="0"/>
    <x v="0"/>
    <n v="210000"/>
    <n v="145000"/>
    <n v="290000"/>
    <s v="London"/>
    <x v="1"/>
    <s v="On-site"/>
    <s v="Enterprise (5000+)"/>
    <x v="5"/>
    <s v="Python|Transformers|BERT|Problem Solving|Cloud"/>
    <n v="3.7"/>
    <x v="6"/>
    <x v="362"/>
    <n v="8.6999999999999993"/>
    <x v="0"/>
    <n v="3"/>
    <n v="0"/>
    <x v="0"/>
    <x v="1"/>
    <s v="Senior ($200-300k)"/>
  </r>
  <r>
    <x v="710"/>
    <x v="2"/>
    <x v="0"/>
    <x v="2"/>
    <x v="3"/>
    <x v="2"/>
    <n v="160000"/>
    <n v="160000"/>
    <n v="300000"/>
    <s v="Beijing"/>
    <x v="6"/>
    <s v="On-site"/>
    <s v="Enterprise (5000+)"/>
    <x v="11"/>
    <s v="RAG|Prompt Engineering|Fine-tuning|LLM APIs|Python|Vector DBs|Problem Solving|Cloud|Research"/>
    <n v="4"/>
    <x v="2"/>
    <x v="91"/>
    <n v="9.1999999999999993"/>
    <x v="0"/>
    <n v="1"/>
    <n v="0"/>
    <x v="0"/>
    <x v="0"/>
    <s v="Upper-Mid ($150-200k)"/>
  </r>
  <r>
    <x v="711"/>
    <x v="2"/>
    <x v="0"/>
    <x v="0"/>
    <x v="3"/>
    <x v="4"/>
    <n v="307000"/>
    <n v="160000"/>
    <n v="300000"/>
    <s v="Los Angeles"/>
    <x v="0"/>
    <s v="Hybrid"/>
    <s v="SME (51-500)"/>
    <x v="3"/>
    <s v="LLM APIs|RAG|Prompt Engineering|Python|Fine-tuning|Git|Research|SQL"/>
    <n v="5.5"/>
    <x v="2"/>
    <x v="167"/>
    <n v="7.7"/>
    <x v="0"/>
    <n v="2"/>
    <n v="1"/>
    <x v="1"/>
    <x v="0"/>
    <s v="Elite (&gt;$300k)"/>
  </r>
  <r>
    <x v="712"/>
    <x v="6"/>
    <x v="0"/>
    <x v="0"/>
    <x v="9"/>
    <x v="0"/>
    <n v="239000"/>
    <n v="180000"/>
    <n v="312000"/>
    <s v="Amsterdam"/>
    <x v="9"/>
    <s v="On-site"/>
    <s v="Mid-size (501-5000)"/>
    <x v="2"/>
    <s v="PyTorch|Distributed Systems|LLM Fine-tuning|System Design|Python|MLOps|Statistics|SQL"/>
    <n v="17.2"/>
    <x v="0"/>
    <x v="301"/>
    <n v="8.6"/>
    <x v="1"/>
    <n v="2"/>
    <n v="1"/>
    <x v="0"/>
    <x v="1"/>
    <s v="Senior ($200-300k)"/>
  </r>
  <r>
    <x v="713"/>
    <x v="5"/>
    <x v="3"/>
    <x v="3"/>
    <x v="9"/>
    <x v="4"/>
    <n v="158000"/>
    <n v="140000"/>
    <n v="260000"/>
    <s v="Berlin"/>
    <x v="12"/>
    <s v="On-site"/>
    <s v="Enterprise (5000+)"/>
    <x v="0"/>
    <s v="ML Security|Risk Analysis|Red Teaming|Python|Leadership"/>
    <n v="8.9"/>
    <x v="5"/>
    <x v="125"/>
    <n v="8.5"/>
    <x v="0"/>
    <n v="3"/>
    <n v="0"/>
    <x v="0"/>
    <x v="1"/>
    <s v="Upper-Mid ($150-200k)"/>
  </r>
  <r>
    <x v="714"/>
    <x v="24"/>
    <x v="11"/>
    <x v="1"/>
    <x v="0"/>
    <x v="3"/>
    <n v="282000"/>
    <n v="115000"/>
    <n v="280000"/>
    <s v="Paris"/>
    <x v="10"/>
    <s v="Fully Remote"/>
    <s v="Big Tech (FAANG+)"/>
    <x v="6"/>
    <s v="PyTorch|Mathematics|Python|Git"/>
    <n v="9.8000000000000007"/>
    <x v="3"/>
    <x v="73"/>
    <n v="7.8"/>
    <x v="0"/>
    <n v="3"/>
    <n v="1"/>
    <x v="1"/>
    <x v="1"/>
    <s v="Senior ($200-300k)"/>
  </r>
  <r>
    <x v="715"/>
    <x v="24"/>
    <x v="11"/>
    <x v="3"/>
    <x v="9"/>
    <x v="0"/>
    <n v="272000"/>
    <n v="115000"/>
    <n v="280000"/>
    <s v="Austin"/>
    <x v="0"/>
    <s v="On-site"/>
    <s v="Big Tech (FAANG+)"/>
    <x v="9"/>
    <s v="Research|Mathematics|Python|Publishing|SQL|Cloud|Linux"/>
    <n v="9.6"/>
    <x v="3"/>
    <x v="289"/>
    <n v="9.3000000000000007"/>
    <x v="0"/>
    <n v="3"/>
    <n v="0"/>
    <x v="0"/>
    <x v="1"/>
    <s v="Senior ($200-300k)"/>
  </r>
  <r>
    <x v="716"/>
    <x v="22"/>
    <x v="0"/>
    <x v="1"/>
    <x v="8"/>
    <x v="0"/>
    <n v="271000"/>
    <n v="145000"/>
    <n v="280000"/>
    <s v="Zurich"/>
    <x v="13"/>
    <s v="Hybrid"/>
    <s v="SME (51-500)"/>
    <x v="6"/>
    <s v="CUDA|Image Processing|Python|CNNs|Linux|SQL"/>
    <n v="8.6"/>
    <x v="18"/>
    <x v="283"/>
    <n v="7.5"/>
    <x v="0"/>
    <n v="2"/>
    <n v="1"/>
    <x v="1"/>
    <x v="1"/>
    <s v="Senior ($200-300k)"/>
  </r>
  <r>
    <x v="717"/>
    <x v="5"/>
    <x v="3"/>
    <x v="0"/>
    <x v="9"/>
    <x v="2"/>
    <n v="251000"/>
    <n v="140000"/>
    <n v="260000"/>
    <s v="Zurich"/>
    <x v="13"/>
    <s v="On-site"/>
    <s v="Big Tech (FAANG+)"/>
    <x v="2"/>
    <s v="Risk Analysis|Red Teaming|Cybersecurity|ML Security|SQL"/>
    <n v="17.899999999999999"/>
    <x v="5"/>
    <x v="337"/>
    <n v="6.4"/>
    <x v="0"/>
    <n v="2"/>
    <n v="1"/>
    <x v="0"/>
    <x v="1"/>
    <s v="Senior ($200-300k)"/>
  </r>
  <r>
    <x v="718"/>
    <x v="2"/>
    <x v="0"/>
    <x v="2"/>
    <x v="6"/>
    <x v="4"/>
    <n v="160000"/>
    <n v="160000"/>
    <n v="300000"/>
    <s v="Paris"/>
    <x v="10"/>
    <s v="Fully Remote"/>
    <s v="Mid-size (501-5000)"/>
    <x v="7"/>
    <s v="LLM APIs|RAG|Vector DBs|Problem Solving|Linux"/>
    <n v="5.8"/>
    <x v="2"/>
    <x v="277"/>
    <n v="9.4"/>
    <x v="0"/>
    <n v="2"/>
    <n v="0"/>
    <x v="1"/>
    <x v="0"/>
    <s v="Upper-Mid ($150-200k)"/>
  </r>
  <r>
    <x v="719"/>
    <x v="18"/>
    <x v="9"/>
    <x v="1"/>
    <x v="11"/>
    <x v="4"/>
    <n v="252000"/>
    <n v="110000"/>
    <n v="210000"/>
    <s v="Sydney"/>
    <x v="11"/>
    <s v="Hybrid"/>
    <s v="Enterprise (5000+)"/>
    <x v="6"/>
    <s v="Communication|AI Policy|Research|Git"/>
    <n v="11.5"/>
    <x v="16"/>
    <x v="128"/>
    <n v="9.4"/>
    <x v="0"/>
    <n v="1"/>
    <n v="1"/>
    <x v="1"/>
    <x v="1"/>
    <s v="Senior ($200-300k)"/>
  </r>
  <r>
    <x v="720"/>
    <x v="15"/>
    <x v="0"/>
    <x v="1"/>
    <x v="4"/>
    <x v="1"/>
    <n v="260000"/>
    <n v="145000"/>
    <n v="280000"/>
    <s v="Paris"/>
    <x v="10"/>
    <s v="Fully Remote"/>
    <s v="Mid-size (501-5000)"/>
    <x v="1"/>
    <s v="LLMs|LangChain|Vector DBs|Leadership|Linux"/>
    <n v="4"/>
    <x v="14"/>
    <x v="386"/>
    <n v="7"/>
    <x v="1"/>
    <n v="4"/>
    <n v="1"/>
    <x v="1"/>
    <x v="0"/>
    <s v="Senior ($200-300k)"/>
  </r>
  <r>
    <x v="721"/>
    <x v="0"/>
    <x v="0"/>
    <x v="2"/>
    <x v="8"/>
    <x v="3"/>
    <n v="155000"/>
    <n v="155000"/>
    <n v="290000"/>
    <s v="Dubai"/>
    <x v="8"/>
    <s v="Hybrid"/>
    <s v="Mid-size (501-5000)"/>
    <x v="5"/>
    <s v="AutoGen|Planning Systems|APIs|LangChain|Tool Use|Python|Problem Solving|Git|Research"/>
    <n v="13.1"/>
    <x v="0"/>
    <x v="387"/>
    <n v="8.1"/>
    <x v="0"/>
    <n v="3"/>
    <n v="0"/>
    <x v="1"/>
    <x v="0"/>
    <s v="Upper-Mid ($150-200k)"/>
  </r>
  <r>
    <x v="722"/>
    <x v="6"/>
    <x v="0"/>
    <x v="0"/>
    <x v="9"/>
    <x v="3"/>
    <n v="316000"/>
    <n v="180000"/>
    <n v="312000"/>
    <s v="Austin"/>
    <x v="0"/>
    <s v="On-site"/>
    <s v="Enterprise (5000+)"/>
    <x v="2"/>
    <s v="PyTorch|Distributed Systems|Python|System Design|Agile|Cloud"/>
    <n v="11"/>
    <x v="0"/>
    <x v="85"/>
    <n v="6.7"/>
    <x v="0"/>
    <n v="2"/>
    <n v="1"/>
    <x v="0"/>
    <x v="1"/>
    <s v="Elite (&gt;$300k)"/>
  </r>
  <r>
    <x v="723"/>
    <x v="17"/>
    <x v="8"/>
    <x v="0"/>
    <x v="8"/>
    <x v="0"/>
    <n v="223000"/>
    <n v="157000"/>
    <n v="218000"/>
    <s v="Amsterdam"/>
    <x v="9"/>
    <s v="Fully Remote"/>
    <s v="Big Tech (FAANG+)"/>
    <x v="9"/>
    <s v="Python|Causal Inference|ML|Leadership|Research"/>
    <n v="6.5"/>
    <x v="11"/>
    <x v="179"/>
    <n v="7.7"/>
    <x v="0"/>
    <n v="3"/>
    <n v="1"/>
    <x v="1"/>
    <x v="1"/>
    <s v="Senior ($200-300k)"/>
  </r>
  <r>
    <x v="724"/>
    <x v="10"/>
    <x v="0"/>
    <x v="0"/>
    <x v="6"/>
    <x v="2"/>
    <n v="221000"/>
    <n v="150000"/>
    <n v="295000"/>
    <s v="Singapore"/>
    <x v="2"/>
    <s v="Hybrid"/>
    <s v="Enterprise (5000+)"/>
    <x v="3"/>
    <s v="Deployment|Fine-tuning|GenAI APIs|LLMs|Diffusion Models|Communication|Problem Solving|SQL"/>
    <n v="11.3"/>
    <x v="9"/>
    <x v="388"/>
    <n v="7.9"/>
    <x v="0"/>
    <n v="2"/>
    <n v="1"/>
    <x v="1"/>
    <x v="0"/>
    <s v="Senior ($200-300k)"/>
  </r>
  <r>
    <x v="725"/>
    <x v="9"/>
    <x v="0"/>
    <x v="0"/>
    <x v="8"/>
    <x v="1"/>
    <n v="120000"/>
    <n v="120000"/>
    <n v="280000"/>
    <s v="Bangalore"/>
    <x v="4"/>
    <s v="Fully Remote"/>
    <s v="Mid-size (501-5000)"/>
    <x v="3"/>
    <s v="PyTorch|MLOps|SQL|Python|Leadership|Problem Solving|Statistics"/>
    <n v="12.2"/>
    <x v="8"/>
    <x v="389"/>
    <n v="6.3"/>
    <x v="1"/>
    <n v="8"/>
    <n v="1"/>
    <x v="1"/>
    <x v="1"/>
    <s v="Mid ($100-150k)"/>
  </r>
  <r>
    <x v="726"/>
    <x v="12"/>
    <x v="0"/>
    <x v="2"/>
    <x v="8"/>
    <x v="3"/>
    <n v="165000"/>
    <n v="160000"/>
    <n v="300000"/>
    <s v="Seattle"/>
    <x v="0"/>
    <s v="On-site"/>
    <s v="Mid-size (501-5000)"/>
    <x v="6"/>
    <s v="APIs|Fine-tuning|Python|Statistics|Git"/>
    <n v="16.8"/>
    <x v="11"/>
    <x v="4"/>
    <n v="9.6"/>
    <x v="0"/>
    <n v="2"/>
    <n v="0"/>
    <x v="0"/>
    <x v="1"/>
    <s v="Upper-Mid ($150-200k)"/>
  </r>
  <r>
    <x v="727"/>
    <x v="1"/>
    <x v="0"/>
    <x v="3"/>
    <x v="3"/>
    <x v="2"/>
    <n v="105000"/>
    <n v="90000"/>
    <n v="200000"/>
    <s v="London"/>
    <x v="1"/>
    <s v="Fully Remote"/>
    <s v="Mid-size (501-5000)"/>
    <x v="0"/>
    <s v="Testing|Python|NLP|Prompt Design|Git"/>
    <n v="3.1"/>
    <x v="1"/>
    <x v="390"/>
    <n v="7.9"/>
    <x v="1"/>
    <n v="12"/>
    <n v="0"/>
    <x v="1"/>
    <x v="0"/>
    <s v="Mid ($100-150k)"/>
  </r>
  <r>
    <x v="728"/>
    <x v="0"/>
    <x v="0"/>
    <x v="2"/>
    <x v="3"/>
    <x v="3"/>
    <n v="155000"/>
    <n v="155000"/>
    <n v="290000"/>
    <s v="Austin"/>
    <x v="0"/>
    <s v="Fully Remote"/>
    <s v="Startup (1-50)"/>
    <x v="1"/>
    <s v="AutoGen|APIs|Python|Tool Use|Planning Systems|Statistics|Git"/>
    <n v="8.8000000000000007"/>
    <x v="0"/>
    <x v="70"/>
    <n v="6"/>
    <x v="0"/>
    <n v="1"/>
    <n v="0"/>
    <x v="1"/>
    <x v="0"/>
    <s v="Upper-Mid ($150-200k)"/>
  </r>
  <r>
    <x v="729"/>
    <x v="2"/>
    <x v="0"/>
    <x v="0"/>
    <x v="6"/>
    <x v="2"/>
    <n v="193000"/>
    <n v="160000"/>
    <n v="300000"/>
    <s v="Remote"/>
    <x v="3"/>
    <s v="Fully Remote"/>
    <s v="Startup (1-50)"/>
    <x v="11"/>
    <s v="Prompt Engineering|Fine-tuning|LLM APIs|Research"/>
    <n v="4.0999999999999996"/>
    <x v="2"/>
    <x v="378"/>
    <n v="8"/>
    <x v="0"/>
    <n v="1"/>
    <n v="1"/>
    <x v="1"/>
    <x v="0"/>
    <s v="Upper-Mid ($150-200k)"/>
  </r>
  <r>
    <x v="730"/>
    <x v="19"/>
    <x v="10"/>
    <x v="1"/>
    <x v="6"/>
    <x v="4"/>
    <n v="228000"/>
    <n v="140000"/>
    <n v="270000"/>
    <s v="Paris"/>
    <x v="10"/>
    <s v="Hybrid"/>
    <s v="Startup (1-50)"/>
    <x v="7"/>
    <s v="Distributed Systems|CUDA|Storage|Kubernetes|Networking|Cloud|Agile"/>
    <n v="10.4"/>
    <x v="4"/>
    <x v="184"/>
    <n v="6.6"/>
    <x v="1"/>
    <n v="10"/>
    <n v="1"/>
    <x v="1"/>
    <x v="1"/>
    <s v="Senior ($200-300k)"/>
  </r>
  <r>
    <x v="731"/>
    <x v="21"/>
    <x v="8"/>
    <x v="1"/>
    <x v="1"/>
    <x v="0"/>
    <n v="200000"/>
    <n v="138000"/>
    <n v="195000"/>
    <s v="Austin"/>
    <x v="0"/>
    <s v="Hybrid"/>
    <s v="Startup (1-50)"/>
    <x v="7"/>
    <s v="SQL|ML Algorithms|Statistics|Data Visualization|Scikit-learn|Cloud|Git"/>
    <n v="7.7"/>
    <x v="17"/>
    <x v="391"/>
    <n v="7.1"/>
    <x v="0"/>
    <n v="2"/>
    <n v="1"/>
    <x v="1"/>
    <x v="1"/>
    <s v="Upper-Mid ($150-200k)"/>
  </r>
  <r>
    <x v="732"/>
    <x v="0"/>
    <x v="0"/>
    <x v="3"/>
    <x v="1"/>
    <x v="3"/>
    <n v="202000"/>
    <n v="155000"/>
    <n v="290000"/>
    <s v="New York"/>
    <x v="0"/>
    <s v="Hybrid"/>
    <s v="Mid-size (501-5000)"/>
    <x v="5"/>
    <s v="Python|AutoGen|Tool Use|Research"/>
    <n v="12"/>
    <x v="0"/>
    <x v="392"/>
    <n v="7.2"/>
    <x v="1"/>
    <n v="6"/>
    <n v="0"/>
    <x v="1"/>
    <x v="0"/>
    <s v="Senior ($200-300k)"/>
  </r>
  <r>
    <x v="733"/>
    <x v="10"/>
    <x v="0"/>
    <x v="3"/>
    <x v="3"/>
    <x v="1"/>
    <n v="177000"/>
    <n v="150000"/>
    <n v="295000"/>
    <s v="Amsterdam"/>
    <x v="9"/>
    <s v="Hybrid"/>
    <s v="Mid-size (501-5000)"/>
    <x v="2"/>
    <s v="Diffusion Models|Python|Deployment|GenAI APIs|LLMs|Linux"/>
    <n v="13"/>
    <x v="9"/>
    <x v="210"/>
    <n v="6.8"/>
    <x v="1"/>
    <n v="1"/>
    <n v="0"/>
    <x v="1"/>
    <x v="0"/>
    <s v="Upper-Mid ($150-200k)"/>
  </r>
  <r>
    <x v="734"/>
    <x v="23"/>
    <x v="9"/>
    <x v="0"/>
    <x v="3"/>
    <x v="2"/>
    <n v="196000"/>
    <n v="100000"/>
    <n v="200000"/>
    <s v="San Francisco"/>
    <x v="0"/>
    <s v="Hybrid"/>
    <s v="Mid-size (501-5000)"/>
    <x v="7"/>
    <s v="Legal Knowledge|Risk Management|EU AI Act|Statistics"/>
    <n v="15.4"/>
    <x v="19"/>
    <x v="177"/>
    <n v="8"/>
    <x v="0"/>
    <n v="3"/>
    <n v="1"/>
    <x v="1"/>
    <x v="1"/>
    <s v="Upper-Mid ($150-200k)"/>
  </r>
  <r>
    <x v="735"/>
    <x v="15"/>
    <x v="0"/>
    <x v="1"/>
    <x v="0"/>
    <x v="1"/>
    <n v="145000"/>
    <n v="145000"/>
    <n v="280000"/>
    <s v="Beijing"/>
    <x v="6"/>
    <s v="Hybrid"/>
    <s v="SME (51-500)"/>
    <x v="11"/>
    <s v="Search Systems|Embeddings|Python|Vector DBs|LLMs|Cloud"/>
    <n v="8.5"/>
    <x v="14"/>
    <x v="393"/>
    <n v="9.3000000000000007"/>
    <x v="0"/>
    <n v="3"/>
    <n v="1"/>
    <x v="1"/>
    <x v="0"/>
    <s v="Mid ($100-150k)"/>
  </r>
  <r>
    <x v="736"/>
    <x v="14"/>
    <x v="6"/>
    <x v="3"/>
    <x v="0"/>
    <x v="3"/>
    <n v="95000"/>
    <n v="95000"/>
    <n v="180000"/>
    <s v="London"/>
    <x v="1"/>
    <s v="On-site"/>
    <s v="Mid-size (501-5000)"/>
    <x v="2"/>
    <s v="Python|Business Analysis|Communication|SQL|Leadership"/>
    <n v="17.5"/>
    <x v="13"/>
    <x v="115"/>
    <n v="7.5"/>
    <x v="0"/>
    <n v="1"/>
    <n v="0"/>
    <x v="0"/>
    <x v="1"/>
    <s v="Entry (&lt;$100k)"/>
  </r>
  <r>
    <x v="737"/>
    <x v="22"/>
    <x v="0"/>
    <x v="1"/>
    <x v="0"/>
    <x v="1"/>
    <n v="295000"/>
    <n v="145000"/>
    <n v="280000"/>
    <s v="Tokyo"/>
    <x v="5"/>
    <s v="Fully Remote"/>
    <s v="Big Tech (FAANG+)"/>
    <x v="2"/>
    <s v="CNNs|Image Processing|OpenCV|Leadership|Agile|Git"/>
    <n v="5.7"/>
    <x v="18"/>
    <x v="202"/>
    <n v="6.7"/>
    <x v="0"/>
    <n v="1"/>
    <n v="1"/>
    <x v="1"/>
    <x v="1"/>
    <s v="Senior ($200-300k)"/>
  </r>
  <r>
    <x v="738"/>
    <x v="12"/>
    <x v="0"/>
    <x v="0"/>
    <x v="3"/>
    <x v="0"/>
    <n v="221000"/>
    <n v="160000"/>
    <n v="300000"/>
    <s v="Amsterdam"/>
    <x v="9"/>
    <s v="Fully Remote"/>
    <s v="Startup (1-50)"/>
    <x v="9"/>
    <s v="Vision-Language Models|PyTorch|Python|Agile|Problem Solving|Cloud"/>
    <n v="10"/>
    <x v="11"/>
    <x v="117"/>
    <n v="6.4"/>
    <x v="0"/>
    <n v="2"/>
    <n v="1"/>
    <x v="1"/>
    <x v="1"/>
    <s v="Senior ($200-300k)"/>
  </r>
  <r>
    <x v="739"/>
    <x v="16"/>
    <x v="7"/>
    <x v="2"/>
    <x v="3"/>
    <x v="0"/>
    <n v="125000"/>
    <n v="125000"/>
    <n v="240000"/>
    <s v="Tokyo"/>
    <x v="5"/>
    <s v="Fully Remote"/>
    <s v="Startup (1-50)"/>
    <x v="10"/>
    <s v="ROS|C++|Python|Simulation|Statistics|Git"/>
    <n v="15.8"/>
    <x v="15"/>
    <x v="225"/>
    <n v="6.5"/>
    <x v="0"/>
    <n v="2"/>
    <n v="0"/>
    <x v="1"/>
    <x v="1"/>
    <s v="Mid ($100-150k)"/>
  </r>
  <r>
    <x v="740"/>
    <x v="6"/>
    <x v="0"/>
    <x v="0"/>
    <x v="6"/>
    <x v="0"/>
    <n v="227000"/>
    <n v="180000"/>
    <n v="312000"/>
    <s v="Singapore"/>
    <x v="2"/>
    <s v="Hybrid"/>
    <s v="Startup (1-50)"/>
    <x v="9"/>
    <s v="Distributed Systems|Python|LLM Fine-tuning|MLOps|System Design|Statistics"/>
    <n v="14.9"/>
    <x v="0"/>
    <x v="61"/>
    <n v="9.8000000000000007"/>
    <x v="0"/>
    <n v="2"/>
    <n v="1"/>
    <x v="1"/>
    <x v="1"/>
    <s v="Senior ($200-300k)"/>
  </r>
  <r>
    <x v="741"/>
    <x v="20"/>
    <x v="0"/>
    <x v="1"/>
    <x v="6"/>
    <x v="1"/>
    <n v="224000"/>
    <n v="100000"/>
    <n v="250000"/>
    <s v="Toronto"/>
    <x v="7"/>
    <s v="Fully Remote"/>
    <s v="Enterprise (5000+)"/>
    <x v="10"/>
    <s v="LLM Integration|Docker|Python|PyTorch|Git|Communication|Research"/>
    <n v="11.9"/>
    <x v="9"/>
    <x v="394"/>
    <n v="6.8"/>
    <x v="1"/>
    <n v="8"/>
    <n v="1"/>
    <x v="1"/>
    <x v="1"/>
    <s v="Senior ($200-300k)"/>
  </r>
  <r>
    <x v="742"/>
    <x v="11"/>
    <x v="0"/>
    <x v="0"/>
    <x v="6"/>
    <x v="1"/>
    <n v="324000"/>
    <n v="141000"/>
    <n v="270000"/>
    <s v="San Francisco"/>
    <x v="0"/>
    <s v="Hybrid"/>
    <s v="Big Tech (FAANG+)"/>
    <x v="11"/>
    <s v="Neural Networks|Python|TensorFlow|PyTorch|GPU Computing|Git"/>
    <n v="8.4"/>
    <x v="10"/>
    <x v="24"/>
    <n v="7.8"/>
    <x v="0"/>
    <n v="3"/>
    <n v="1"/>
    <x v="1"/>
    <x v="1"/>
    <s v="Elite (&gt;$300k)"/>
  </r>
  <r>
    <x v="743"/>
    <x v="10"/>
    <x v="0"/>
    <x v="2"/>
    <x v="8"/>
    <x v="4"/>
    <n v="150000"/>
    <n v="150000"/>
    <n v="295000"/>
    <s v="Toronto"/>
    <x v="7"/>
    <s v="Hybrid"/>
    <s v="Startup (1-50)"/>
    <x v="6"/>
    <s v="Fine-tuning|Python|LLMs|Diffusion Models|GenAI APIs|Deployment|Agile|Cloud|Linux"/>
    <n v="12.1"/>
    <x v="9"/>
    <x v="172"/>
    <n v="8"/>
    <x v="1"/>
    <n v="5"/>
    <n v="0"/>
    <x v="1"/>
    <x v="0"/>
    <s v="Mid ($100-150k)"/>
  </r>
  <r>
    <x v="744"/>
    <x v="10"/>
    <x v="0"/>
    <x v="2"/>
    <x v="2"/>
    <x v="1"/>
    <n v="150000"/>
    <n v="150000"/>
    <n v="295000"/>
    <s v="Paris"/>
    <x v="10"/>
    <s v="On-site"/>
    <s v="Enterprise (5000+)"/>
    <x v="0"/>
    <s v="Deployment|Python|GenAI APIs|Fine-tuning|Problem Solving|Git|Statistics"/>
    <n v="10.6"/>
    <x v="9"/>
    <x v="291"/>
    <n v="9.4"/>
    <x v="1"/>
    <n v="4"/>
    <n v="0"/>
    <x v="0"/>
    <x v="0"/>
    <s v="Mid ($100-150k)"/>
  </r>
  <r>
    <x v="745"/>
    <x v="14"/>
    <x v="6"/>
    <x v="2"/>
    <x v="6"/>
    <x v="4"/>
    <n v="113000"/>
    <n v="95000"/>
    <n v="180000"/>
    <s v="Seattle"/>
    <x v="0"/>
    <s v="Hybrid"/>
    <s v="SME (51-500)"/>
    <x v="1"/>
    <s v="Communication|SQL|Business Analysis|Python|Data Visualization|Cloud"/>
    <n v="16.8"/>
    <x v="13"/>
    <x v="35"/>
    <n v="7.3"/>
    <x v="0"/>
    <n v="1"/>
    <n v="0"/>
    <x v="1"/>
    <x v="1"/>
    <s v="Mid ($100-150k)"/>
  </r>
  <r>
    <x v="746"/>
    <x v="6"/>
    <x v="0"/>
    <x v="2"/>
    <x v="4"/>
    <x v="1"/>
    <n v="279000"/>
    <n v="180000"/>
    <n v="312000"/>
    <s v="Boston"/>
    <x v="0"/>
    <s v="On-site"/>
    <s v="Big Tech (FAANG+)"/>
    <x v="9"/>
    <s v="System Design|MLOps|Python|PyTorch|LLM Fine-tuning|Distributed Systems|Statistics"/>
    <n v="17.2"/>
    <x v="0"/>
    <x v="395"/>
    <n v="6.4"/>
    <x v="0"/>
    <n v="2"/>
    <n v="0"/>
    <x v="0"/>
    <x v="1"/>
    <s v="Senior ($200-300k)"/>
  </r>
  <r>
    <x v="747"/>
    <x v="11"/>
    <x v="0"/>
    <x v="3"/>
    <x v="0"/>
    <x v="3"/>
    <n v="141000"/>
    <n v="141000"/>
    <n v="270000"/>
    <s v="Austin"/>
    <x v="0"/>
    <s v="Fully Remote"/>
    <s v="SME (51-500)"/>
    <x v="2"/>
    <s v="Neural Networks|GPU Computing|PyTorch|Python|Communication|Cloud"/>
    <n v="5"/>
    <x v="10"/>
    <x v="112"/>
    <n v="9.6999999999999993"/>
    <x v="0"/>
    <n v="3"/>
    <n v="0"/>
    <x v="1"/>
    <x v="1"/>
    <s v="Mid ($100-150k)"/>
  </r>
  <r>
    <x v="748"/>
    <x v="13"/>
    <x v="5"/>
    <x v="2"/>
    <x v="0"/>
    <x v="3"/>
    <n v="130000"/>
    <n v="130000"/>
    <n v="260000"/>
    <s v="Berlin"/>
    <x v="12"/>
    <s v="On-site"/>
    <s v="SME (51-500)"/>
    <x v="7"/>
    <s v="Python|Cloud|CI/CD|Kubernetes|Docker|MLflow|Linux|Problem Solving|Git"/>
    <n v="15.1"/>
    <x v="12"/>
    <x v="396"/>
    <n v="6.9"/>
    <x v="1"/>
    <n v="2"/>
    <n v="0"/>
    <x v="0"/>
    <x v="1"/>
    <s v="Mid ($100-150k)"/>
  </r>
  <r>
    <x v="749"/>
    <x v="12"/>
    <x v="0"/>
    <x v="3"/>
    <x v="0"/>
    <x v="4"/>
    <n v="210000"/>
    <n v="160000"/>
    <n v="300000"/>
    <s v="Sydney"/>
    <x v="11"/>
    <s v="Hybrid"/>
    <s v="SME (51-500)"/>
    <x v="0"/>
    <s v="Vision-Language Models|Python|PyTorch|Cloud"/>
    <n v="12.5"/>
    <x v="11"/>
    <x v="184"/>
    <n v="8.5"/>
    <x v="1"/>
    <n v="6"/>
    <n v="0"/>
    <x v="1"/>
    <x v="1"/>
    <s v="Senior ($200-300k)"/>
  </r>
  <r>
    <x v="750"/>
    <x v="4"/>
    <x v="2"/>
    <x v="0"/>
    <x v="10"/>
    <x v="3"/>
    <n v="196000"/>
    <n v="140000"/>
    <n v="260000"/>
    <s v="Amsterdam"/>
    <x v="9"/>
    <s v="Hybrid"/>
    <s v="Enterprise (5000+)"/>
    <x v="6"/>
    <s v="AI Literacy|Data Analysis|Agile|Stakeholder Mgmt|Product Strategy|Communication|Research|Leadership"/>
    <n v="10.5"/>
    <x v="4"/>
    <x v="169"/>
    <n v="6.6"/>
    <x v="0"/>
    <n v="1"/>
    <n v="1"/>
    <x v="1"/>
    <x v="1"/>
    <s v="Upper-Mid ($150-200k)"/>
  </r>
  <r>
    <x v="751"/>
    <x v="10"/>
    <x v="0"/>
    <x v="0"/>
    <x v="2"/>
    <x v="0"/>
    <n v="340000"/>
    <n v="150000"/>
    <n v="295000"/>
    <s v="Zurich"/>
    <x v="13"/>
    <s v="On-site"/>
    <s v="Big Tech (FAANG+)"/>
    <x v="10"/>
    <s v="Fine-tuning|Deployment|GenAI APIs|Diffusion Models|Research"/>
    <n v="12.5"/>
    <x v="9"/>
    <x v="397"/>
    <n v="6.9"/>
    <x v="1"/>
    <n v="5"/>
    <n v="1"/>
    <x v="0"/>
    <x v="0"/>
    <s v="Elite (&gt;$300k)"/>
  </r>
  <r>
    <x v="752"/>
    <x v="18"/>
    <x v="9"/>
    <x v="3"/>
    <x v="8"/>
    <x v="3"/>
    <n v="110000"/>
    <n v="110000"/>
    <n v="210000"/>
    <s v="Sydney"/>
    <x v="11"/>
    <s v="Hybrid"/>
    <s v="Mid-size (501-5000)"/>
    <x v="10"/>
    <s v="Risk Assessment|Communication|Research|Leadership"/>
    <n v="9.4"/>
    <x v="16"/>
    <x v="290"/>
    <n v="7.4"/>
    <x v="1"/>
    <n v="2"/>
    <n v="0"/>
    <x v="1"/>
    <x v="1"/>
    <s v="Mid ($100-150k)"/>
  </r>
  <r>
    <x v="753"/>
    <x v="22"/>
    <x v="0"/>
    <x v="1"/>
    <x v="2"/>
    <x v="1"/>
    <n v="215000"/>
    <n v="145000"/>
    <n v="280000"/>
    <s v="Dubai"/>
    <x v="8"/>
    <s v="Hybrid"/>
    <s v="Mid-size (501-5000)"/>
    <x v="7"/>
    <s v="PyTorch|CUDA|OpenCV|Image Processing|Problem Solving|Leadership|Linux"/>
    <n v="6.7"/>
    <x v="18"/>
    <x v="184"/>
    <n v="6.1"/>
    <x v="0"/>
    <n v="3"/>
    <n v="1"/>
    <x v="1"/>
    <x v="1"/>
    <s v="Senior ($200-300k)"/>
  </r>
  <r>
    <x v="754"/>
    <x v="1"/>
    <x v="0"/>
    <x v="2"/>
    <x v="5"/>
    <x v="3"/>
    <n v="90000"/>
    <n v="90000"/>
    <n v="200000"/>
    <s v="Bangalore"/>
    <x v="4"/>
    <s v="Hybrid"/>
    <s v="Mid-size (501-5000)"/>
    <x v="0"/>
    <s v="Documentation|NLP|Python|Testing|LLM APIs|Communication|Cloud|Statistics"/>
    <n v="7.4"/>
    <x v="1"/>
    <x v="398"/>
    <n v="7.2"/>
    <x v="0"/>
    <n v="2"/>
    <n v="0"/>
    <x v="1"/>
    <x v="0"/>
    <s v="Entry (&lt;$100k)"/>
  </r>
  <r>
    <x v="755"/>
    <x v="18"/>
    <x v="9"/>
    <x v="0"/>
    <x v="12"/>
    <x v="3"/>
    <n v="176000"/>
    <n v="110000"/>
    <n v="210000"/>
    <s v="London"/>
    <x v="1"/>
    <s v="Fully Remote"/>
    <s v="Big Tech (FAANG+)"/>
    <x v="3"/>
    <s v="AI Policy|Research|Ethics Frameworks|Communication"/>
    <n v="10"/>
    <x v="16"/>
    <x v="213"/>
    <n v="9.8000000000000007"/>
    <x v="1"/>
    <n v="11"/>
    <n v="1"/>
    <x v="1"/>
    <x v="1"/>
    <s v="Upper-Mid ($150-200k)"/>
  </r>
  <r>
    <x v="756"/>
    <x v="16"/>
    <x v="7"/>
    <x v="3"/>
    <x v="2"/>
    <x v="0"/>
    <n v="139000"/>
    <n v="125000"/>
    <n v="240000"/>
    <s v="Zurich"/>
    <x v="13"/>
    <s v="Hybrid"/>
    <s v="SME (51-500)"/>
    <x v="7"/>
    <s v="C++|ROS|Computer Vision|Agile"/>
    <n v="12.5"/>
    <x v="15"/>
    <x v="399"/>
    <n v="7.3"/>
    <x v="1"/>
    <n v="2"/>
    <n v="0"/>
    <x v="1"/>
    <x v="1"/>
    <s v="Mid ($100-150k)"/>
  </r>
  <r>
    <x v="757"/>
    <x v="6"/>
    <x v="0"/>
    <x v="3"/>
    <x v="9"/>
    <x v="1"/>
    <n v="231000"/>
    <n v="180000"/>
    <n v="312000"/>
    <s v="Berlin"/>
    <x v="12"/>
    <s v="Hybrid"/>
    <s v="Big Tech (FAANG+)"/>
    <x v="0"/>
    <s v="Distributed Systems|Python|MLOps|LLM Fine-tuning|Statistics|Git"/>
    <n v="10.3"/>
    <x v="0"/>
    <x v="102"/>
    <n v="6"/>
    <x v="0"/>
    <n v="2"/>
    <n v="0"/>
    <x v="1"/>
    <x v="1"/>
    <s v="Senior ($200-300k)"/>
  </r>
  <r>
    <x v="758"/>
    <x v="23"/>
    <x v="9"/>
    <x v="3"/>
    <x v="3"/>
    <x v="1"/>
    <n v="181000"/>
    <n v="100000"/>
    <n v="200000"/>
    <s v="Zurich"/>
    <x v="13"/>
    <s v="On-site"/>
    <s v="Big Tech (FAANG+)"/>
    <x v="2"/>
    <s v="Documentation|Risk Management|EU AI Act|Auditing|Legal Knowledge|SQL|Linux|Communication"/>
    <n v="10.9"/>
    <x v="19"/>
    <x v="352"/>
    <n v="7.7"/>
    <x v="0"/>
    <n v="1"/>
    <n v="0"/>
    <x v="0"/>
    <x v="1"/>
    <s v="Upper-Mid ($150-200k)"/>
  </r>
  <r>
    <x v="759"/>
    <x v="21"/>
    <x v="8"/>
    <x v="0"/>
    <x v="1"/>
    <x v="3"/>
    <n v="176000"/>
    <n v="138000"/>
    <n v="195000"/>
    <s v="Los Angeles"/>
    <x v="0"/>
    <s v="Hybrid"/>
    <s v="Mid-size (501-5000)"/>
    <x v="9"/>
    <s v="Scikit-learn|ML Algorithms|Python|Data Visualization|SQL|Leadership"/>
    <n v="9.3000000000000007"/>
    <x v="17"/>
    <x v="171"/>
    <n v="8.9"/>
    <x v="1"/>
    <n v="3"/>
    <n v="1"/>
    <x v="1"/>
    <x v="1"/>
    <s v="Upper-Mid ($150-200k)"/>
  </r>
  <r>
    <x v="760"/>
    <x v="1"/>
    <x v="0"/>
    <x v="3"/>
    <x v="4"/>
    <x v="0"/>
    <n v="161000"/>
    <n v="90000"/>
    <n v="200000"/>
    <s v="Boston"/>
    <x v="0"/>
    <s v="Hybrid"/>
    <s v="Enterprise (5000+)"/>
    <x v="5"/>
    <s v="NLP|LLM APIs|Testing|Documentation|Python|Problem Solving"/>
    <n v="4.8"/>
    <x v="1"/>
    <x v="400"/>
    <n v="8.8000000000000007"/>
    <x v="0"/>
    <n v="1"/>
    <n v="0"/>
    <x v="1"/>
    <x v="0"/>
    <s v="Upper-Mid ($150-200k)"/>
  </r>
  <r>
    <x v="761"/>
    <x v="11"/>
    <x v="0"/>
    <x v="1"/>
    <x v="2"/>
    <x v="2"/>
    <n v="206000"/>
    <n v="141000"/>
    <n v="270000"/>
    <s v="Sydney"/>
    <x v="11"/>
    <s v="Hybrid"/>
    <s v="Mid-size (501-5000)"/>
    <x v="0"/>
    <s v="CUDA|PyTorch|Python|Leadership"/>
    <n v="5.8"/>
    <x v="10"/>
    <x v="28"/>
    <n v="8.6999999999999993"/>
    <x v="0"/>
    <n v="1"/>
    <n v="1"/>
    <x v="1"/>
    <x v="1"/>
    <s v="Senior ($200-300k)"/>
  </r>
  <r>
    <x v="762"/>
    <x v="5"/>
    <x v="3"/>
    <x v="3"/>
    <x v="3"/>
    <x v="0"/>
    <n v="234000"/>
    <n v="140000"/>
    <n v="260000"/>
    <s v="Chicago"/>
    <x v="0"/>
    <s v="Hybrid"/>
    <s v="Big Tech (FAANG+)"/>
    <x v="6"/>
    <s v="Risk Analysis|Cybersecurity|Red Teaming|Python|ML Security|Leadership|Git|Agile"/>
    <n v="9.4"/>
    <x v="5"/>
    <x v="40"/>
    <n v="7.6"/>
    <x v="0"/>
    <n v="1"/>
    <n v="0"/>
    <x v="1"/>
    <x v="1"/>
    <s v="Senior ($200-300k)"/>
  </r>
  <r>
    <x v="763"/>
    <x v="17"/>
    <x v="8"/>
    <x v="3"/>
    <x v="11"/>
    <x v="2"/>
    <n v="157000"/>
    <n v="157000"/>
    <n v="218000"/>
    <s v="London"/>
    <x v="1"/>
    <s v="On-site"/>
    <s v="Startup (1-50)"/>
    <x v="4"/>
    <s v="Leadership|Causal Inference|ML|Agile"/>
    <n v="8.4"/>
    <x v="11"/>
    <x v="401"/>
    <n v="8.9"/>
    <x v="0"/>
    <n v="3"/>
    <n v="0"/>
    <x v="0"/>
    <x v="1"/>
    <s v="Upper-Mid ($150-200k)"/>
  </r>
  <r>
    <x v="764"/>
    <x v="20"/>
    <x v="0"/>
    <x v="3"/>
    <x v="0"/>
    <x v="2"/>
    <n v="135000"/>
    <n v="100000"/>
    <n v="250000"/>
    <s v="Seattle"/>
    <x v="0"/>
    <s v="On-site"/>
    <s v="Mid-size (501-5000)"/>
    <x v="8"/>
    <s v="PyTorch|Python|LLM Integration|Statistics|SQL|Leadership"/>
    <n v="11.5"/>
    <x v="9"/>
    <x v="2"/>
    <n v="6.4"/>
    <x v="0"/>
    <n v="3"/>
    <n v="0"/>
    <x v="0"/>
    <x v="1"/>
    <s v="Mid ($100-150k)"/>
  </r>
  <r>
    <x v="765"/>
    <x v="13"/>
    <x v="5"/>
    <x v="3"/>
    <x v="2"/>
    <x v="1"/>
    <n v="135000"/>
    <n v="130000"/>
    <n v="260000"/>
    <s v="Paris"/>
    <x v="10"/>
    <s v="Hybrid"/>
    <s v="Mid-size (501-5000)"/>
    <x v="6"/>
    <s v="Monitoring|MLflow|Cloud|CI/CD|Kubernetes|Docker|Python|Linux"/>
    <n v="15.9"/>
    <x v="12"/>
    <x v="402"/>
    <n v="7.8"/>
    <x v="0"/>
    <n v="2"/>
    <n v="0"/>
    <x v="1"/>
    <x v="1"/>
    <s v="Mid ($100-150k)"/>
  </r>
  <r>
    <x v="766"/>
    <x v="20"/>
    <x v="0"/>
    <x v="2"/>
    <x v="3"/>
    <x v="1"/>
    <n v="194000"/>
    <n v="100000"/>
    <n v="250000"/>
    <s v="New York"/>
    <x v="0"/>
    <s v="Hybrid"/>
    <s v="Big Tech (FAANG+)"/>
    <x v="3"/>
    <s v="Cloud (AWS/GCP/Azure)|Docker|Python|LLM Integration|Leadership|Agile|Linux"/>
    <n v="9.1999999999999993"/>
    <x v="9"/>
    <x v="403"/>
    <n v="9"/>
    <x v="0"/>
    <n v="2"/>
    <n v="0"/>
    <x v="1"/>
    <x v="1"/>
    <s v="Upper-Mid ($150-200k)"/>
  </r>
  <r>
    <x v="767"/>
    <x v="3"/>
    <x v="1"/>
    <x v="0"/>
    <x v="4"/>
    <x v="0"/>
    <n v="263000"/>
    <n v="130000"/>
    <n v="220000"/>
    <s v="New York"/>
    <x v="0"/>
    <s v="On-site"/>
    <s v="Mid-size (501-5000)"/>
    <x v="2"/>
    <s v="dbt|Feature Stores|Python|Research|SQL|Cloud"/>
    <n v="14"/>
    <x v="3"/>
    <x v="172"/>
    <n v="7.7"/>
    <x v="1"/>
    <n v="1"/>
    <n v="1"/>
    <x v="0"/>
    <x v="1"/>
    <s v="Senior ($200-300k)"/>
  </r>
  <r>
    <x v="768"/>
    <x v="23"/>
    <x v="9"/>
    <x v="3"/>
    <x v="0"/>
    <x v="0"/>
    <n v="100000"/>
    <n v="100000"/>
    <n v="200000"/>
    <s v="Beijing"/>
    <x v="6"/>
    <s v="Hybrid"/>
    <s v="Big Tech (FAANG+)"/>
    <x v="6"/>
    <s v="EU AI Act|Legal Knowledge|Risk Management|Git|Leadership|SQL"/>
    <n v="10.6"/>
    <x v="19"/>
    <x v="46"/>
    <n v="6.7"/>
    <x v="0"/>
    <n v="2"/>
    <n v="0"/>
    <x v="1"/>
    <x v="1"/>
    <s v="Entry (&lt;$100k)"/>
  </r>
  <r>
    <x v="769"/>
    <x v="7"/>
    <x v="0"/>
    <x v="1"/>
    <x v="2"/>
    <x v="0"/>
    <n v="259000"/>
    <n v="145000"/>
    <n v="290000"/>
    <s v="Dubai"/>
    <x v="8"/>
    <s v="Hybrid"/>
    <s v="SME (51-500)"/>
    <x v="10"/>
    <s v="BERT|Transformers|Hugging Face|Text Processing|Python|LLMs|Cloud|Agile|Linux"/>
    <n v="7.7"/>
    <x v="6"/>
    <x v="113"/>
    <n v="7.5"/>
    <x v="1"/>
    <n v="4"/>
    <n v="1"/>
    <x v="1"/>
    <x v="1"/>
    <s v="Senior ($200-300k)"/>
  </r>
  <r>
    <x v="770"/>
    <x v="1"/>
    <x v="0"/>
    <x v="1"/>
    <x v="3"/>
    <x v="0"/>
    <n v="208000"/>
    <n v="90000"/>
    <n v="200000"/>
    <s v="Austin"/>
    <x v="0"/>
    <s v="Fully Remote"/>
    <s v="Mid-size (501-5000)"/>
    <x v="4"/>
    <s v="NLP|Prompt Design|Documentation|Cloud|Linux"/>
    <n v="5.6"/>
    <x v="1"/>
    <x v="245"/>
    <n v="9.3000000000000007"/>
    <x v="1"/>
    <n v="4"/>
    <n v="1"/>
    <x v="1"/>
    <x v="0"/>
    <s v="Senior ($200-300k)"/>
  </r>
  <r>
    <x v="771"/>
    <x v="10"/>
    <x v="0"/>
    <x v="3"/>
    <x v="6"/>
    <x v="4"/>
    <n v="193000"/>
    <n v="150000"/>
    <n v="295000"/>
    <s v="Singapore"/>
    <x v="2"/>
    <s v="Fully Remote"/>
    <s v="Mid-size (501-5000)"/>
    <x v="6"/>
    <s v="Deployment|Python|Diffusion Models|Agile|Cloud"/>
    <n v="13.1"/>
    <x v="9"/>
    <x v="404"/>
    <n v="8"/>
    <x v="0"/>
    <n v="1"/>
    <n v="0"/>
    <x v="1"/>
    <x v="0"/>
    <s v="Upper-Mid ($150-200k)"/>
  </r>
  <r>
    <x v="772"/>
    <x v="23"/>
    <x v="9"/>
    <x v="0"/>
    <x v="4"/>
    <x v="0"/>
    <n v="135000"/>
    <n v="100000"/>
    <n v="200000"/>
    <s v="London"/>
    <x v="1"/>
    <s v="Hybrid"/>
    <s v="Startup (1-50)"/>
    <x v="7"/>
    <s v="Documentation|Risk Management|Legal Knowledge|EU AI Act|Statistics|SQL|Agile"/>
    <n v="17.899999999999999"/>
    <x v="19"/>
    <x v="245"/>
    <n v="6.8"/>
    <x v="1"/>
    <n v="6"/>
    <n v="1"/>
    <x v="1"/>
    <x v="1"/>
    <s v="Mid ($100-150k)"/>
  </r>
  <r>
    <x v="773"/>
    <x v="11"/>
    <x v="0"/>
    <x v="0"/>
    <x v="8"/>
    <x v="1"/>
    <n v="195000"/>
    <n v="141000"/>
    <n v="270000"/>
    <s v="Dubai"/>
    <x v="8"/>
    <s v="Fully Remote"/>
    <s v="Mid-size (501-5000)"/>
    <x v="8"/>
    <s v="Python|CUDA|GPU Computing|TensorFlow|Research|Leadership|Problem Solving"/>
    <n v="3.9"/>
    <x v="10"/>
    <x v="405"/>
    <n v="9.6999999999999993"/>
    <x v="1"/>
    <n v="2"/>
    <n v="1"/>
    <x v="1"/>
    <x v="1"/>
    <s v="Upper-Mid ($150-200k)"/>
  </r>
  <r>
    <x v="774"/>
    <x v="0"/>
    <x v="0"/>
    <x v="3"/>
    <x v="2"/>
    <x v="0"/>
    <n v="257000"/>
    <n v="155000"/>
    <n v="290000"/>
    <s v="Los Angeles"/>
    <x v="0"/>
    <s v="Fully Remote"/>
    <s v="Enterprise (5000+)"/>
    <x v="11"/>
    <s v="Python|Tool Use|APIs|AutoGen|Git"/>
    <n v="13"/>
    <x v="0"/>
    <x v="406"/>
    <n v="9.8000000000000007"/>
    <x v="1"/>
    <n v="9"/>
    <n v="0"/>
    <x v="1"/>
    <x v="0"/>
    <s v="Senior ($200-300k)"/>
  </r>
  <r>
    <x v="775"/>
    <x v="1"/>
    <x v="0"/>
    <x v="2"/>
    <x v="1"/>
    <x v="1"/>
    <n v="120000"/>
    <n v="90000"/>
    <n v="200000"/>
    <s v="Tokyo"/>
    <x v="5"/>
    <s v="On-site"/>
    <s v="Big Tech (FAANG+)"/>
    <x v="10"/>
    <s v="Prompt Design|Testing|Documentation|Cloud|Git"/>
    <n v="7.2"/>
    <x v="1"/>
    <x v="223"/>
    <n v="6.9"/>
    <x v="1"/>
    <n v="8"/>
    <n v="0"/>
    <x v="0"/>
    <x v="0"/>
    <s v="Mid ($100-150k)"/>
  </r>
  <r>
    <x v="776"/>
    <x v="0"/>
    <x v="0"/>
    <x v="0"/>
    <x v="0"/>
    <x v="2"/>
    <n v="212000"/>
    <n v="155000"/>
    <n v="290000"/>
    <s v="Remote"/>
    <x v="3"/>
    <s v="Hybrid"/>
    <s v="Mid-size (501-5000)"/>
    <x v="0"/>
    <s v="Python|Planning Systems|LangChain|Tool Use|AutoGen|APIs|SQL"/>
    <n v="8.6999999999999993"/>
    <x v="0"/>
    <x v="367"/>
    <n v="8"/>
    <x v="0"/>
    <n v="2"/>
    <n v="1"/>
    <x v="1"/>
    <x v="0"/>
    <s v="Senior ($200-300k)"/>
  </r>
  <r>
    <x v="777"/>
    <x v="21"/>
    <x v="8"/>
    <x v="3"/>
    <x v="4"/>
    <x v="0"/>
    <n v="138000"/>
    <n v="138000"/>
    <n v="195000"/>
    <s v="Tokyo"/>
    <x v="5"/>
    <s v="Hybrid"/>
    <s v="Mid-size (501-5000)"/>
    <x v="2"/>
    <s v="Python|Data Visualization|Statistics|Scikit-learn|ML Algorithms|Linux"/>
    <n v="6.5"/>
    <x v="17"/>
    <x v="172"/>
    <n v="7.7"/>
    <x v="1"/>
    <n v="7"/>
    <n v="0"/>
    <x v="1"/>
    <x v="1"/>
    <s v="Mid ($100-150k)"/>
  </r>
  <r>
    <x v="778"/>
    <x v="6"/>
    <x v="0"/>
    <x v="2"/>
    <x v="11"/>
    <x v="4"/>
    <n v="212000"/>
    <n v="180000"/>
    <n v="312000"/>
    <s v="Seattle"/>
    <x v="0"/>
    <s v="Hybrid"/>
    <s v="Mid-size (501-5000)"/>
    <x v="3"/>
    <s v="System Design|Python|Distributed Systems|Research"/>
    <n v="17.7"/>
    <x v="0"/>
    <x v="407"/>
    <n v="8"/>
    <x v="1"/>
    <n v="12"/>
    <n v="0"/>
    <x v="1"/>
    <x v="1"/>
    <s v="Senior ($200-300k)"/>
  </r>
  <r>
    <x v="779"/>
    <x v="17"/>
    <x v="8"/>
    <x v="2"/>
    <x v="4"/>
    <x v="0"/>
    <n v="157000"/>
    <n v="157000"/>
    <n v="218000"/>
    <s v="Amsterdam"/>
    <x v="9"/>
    <s v="On-site"/>
    <s v="Startup (1-50)"/>
    <x v="3"/>
    <s v="Causal Inference|ML|Deep Learning|Leadership|SQL"/>
    <n v="6.2"/>
    <x v="11"/>
    <x v="254"/>
    <n v="8.8000000000000007"/>
    <x v="1"/>
    <n v="3"/>
    <n v="0"/>
    <x v="0"/>
    <x v="1"/>
    <s v="Upper-Mid ($150-200k)"/>
  </r>
  <r>
    <x v="780"/>
    <x v="23"/>
    <x v="9"/>
    <x v="0"/>
    <x v="9"/>
    <x v="4"/>
    <n v="201000"/>
    <n v="100000"/>
    <n v="200000"/>
    <s v="Los Angeles"/>
    <x v="0"/>
    <s v="On-site"/>
    <s v="Mid-size (501-5000)"/>
    <x v="11"/>
    <s v="Auditing|Risk Management|Legal Knowledge|EU AI Act|Documentation|Research|Cloud|Linux"/>
    <n v="13.2"/>
    <x v="19"/>
    <x v="1"/>
    <n v="8.8000000000000007"/>
    <x v="1"/>
    <n v="4"/>
    <n v="1"/>
    <x v="0"/>
    <x v="1"/>
    <s v="Senior ($200-300k)"/>
  </r>
  <r>
    <x v="781"/>
    <x v="13"/>
    <x v="5"/>
    <x v="1"/>
    <x v="2"/>
    <x v="0"/>
    <n v="183000"/>
    <n v="130000"/>
    <n v="260000"/>
    <s v="Tokyo"/>
    <x v="5"/>
    <s v="Hybrid"/>
    <s v="Startup (1-50)"/>
    <x v="7"/>
    <s v="Cloud|Monitoring|MLflow|Kubernetes|CI/CD|Python|Communication"/>
    <n v="15.2"/>
    <x v="12"/>
    <x v="309"/>
    <n v="8.5"/>
    <x v="0"/>
    <n v="3"/>
    <n v="1"/>
    <x v="1"/>
    <x v="1"/>
    <s v="Upper-Mid ($150-200k)"/>
  </r>
  <r>
    <x v="782"/>
    <x v="20"/>
    <x v="0"/>
    <x v="0"/>
    <x v="1"/>
    <x v="2"/>
    <n v="100000"/>
    <n v="100000"/>
    <n v="250000"/>
    <s v="Beijing"/>
    <x v="6"/>
    <s v="Fully Remote"/>
    <s v="Startup (1-50)"/>
    <x v="3"/>
    <s v="Cloud (AWS/GCP/Azure)|LLM Integration|Python|PyTorch|Problem Solving|Linux"/>
    <n v="15.1"/>
    <x v="9"/>
    <x v="408"/>
    <n v="8.4"/>
    <x v="0"/>
    <n v="3"/>
    <n v="1"/>
    <x v="1"/>
    <x v="1"/>
    <s v="Entry (&lt;$100k)"/>
  </r>
  <r>
    <x v="783"/>
    <x v="2"/>
    <x v="0"/>
    <x v="1"/>
    <x v="2"/>
    <x v="1"/>
    <n v="360000"/>
    <n v="160000"/>
    <n v="300000"/>
    <s v="Paris"/>
    <x v="10"/>
    <s v="On-site"/>
    <s v="Big Tech (FAANG+)"/>
    <x v="11"/>
    <s v="Prompt Engineering|Fine-tuning|RAG|Vector DBs|Communication|Linux|Statistics"/>
    <n v="3.1"/>
    <x v="2"/>
    <x v="409"/>
    <n v="7.2"/>
    <x v="0"/>
    <n v="1"/>
    <n v="1"/>
    <x v="0"/>
    <x v="0"/>
    <s v="Elite (&gt;$300k)"/>
  </r>
  <r>
    <x v="784"/>
    <x v="24"/>
    <x v="11"/>
    <x v="3"/>
    <x v="8"/>
    <x v="0"/>
    <n v="163000"/>
    <n v="115000"/>
    <n v="280000"/>
    <s v="Los Angeles"/>
    <x v="0"/>
    <s v="On-site"/>
    <s v="Startup (1-50)"/>
    <x v="7"/>
    <s v="Deep Learning|Mathematics|Python|PyTorch|Publishing|Research|Cloud"/>
    <n v="15.6"/>
    <x v="3"/>
    <x v="228"/>
    <n v="6.1"/>
    <x v="0"/>
    <n v="3"/>
    <n v="0"/>
    <x v="0"/>
    <x v="1"/>
    <s v="Upper-Mid ($150-200k)"/>
  </r>
  <r>
    <x v="785"/>
    <x v="11"/>
    <x v="0"/>
    <x v="3"/>
    <x v="6"/>
    <x v="2"/>
    <n v="174000"/>
    <n v="141000"/>
    <n v="270000"/>
    <s v="Paris"/>
    <x v="10"/>
    <s v="Fully Remote"/>
    <s v="Big Tech (FAANG+)"/>
    <x v="3"/>
    <s v="CUDA|PyTorch|GPU Computing|TensorFlow|Python|SQL|Statistics"/>
    <n v="3.8"/>
    <x v="10"/>
    <x v="410"/>
    <n v="8.6"/>
    <x v="0"/>
    <n v="2"/>
    <n v="0"/>
    <x v="1"/>
    <x v="1"/>
    <s v="Upper-Mid ($150-200k)"/>
  </r>
  <r>
    <x v="786"/>
    <x v="20"/>
    <x v="0"/>
    <x v="1"/>
    <x v="8"/>
    <x v="2"/>
    <n v="159000"/>
    <n v="100000"/>
    <n v="250000"/>
    <s v="Tokyo"/>
    <x v="5"/>
    <s v="Hybrid"/>
    <s v="SME (51-500)"/>
    <x v="3"/>
    <s v="LLM Integration|PyTorch|Cloud (AWS/GCP/Azure)|Docker|Python|Cloud|Problem Solving|Statistics"/>
    <n v="17.2"/>
    <x v="9"/>
    <x v="411"/>
    <n v="8.1"/>
    <x v="0"/>
    <n v="1"/>
    <n v="1"/>
    <x v="1"/>
    <x v="1"/>
    <s v="Upper-Mid ($150-200k)"/>
  </r>
  <r>
    <x v="787"/>
    <x v="12"/>
    <x v="0"/>
    <x v="0"/>
    <x v="9"/>
    <x v="2"/>
    <n v="214000"/>
    <n v="160000"/>
    <n v="300000"/>
    <s v="Austin"/>
    <x v="0"/>
    <s v="Hybrid"/>
    <s v="SME (51-500)"/>
    <x v="2"/>
    <s v="PyTorch|Vision-Language Models|APIs|Leadership|Linux"/>
    <n v="15.7"/>
    <x v="11"/>
    <x v="368"/>
    <n v="7"/>
    <x v="0"/>
    <n v="1"/>
    <n v="1"/>
    <x v="1"/>
    <x v="1"/>
    <s v="Senior ($200-300k)"/>
  </r>
  <r>
    <x v="788"/>
    <x v="24"/>
    <x v="11"/>
    <x v="2"/>
    <x v="12"/>
    <x v="1"/>
    <n v="130000"/>
    <n v="115000"/>
    <n v="280000"/>
    <s v="Remote"/>
    <x v="3"/>
    <s v="On-site"/>
    <s v="SME (51-500)"/>
    <x v="0"/>
    <s v="Mathematics|Deep Learning|Publishing|Python|Research|PyTorch|Leadership|Communication"/>
    <n v="9.9"/>
    <x v="3"/>
    <x v="313"/>
    <n v="9.1"/>
    <x v="0"/>
    <n v="1"/>
    <n v="0"/>
    <x v="0"/>
    <x v="1"/>
    <s v="Mid ($100-150k)"/>
  </r>
  <r>
    <x v="789"/>
    <x v="9"/>
    <x v="0"/>
    <x v="2"/>
    <x v="2"/>
    <x v="2"/>
    <n v="157000"/>
    <n v="120000"/>
    <n v="280000"/>
    <s v="Seattle"/>
    <x v="0"/>
    <s v="Fully Remote"/>
    <s v="Enterprise (5000+)"/>
    <x v="3"/>
    <s v="SQL|Kubernetes|Python|TensorFlow|PyTorch|Research"/>
    <n v="16.600000000000001"/>
    <x v="8"/>
    <x v="412"/>
    <n v="9.3000000000000007"/>
    <x v="0"/>
    <n v="3"/>
    <n v="0"/>
    <x v="1"/>
    <x v="1"/>
    <s v="Upper-Mid ($150-200k)"/>
  </r>
  <r>
    <x v="790"/>
    <x v="1"/>
    <x v="0"/>
    <x v="0"/>
    <x v="3"/>
    <x v="0"/>
    <n v="166000"/>
    <n v="90000"/>
    <n v="200000"/>
    <s v="Austin"/>
    <x v="0"/>
    <s v="Fully Remote"/>
    <s v="Startup (1-50)"/>
    <x v="1"/>
    <s v="NLP|Documentation|Testing|Agile|Cloud|Linux"/>
    <n v="6.1"/>
    <x v="1"/>
    <x v="191"/>
    <n v="7.5"/>
    <x v="0"/>
    <n v="3"/>
    <n v="1"/>
    <x v="1"/>
    <x v="0"/>
    <s v="Upper-Mid ($150-200k)"/>
  </r>
  <r>
    <x v="791"/>
    <x v="17"/>
    <x v="8"/>
    <x v="0"/>
    <x v="8"/>
    <x v="1"/>
    <n v="157000"/>
    <n v="157000"/>
    <n v="218000"/>
    <s v="Beijing"/>
    <x v="6"/>
    <s v="Hybrid"/>
    <s v="SME (51-500)"/>
    <x v="10"/>
    <s v="Leadership|ML|Deep Learning|Python|Causal Inference|Advanced Statistics|SQL|Cloud"/>
    <n v="4.8"/>
    <x v="11"/>
    <x v="228"/>
    <n v="6.8"/>
    <x v="0"/>
    <n v="1"/>
    <n v="1"/>
    <x v="1"/>
    <x v="1"/>
    <s v="Upper-Mid ($150-200k)"/>
  </r>
  <r>
    <x v="792"/>
    <x v="17"/>
    <x v="8"/>
    <x v="3"/>
    <x v="11"/>
    <x v="0"/>
    <n v="157000"/>
    <n v="157000"/>
    <n v="218000"/>
    <s v="Toronto"/>
    <x v="7"/>
    <s v="Hybrid"/>
    <s v="Mid-size (501-5000)"/>
    <x v="9"/>
    <s v="ML|Deep Learning|Python|SQL|Communication"/>
    <n v="3.6"/>
    <x v="11"/>
    <x v="117"/>
    <n v="7.4"/>
    <x v="1"/>
    <n v="7"/>
    <n v="0"/>
    <x v="1"/>
    <x v="1"/>
    <s v="Upper-Mid ($150-200k)"/>
  </r>
  <r>
    <x v="793"/>
    <x v="7"/>
    <x v="0"/>
    <x v="3"/>
    <x v="6"/>
    <x v="3"/>
    <n v="153000"/>
    <n v="145000"/>
    <n v="290000"/>
    <s v="Dubai"/>
    <x v="8"/>
    <s v="Fully Remote"/>
    <s v="Mid-size (501-5000)"/>
    <x v="8"/>
    <s v="Python|Transformers|Hugging Face|LLMs|Text Processing|BERT|Agile|SQL"/>
    <n v="9.1"/>
    <x v="6"/>
    <x v="413"/>
    <n v="6.5"/>
    <x v="1"/>
    <n v="9"/>
    <n v="0"/>
    <x v="1"/>
    <x v="1"/>
    <s v="Upper-Mid ($150-200k)"/>
  </r>
  <r>
    <x v="794"/>
    <x v="9"/>
    <x v="0"/>
    <x v="0"/>
    <x v="8"/>
    <x v="4"/>
    <n v="336000"/>
    <n v="120000"/>
    <n v="280000"/>
    <s v="Boston"/>
    <x v="0"/>
    <s v="Fully Remote"/>
    <s v="Enterprise (5000+)"/>
    <x v="8"/>
    <s v="PyTorch|TensorFlow|Python|SQL|Kubernetes|MLOps|Research"/>
    <n v="14.7"/>
    <x v="8"/>
    <x v="68"/>
    <n v="6.7"/>
    <x v="1"/>
    <n v="3"/>
    <n v="1"/>
    <x v="1"/>
    <x v="1"/>
    <s v="Elite (&gt;$300k)"/>
  </r>
  <r>
    <x v="795"/>
    <x v="0"/>
    <x v="0"/>
    <x v="3"/>
    <x v="2"/>
    <x v="1"/>
    <n v="258000"/>
    <n v="155000"/>
    <n v="290000"/>
    <s v="Seattle"/>
    <x v="0"/>
    <s v="Fully Remote"/>
    <s v="Enterprise (5000+)"/>
    <x v="2"/>
    <s v="LangChain|Planning Systems|AutoGen|Tool Use|APIs|Python|Cloud"/>
    <n v="13.4"/>
    <x v="0"/>
    <x v="414"/>
    <n v="9.1999999999999993"/>
    <x v="1"/>
    <n v="11"/>
    <n v="0"/>
    <x v="1"/>
    <x v="0"/>
    <s v="Senior ($200-300k)"/>
  </r>
  <r>
    <x v="796"/>
    <x v="4"/>
    <x v="2"/>
    <x v="0"/>
    <x v="0"/>
    <x v="0"/>
    <n v="174000"/>
    <n v="140000"/>
    <n v="260000"/>
    <s v="Amsterdam"/>
    <x v="9"/>
    <s v="On-site"/>
    <s v="Startup (1-50)"/>
    <x v="8"/>
    <s v="Product Strategy|Agile|Stakeholder Mgmt|AI Literacy|Data Analysis|Git|Research|Leadership"/>
    <n v="16.600000000000001"/>
    <x v="4"/>
    <x v="384"/>
    <n v="9.4"/>
    <x v="0"/>
    <n v="1"/>
    <n v="1"/>
    <x v="0"/>
    <x v="1"/>
    <s v="Upper-Mid ($150-200k)"/>
  </r>
  <r>
    <x v="797"/>
    <x v="20"/>
    <x v="0"/>
    <x v="1"/>
    <x v="0"/>
    <x v="2"/>
    <n v="142000"/>
    <n v="100000"/>
    <n v="250000"/>
    <s v="Singapore"/>
    <x v="2"/>
    <s v="Fully Remote"/>
    <s v="Startup (1-50)"/>
    <x v="0"/>
    <s v="LLM Integration|Docker|Cloud (AWS/GCP/Azure)|Statistics|Linux"/>
    <n v="14.8"/>
    <x v="9"/>
    <x v="149"/>
    <n v="6.1"/>
    <x v="1"/>
    <n v="8"/>
    <n v="1"/>
    <x v="1"/>
    <x v="1"/>
    <s v="Mid ($100-150k)"/>
  </r>
  <r>
    <x v="798"/>
    <x v="21"/>
    <x v="8"/>
    <x v="3"/>
    <x v="6"/>
    <x v="1"/>
    <n v="138000"/>
    <n v="138000"/>
    <n v="195000"/>
    <s v="Berlin"/>
    <x v="12"/>
    <s v="Hybrid"/>
    <s v="Enterprise (5000+)"/>
    <x v="10"/>
    <s v="Python|Data Visualization|Statistics|Scikit-learn|Cloud|Research|SQL"/>
    <n v="8.4"/>
    <x v="17"/>
    <x v="415"/>
    <n v="7.6"/>
    <x v="0"/>
    <n v="2"/>
    <n v="0"/>
    <x v="1"/>
    <x v="1"/>
    <s v="Mid ($100-150k)"/>
  </r>
  <r>
    <x v="799"/>
    <x v="16"/>
    <x v="7"/>
    <x v="3"/>
    <x v="3"/>
    <x v="1"/>
    <n v="212000"/>
    <n v="125000"/>
    <n v="240000"/>
    <s v="San Francisco"/>
    <x v="0"/>
    <s v="On-site"/>
    <s v="SME (51-500)"/>
    <x v="7"/>
    <s v="Simulation|Control Systems|Computer Vision|C++|Agile|Leadership|Problem Solving"/>
    <n v="16.8"/>
    <x v="15"/>
    <x v="74"/>
    <n v="8.8000000000000007"/>
    <x v="0"/>
    <n v="3"/>
    <n v="0"/>
    <x v="0"/>
    <x v="1"/>
    <s v="Senior ($200-300k)"/>
  </r>
  <r>
    <x v="800"/>
    <x v="6"/>
    <x v="0"/>
    <x v="0"/>
    <x v="12"/>
    <x v="3"/>
    <n v="307000"/>
    <n v="180000"/>
    <n v="312000"/>
    <s v="Seattle"/>
    <x v="0"/>
    <s v="Hybrid"/>
    <s v="Mid-size (501-5000)"/>
    <x v="10"/>
    <s v="Distributed Systems|MLOps|Python|Linux|Communication"/>
    <n v="11.9"/>
    <x v="0"/>
    <x v="228"/>
    <n v="8.9"/>
    <x v="0"/>
    <n v="1"/>
    <n v="1"/>
    <x v="1"/>
    <x v="1"/>
    <s v="Elite (&gt;$300k)"/>
  </r>
  <r>
    <x v="801"/>
    <x v="15"/>
    <x v="0"/>
    <x v="1"/>
    <x v="1"/>
    <x v="1"/>
    <n v="310000"/>
    <n v="145000"/>
    <n v="280000"/>
    <s v="Zurich"/>
    <x v="13"/>
    <s v="Hybrid"/>
    <s v="Mid-size (501-5000)"/>
    <x v="4"/>
    <s v="Embeddings|Search Systems|LangChain|Vector DBs|Python|LLMs|Research|Linux|Leadership"/>
    <n v="4.4000000000000004"/>
    <x v="14"/>
    <x v="159"/>
    <n v="6.1"/>
    <x v="0"/>
    <n v="2"/>
    <n v="1"/>
    <x v="1"/>
    <x v="0"/>
    <s v="Elite (&gt;$300k)"/>
  </r>
  <r>
    <x v="802"/>
    <x v="12"/>
    <x v="0"/>
    <x v="1"/>
    <x v="9"/>
    <x v="0"/>
    <n v="269000"/>
    <n v="160000"/>
    <n v="300000"/>
    <s v="Dubai"/>
    <x v="8"/>
    <s v="Hybrid"/>
    <s v="Startup (1-50)"/>
    <x v="3"/>
    <s v="PyTorch|Python|Fine-tuning|SQL|Statistics"/>
    <n v="14.2"/>
    <x v="11"/>
    <x v="175"/>
    <n v="8.1999999999999993"/>
    <x v="1"/>
    <n v="2"/>
    <n v="1"/>
    <x v="1"/>
    <x v="1"/>
    <s v="Senior ($200-300k)"/>
  </r>
  <r>
    <x v="803"/>
    <x v="24"/>
    <x v="11"/>
    <x v="3"/>
    <x v="6"/>
    <x v="4"/>
    <n v="224000"/>
    <n v="115000"/>
    <n v="280000"/>
    <s v="Berlin"/>
    <x v="12"/>
    <s v="Fully Remote"/>
    <s v="Big Tech (FAANG+)"/>
    <x v="4"/>
    <s v="PyTorch|Mathematics|Deep Learning|Publishing|Research|Linux"/>
    <n v="14.1"/>
    <x v="3"/>
    <x v="104"/>
    <n v="6.9"/>
    <x v="0"/>
    <n v="3"/>
    <n v="0"/>
    <x v="1"/>
    <x v="1"/>
    <s v="Senior ($200-300k)"/>
  </r>
  <r>
    <x v="804"/>
    <x v="16"/>
    <x v="7"/>
    <x v="1"/>
    <x v="8"/>
    <x v="0"/>
    <n v="125000"/>
    <n v="125000"/>
    <n v="240000"/>
    <s v="Bangalore"/>
    <x v="4"/>
    <s v="Hybrid"/>
    <s v="Mid-size (501-5000)"/>
    <x v="9"/>
    <s v="C++|Computer Vision|Python|Git|Statistics"/>
    <n v="11.4"/>
    <x v="15"/>
    <x v="219"/>
    <n v="7.8"/>
    <x v="0"/>
    <n v="2"/>
    <n v="1"/>
    <x v="1"/>
    <x v="1"/>
    <s v="Mid ($100-150k)"/>
  </r>
  <r>
    <x v="805"/>
    <x v="2"/>
    <x v="0"/>
    <x v="3"/>
    <x v="3"/>
    <x v="3"/>
    <n v="278000"/>
    <n v="160000"/>
    <n v="300000"/>
    <s v="Chicago"/>
    <x v="0"/>
    <s v="Hybrid"/>
    <s v="Big Tech (FAANG+)"/>
    <x v="0"/>
    <s v="Fine-tuning|Prompt Engineering|Vector DBs|Python|Leadership"/>
    <n v="5.7"/>
    <x v="2"/>
    <x v="416"/>
    <n v="9.6"/>
    <x v="0"/>
    <n v="2"/>
    <n v="0"/>
    <x v="1"/>
    <x v="0"/>
    <s v="Senior ($200-300k)"/>
  </r>
  <r>
    <x v="806"/>
    <x v="2"/>
    <x v="0"/>
    <x v="2"/>
    <x v="4"/>
    <x v="2"/>
    <n v="160000"/>
    <n v="160000"/>
    <n v="300000"/>
    <s v="Tokyo"/>
    <x v="5"/>
    <s v="Fully Remote"/>
    <s v="Mid-size (501-5000)"/>
    <x v="0"/>
    <s v="Fine-tuning|LLM APIs|Python|RAG|Prompt Engineering|Problem Solving|Git|Leadership"/>
    <n v="7.2"/>
    <x v="2"/>
    <x v="369"/>
    <n v="6.8"/>
    <x v="0"/>
    <n v="2"/>
    <n v="0"/>
    <x v="1"/>
    <x v="0"/>
    <s v="Upper-Mid ($150-200k)"/>
  </r>
  <r>
    <x v="807"/>
    <x v="14"/>
    <x v="6"/>
    <x v="2"/>
    <x v="3"/>
    <x v="1"/>
    <n v="95000"/>
    <n v="95000"/>
    <n v="180000"/>
    <s v="London"/>
    <x v="1"/>
    <s v="On-site"/>
    <s v="Mid-size (501-5000)"/>
    <x v="4"/>
    <s v="Business Analysis|SQL|Python|Communication|Git|Statistics"/>
    <n v="10.199999999999999"/>
    <x v="13"/>
    <x v="131"/>
    <n v="8.4"/>
    <x v="1"/>
    <n v="7"/>
    <n v="0"/>
    <x v="0"/>
    <x v="1"/>
    <s v="Entry (&lt;$100k)"/>
  </r>
  <r>
    <x v="808"/>
    <x v="18"/>
    <x v="9"/>
    <x v="3"/>
    <x v="9"/>
    <x v="3"/>
    <n v="110000"/>
    <n v="110000"/>
    <n v="210000"/>
    <s v="Dubai"/>
    <x v="8"/>
    <s v="Fully Remote"/>
    <s v="Startup (1-50)"/>
    <x v="1"/>
    <s v="AI Policy|Ethics Frameworks|Research|Git|Agile|Problem Solving"/>
    <n v="9.8000000000000007"/>
    <x v="16"/>
    <x v="371"/>
    <n v="8"/>
    <x v="0"/>
    <n v="3"/>
    <n v="0"/>
    <x v="1"/>
    <x v="1"/>
    <s v="Mid ($100-150k)"/>
  </r>
  <r>
    <x v="809"/>
    <x v="14"/>
    <x v="6"/>
    <x v="2"/>
    <x v="3"/>
    <x v="2"/>
    <n v="95000"/>
    <n v="95000"/>
    <n v="180000"/>
    <s v="Dubai"/>
    <x v="8"/>
    <s v="Hybrid"/>
    <s v="Enterprise (5000+)"/>
    <x v="10"/>
    <s v="SQL|Business Analysis|Python|Communication|Leadership"/>
    <n v="15.7"/>
    <x v="13"/>
    <x v="36"/>
    <n v="9.4"/>
    <x v="0"/>
    <n v="3"/>
    <n v="0"/>
    <x v="1"/>
    <x v="1"/>
    <s v="Entry (&lt;$100k)"/>
  </r>
  <r>
    <x v="810"/>
    <x v="23"/>
    <x v="9"/>
    <x v="2"/>
    <x v="9"/>
    <x v="4"/>
    <n v="121000"/>
    <n v="100000"/>
    <n v="200000"/>
    <s v="Amsterdam"/>
    <x v="9"/>
    <s v="Fully Remote"/>
    <s v="Enterprise (5000+)"/>
    <x v="5"/>
    <s v="Auditing|Legal Knowledge|Risk Management|Documentation|Linux"/>
    <n v="13.1"/>
    <x v="19"/>
    <x v="193"/>
    <n v="9.4"/>
    <x v="1"/>
    <n v="11"/>
    <n v="0"/>
    <x v="1"/>
    <x v="1"/>
    <s v="Mid ($100-150k)"/>
  </r>
  <r>
    <x v="811"/>
    <x v="4"/>
    <x v="2"/>
    <x v="0"/>
    <x v="10"/>
    <x v="4"/>
    <n v="140000"/>
    <n v="140000"/>
    <n v="260000"/>
    <s v="Bangalore"/>
    <x v="4"/>
    <s v="On-site"/>
    <s v="Enterprise (5000+)"/>
    <x v="4"/>
    <s v="Stakeholder Mgmt|AI Literacy|Data Analysis|Product Strategy|Agile|Git|Problem Solving|Cloud"/>
    <n v="17.3"/>
    <x v="4"/>
    <x v="182"/>
    <n v="6.1"/>
    <x v="1"/>
    <n v="5"/>
    <n v="1"/>
    <x v="0"/>
    <x v="1"/>
    <s v="Mid ($100-150k)"/>
  </r>
  <r>
    <x v="812"/>
    <x v="3"/>
    <x v="1"/>
    <x v="3"/>
    <x v="3"/>
    <x v="1"/>
    <n v="189000"/>
    <n v="130000"/>
    <n v="220000"/>
    <s v="London"/>
    <x v="1"/>
    <s v="Hybrid"/>
    <s v="Big Tech (FAANG+)"/>
    <x v="1"/>
    <s v="ETL|SQL|Feature Stores|Communication"/>
    <n v="12.8"/>
    <x v="3"/>
    <x v="274"/>
    <n v="8.4"/>
    <x v="0"/>
    <n v="3"/>
    <n v="0"/>
    <x v="1"/>
    <x v="1"/>
    <s v="Upper-Mid ($150-200k)"/>
  </r>
  <r>
    <x v="813"/>
    <x v="24"/>
    <x v="11"/>
    <x v="0"/>
    <x v="12"/>
    <x v="4"/>
    <n v="299000"/>
    <n v="115000"/>
    <n v="280000"/>
    <s v="Boston"/>
    <x v="0"/>
    <s v="Fully Remote"/>
    <s v="Mid-size (501-5000)"/>
    <x v="8"/>
    <s v="Deep Learning|Mathematics|Publishing|Python|PyTorch|Research|Research|Problem Solving"/>
    <n v="14.4"/>
    <x v="3"/>
    <x v="184"/>
    <n v="6"/>
    <x v="1"/>
    <n v="9"/>
    <n v="1"/>
    <x v="1"/>
    <x v="1"/>
    <s v="Senior ($200-300k)"/>
  </r>
  <r>
    <x v="814"/>
    <x v="10"/>
    <x v="0"/>
    <x v="0"/>
    <x v="1"/>
    <x v="0"/>
    <n v="300000"/>
    <n v="150000"/>
    <n v="295000"/>
    <s v="Chicago"/>
    <x v="0"/>
    <s v="On-site"/>
    <s v="Mid-size (501-5000)"/>
    <x v="0"/>
    <s v="GenAI APIs|LLMs|Python|Fine-tuning|Communication"/>
    <n v="14.1"/>
    <x v="9"/>
    <x v="83"/>
    <n v="8.5"/>
    <x v="0"/>
    <n v="3"/>
    <n v="1"/>
    <x v="0"/>
    <x v="0"/>
    <s v="Senior ($200-300k)"/>
  </r>
  <r>
    <x v="815"/>
    <x v="6"/>
    <x v="0"/>
    <x v="2"/>
    <x v="11"/>
    <x v="1"/>
    <n v="227000"/>
    <n v="180000"/>
    <n v="312000"/>
    <s v="New York"/>
    <x v="0"/>
    <s v="Fully Remote"/>
    <s v="Enterprise (5000+)"/>
    <x v="9"/>
    <s v="MLOps|PyTorch|LLM Fine-tuning|System Design|Distributed Systems|SQL|Leadership"/>
    <n v="12"/>
    <x v="0"/>
    <x v="417"/>
    <n v="8.5"/>
    <x v="1"/>
    <n v="3"/>
    <n v="0"/>
    <x v="1"/>
    <x v="1"/>
    <s v="Senior ($200-300k)"/>
  </r>
  <r>
    <x v="816"/>
    <x v="3"/>
    <x v="1"/>
    <x v="0"/>
    <x v="2"/>
    <x v="4"/>
    <n v="264000"/>
    <n v="130000"/>
    <n v="220000"/>
    <s v="Remote"/>
    <x v="3"/>
    <s v="Fully Remote"/>
    <s v="Enterprise (5000+)"/>
    <x v="10"/>
    <s v="Feature Stores|SQL|Airflow|Spark|dbt|Python|ETL|Linux|Git"/>
    <n v="16.5"/>
    <x v="3"/>
    <x v="187"/>
    <n v="7.5"/>
    <x v="0"/>
    <n v="1"/>
    <n v="1"/>
    <x v="1"/>
    <x v="1"/>
    <s v="Senior ($200-300k)"/>
  </r>
  <r>
    <x v="817"/>
    <x v="10"/>
    <x v="0"/>
    <x v="2"/>
    <x v="0"/>
    <x v="2"/>
    <n v="177000"/>
    <n v="150000"/>
    <n v="295000"/>
    <s v="Boston"/>
    <x v="0"/>
    <s v="Fully Remote"/>
    <s v="Enterprise (5000+)"/>
    <x v="8"/>
    <s v="Python|Diffusion Models|GenAI APIs|Deployment|LLMs|Fine-tuning|Research"/>
    <n v="17.3"/>
    <x v="9"/>
    <x v="418"/>
    <n v="9.6999999999999993"/>
    <x v="0"/>
    <n v="1"/>
    <n v="0"/>
    <x v="1"/>
    <x v="0"/>
    <s v="Upper-Mid ($150-200k)"/>
  </r>
  <r>
    <x v="818"/>
    <x v="4"/>
    <x v="2"/>
    <x v="3"/>
    <x v="6"/>
    <x v="2"/>
    <n v="158000"/>
    <n v="140000"/>
    <n v="260000"/>
    <s v="Chicago"/>
    <x v="0"/>
    <s v="Hybrid"/>
    <s v="SME (51-500)"/>
    <x v="7"/>
    <s v="Agile|AI Literacy|Product Strategy|Cloud|Statistics|Git"/>
    <n v="13.5"/>
    <x v="4"/>
    <x v="410"/>
    <n v="9.4"/>
    <x v="1"/>
    <n v="6"/>
    <n v="0"/>
    <x v="1"/>
    <x v="1"/>
    <s v="Upper-Mid ($150-200k)"/>
  </r>
  <r>
    <x v="819"/>
    <x v="19"/>
    <x v="10"/>
    <x v="3"/>
    <x v="4"/>
    <x v="4"/>
    <n v="241000"/>
    <n v="140000"/>
    <n v="270000"/>
    <s v="London"/>
    <x v="1"/>
    <s v="Hybrid"/>
    <s v="Big Tech (FAANG+)"/>
    <x v="3"/>
    <s v="Distributed Systems|Cloud|Networking|CUDA|Kubernetes|Research|Communication|Linux"/>
    <n v="17.399999999999999"/>
    <x v="4"/>
    <x v="108"/>
    <n v="7"/>
    <x v="1"/>
    <n v="8"/>
    <n v="0"/>
    <x v="1"/>
    <x v="1"/>
    <s v="Senior ($200-300k)"/>
  </r>
  <r>
    <x v="820"/>
    <x v="15"/>
    <x v="0"/>
    <x v="1"/>
    <x v="8"/>
    <x v="2"/>
    <n v="282000"/>
    <n v="145000"/>
    <n v="280000"/>
    <s v="Boston"/>
    <x v="0"/>
    <s v="Hybrid"/>
    <s v="SME (51-500)"/>
    <x v="2"/>
    <s v="Python|Vector DBs|Search Systems|Embeddings|LangChain|LLMs|Statistics"/>
    <n v="7.2"/>
    <x v="14"/>
    <x v="419"/>
    <n v="9.5"/>
    <x v="0"/>
    <n v="1"/>
    <n v="1"/>
    <x v="1"/>
    <x v="0"/>
    <s v="Senior ($200-300k)"/>
  </r>
  <r>
    <x v="821"/>
    <x v="18"/>
    <x v="9"/>
    <x v="3"/>
    <x v="4"/>
    <x v="0"/>
    <n v="110000"/>
    <n v="110000"/>
    <n v="210000"/>
    <s v="Toronto"/>
    <x v="7"/>
    <s v="On-site"/>
    <s v="SME (51-500)"/>
    <x v="9"/>
    <s v="Ethics Frameworks|Communication|Research|SQL|Leadership|Communication"/>
    <n v="8.4"/>
    <x v="16"/>
    <x v="367"/>
    <n v="7.9"/>
    <x v="0"/>
    <n v="3"/>
    <n v="0"/>
    <x v="0"/>
    <x v="1"/>
    <s v="Mid ($100-150k)"/>
  </r>
  <r>
    <x v="822"/>
    <x v="8"/>
    <x v="4"/>
    <x v="1"/>
    <x v="11"/>
    <x v="4"/>
    <n v="384000"/>
    <n v="180000"/>
    <n v="320000"/>
    <s v="Dubai"/>
    <x v="8"/>
    <s v="Fully Remote"/>
    <s v="Big Tech (FAANG+)"/>
    <x v="6"/>
    <s v="Cloud|Enterprise Architecture|Python|System Design|ML|SQL"/>
    <n v="10.4"/>
    <x v="7"/>
    <x v="420"/>
    <n v="6.3"/>
    <x v="0"/>
    <n v="3"/>
    <n v="1"/>
    <x v="1"/>
    <x v="1"/>
    <s v="Elite (&gt;$300k)"/>
  </r>
  <r>
    <x v="823"/>
    <x v="4"/>
    <x v="2"/>
    <x v="2"/>
    <x v="4"/>
    <x v="4"/>
    <n v="211000"/>
    <n v="140000"/>
    <n v="260000"/>
    <s v="Boston"/>
    <x v="0"/>
    <s v="Fully Remote"/>
    <s v="Enterprise (5000+)"/>
    <x v="9"/>
    <s v="Data Analysis|Product Strategy|Agile|Problem Solving"/>
    <n v="15.3"/>
    <x v="4"/>
    <x v="421"/>
    <n v="7.3"/>
    <x v="1"/>
    <n v="5"/>
    <n v="0"/>
    <x v="1"/>
    <x v="1"/>
    <s v="Senior ($200-300k)"/>
  </r>
  <r>
    <x v="824"/>
    <x v="11"/>
    <x v="0"/>
    <x v="3"/>
    <x v="8"/>
    <x v="1"/>
    <n v="192000"/>
    <n v="141000"/>
    <n v="270000"/>
    <s v="Remote"/>
    <x v="3"/>
    <s v="Hybrid"/>
    <s v="Mid-size (501-5000)"/>
    <x v="7"/>
    <s v="GPU Computing|Neural Networks|CUDA|Communication"/>
    <n v="3.7"/>
    <x v="10"/>
    <x v="61"/>
    <n v="6.6"/>
    <x v="1"/>
    <n v="3"/>
    <n v="0"/>
    <x v="1"/>
    <x v="1"/>
    <s v="Upper-Mid ($150-200k)"/>
  </r>
  <r>
    <x v="825"/>
    <x v="10"/>
    <x v="0"/>
    <x v="3"/>
    <x v="0"/>
    <x v="0"/>
    <n v="172000"/>
    <n v="150000"/>
    <n v="295000"/>
    <s v="Austin"/>
    <x v="0"/>
    <s v="Hybrid"/>
    <s v="Startup (1-50)"/>
    <x v="3"/>
    <s v="Diffusion Models|Deployment|GenAI APIs|Python|Fine-tuning|LLMs|Git"/>
    <n v="9.3000000000000007"/>
    <x v="9"/>
    <x v="422"/>
    <n v="6.5"/>
    <x v="0"/>
    <n v="2"/>
    <n v="0"/>
    <x v="1"/>
    <x v="0"/>
    <s v="Upper-Mid ($150-200k)"/>
  </r>
  <r>
    <x v="826"/>
    <x v="17"/>
    <x v="8"/>
    <x v="1"/>
    <x v="6"/>
    <x v="0"/>
    <n v="261600"/>
    <n v="157000"/>
    <n v="218000"/>
    <s v="Toronto"/>
    <x v="7"/>
    <s v="Hybrid"/>
    <s v="Big Tech (FAANG+)"/>
    <x v="2"/>
    <s v="Causal Inference|Deep Learning|Advanced Statistics|Cloud|Statistics"/>
    <n v="7.6"/>
    <x v="11"/>
    <x v="21"/>
    <n v="9.3000000000000007"/>
    <x v="0"/>
    <n v="3"/>
    <n v="1"/>
    <x v="1"/>
    <x v="1"/>
    <s v="Senior ($200-300k)"/>
  </r>
  <r>
    <x v="827"/>
    <x v="21"/>
    <x v="8"/>
    <x v="3"/>
    <x v="1"/>
    <x v="1"/>
    <n v="138000"/>
    <n v="138000"/>
    <n v="195000"/>
    <s v="Austin"/>
    <x v="0"/>
    <s v="Hybrid"/>
    <s v="Mid-size (501-5000)"/>
    <x v="11"/>
    <s v="ML Algorithms|Data Visualization|Statistics|Scikit-learn|Python|SQL|Linux"/>
    <n v="3.9"/>
    <x v="17"/>
    <x v="423"/>
    <n v="8.1999999999999993"/>
    <x v="0"/>
    <n v="2"/>
    <n v="0"/>
    <x v="1"/>
    <x v="1"/>
    <s v="Mid ($100-150k)"/>
  </r>
  <r>
    <x v="828"/>
    <x v="3"/>
    <x v="1"/>
    <x v="2"/>
    <x v="8"/>
    <x v="0"/>
    <n v="130000"/>
    <n v="130000"/>
    <n v="220000"/>
    <s v="Sydney"/>
    <x v="11"/>
    <s v="On-site"/>
    <s v="Startup (1-50)"/>
    <x v="6"/>
    <s v="SQL|Spark|dbt|Airflow|Python|ETL|Feature Stores|Git|Linux"/>
    <n v="17.399999999999999"/>
    <x v="3"/>
    <x v="332"/>
    <n v="8.1"/>
    <x v="1"/>
    <n v="3"/>
    <n v="0"/>
    <x v="0"/>
    <x v="1"/>
    <s v="Mid ($100-150k)"/>
  </r>
  <r>
    <x v="829"/>
    <x v="11"/>
    <x v="0"/>
    <x v="2"/>
    <x v="10"/>
    <x v="0"/>
    <n v="179000"/>
    <n v="141000"/>
    <n v="270000"/>
    <s v="San Francisco"/>
    <x v="0"/>
    <s v="Hybrid"/>
    <s v="Mid-size (501-5000)"/>
    <x v="10"/>
    <s v="Neural Networks|Python|TensorFlow|Linux|Research|Communication"/>
    <n v="3.4"/>
    <x v="10"/>
    <x v="250"/>
    <n v="6.2"/>
    <x v="0"/>
    <n v="1"/>
    <n v="0"/>
    <x v="1"/>
    <x v="1"/>
    <s v="Upper-Mid ($150-200k)"/>
  </r>
  <r>
    <x v="830"/>
    <x v="1"/>
    <x v="0"/>
    <x v="2"/>
    <x v="1"/>
    <x v="3"/>
    <n v="98000"/>
    <n v="90000"/>
    <n v="200000"/>
    <s v="Amsterdam"/>
    <x v="9"/>
    <s v="Fully Remote"/>
    <s v="Big Tech (FAANG+)"/>
    <x v="2"/>
    <s v="Testing|Prompt Design|Python|LLM APIs|NLP|SQL"/>
    <n v="9.1"/>
    <x v="1"/>
    <x v="314"/>
    <n v="6.2"/>
    <x v="1"/>
    <n v="6"/>
    <n v="0"/>
    <x v="1"/>
    <x v="0"/>
    <s v="Entry (&lt;$100k)"/>
  </r>
  <r>
    <x v="831"/>
    <x v="2"/>
    <x v="0"/>
    <x v="1"/>
    <x v="6"/>
    <x v="4"/>
    <n v="360000"/>
    <n v="160000"/>
    <n v="300000"/>
    <s v="Remote"/>
    <x v="3"/>
    <s v="Fully Remote"/>
    <s v="Big Tech (FAANG+)"/>
    <x v="9"/>
    <s v="Prompt Engineering|Python|Fine-tuning|LLM APIs|RAG|Agile|Cloud"/>
    <n v="4.8"/>
    <x v="2"/>
    <x v="424"/>
    <n v="6.5"/>
    <x v="0"/>
    <n v="2"/>
    <n v="1"/>
    <x v="1"/>
    <x v="0"/>
    <s v="Elite (&gt;$300k)"/>
  </r>
  <r>
    <x v="832"/>
    <x v="1"/>
    <x v="0"/>
    <x v="2"/>
    <x v="5"/>
    <x v="2"/>
    <n v="92000"/>
    <n v="90000"/>
    <n v="200000"/>
    <s v="San Francisco"/>
    <x v="0"/>
    <s v="Hybrid"/>
    <s v="Startup (1-50)"/>
    <x v="0"/>
    <s v="Prompt Design|LLM APIs|Documentation|Cloud|Leadership|Communication"/>
    <n v="4.9000000000000004"/>
    <x v="1"/>
    <x v="100"/>
    <n v="7.9"/>
    <x v="0"/>
    <n v="1"/>
    <n v="0"/>
    <x v="1"/>
    <x v="0"/>
    <s v="Entry (&lt;$100k)"/>
  </r>
  <r>
    <x v="833"/>
    <x v="16"/>
    <x v="7"/>
    <x v="2"/>
    <x v="4"/>
    <x v="4"/>
    <n v="260000"/>
    <n v="125000"/>
    <n v="240000"/>
    <s v="San Francisco"/>
    <x v="0"/>
    <s v="Hybrid"/>
    <s v="Big Tech (FAANG+)"/>
    <x v="2"/>
    <s v="Simulation|ROS|C++|SQL|Research|Git"/>
    <n v="12.1"/>
    <x v="15"/>
    <x v="94"/>
    <n v="6.2"/>
    <x v="0"/>
    <n v="2"/>
    <n v="0"/>
    <x v="1"/>
    <x v="1"/>
    <s v="Senior ($200-300k)"/>
  </r>
  <r>
    <x v="834"/>
    <x v="6"/>
    <x v="0"/>
    <x v="0"/>
    <x v="12"/>
    <x v="2"/>
    <n v="330000"/>
    <n v="180000"/>
    <n v="312000"/>
    <s v="New York"/>
    <x v="0"/>
    <s v="Hybrid"/>
    <s v="Mid-size (501-5000)"/>
    <x v="11"/>
    <s v="PyTorch|MLOps|Distributed Systems|Python|System Design|SQL"/>
    <n v="11.5"/>
    <x v="0"/>
    <x v="425"/>
    <n v="8.6"/>
    <x v="0"/>
    <n v="3"/>
    <n v="1"/>
    <x v="1"/>
    <x v="1"/>
    <s v="Elite (&gt;$300k)"/>
  </r>
  <r>
    <x v="835"/>
    <x v="1"/>
    <x v="0"/>
    <x v="1"/>
    <x v="4"/>
    <x v="1"/>
    <n v="90000"/>
    <n v="90000"/>
    <n v="200000"/>
    <s v="Beijing"/>
    <x v="6"/>
    <s v="Fully Remote"/>
    <s v="Mid-size (501-5000)"/>
    <x v="6"/>
    <s v="Python|LLM APIs|Testing|Cloud|Linux|Research"/>
    <n v="9.1999999999999993"/>
    <x v="1"/>
    <x v="17"/>
    <n v="6.6"/>
    <x v="1"/>
    <n v="2"/>
    <n v="1"/>
    <x v="1"/>
    <x v="0"/>
    <s v="Entry (&lt;$100k)"/>
  </r>
  <r>
    <x v="836"/>
    <x v="5"/>
    <x v="3"/>
    <x v="1"/>
    <x v="0"/>
    <x v="1"/>
    <n v="185000"/>
    <n v="140000"/>
    <n v="260000"/>
    <s v="London"/>
    <x v="1"/>
    <s v="Fully Remote"/>
    <s v="SME (51-500)"/>
    <x v="0"/>
    <s v="Red Teaming|Risk Analysis|Cybersecurity|ML Security|Problem Solving|SQL"/>
    <n v="8.5"/>
    <x v="5"/>
    <x v="421"/>
    <n v="8.5"/>
    <x v="1"/>
    <n v="5"/>
    <n v="1"/>
    <x v="1"/>
    <x v="1"/>
    <s v="Upper-Mid ($150-200k)"/>
  </r>
  <r>
    <x v="837"/>
    <x v="9"/>
    <x v="0"/>
    <x v="3"/>
    <x v="2"/>
    <x v="2"/>
    <n v="222000"/>
    <n v="120000"/>
    <n v="280000"/>
    <s v="San Francisco"/>
    <x v="0"/>
    <s v="Hybrid"/>
    <s v="Mid-size (501-5000)"/>
    <x v="6"/>
    <s v="Kubernetes|Python|TensorFlow|SQL|MLOps|Linux|SQL"/>
    <n v="13"/>
    <x v="8"/>
    <x v="230"/>
    <n v="7.1"/>
    <x v="0"/>
    <n v="2"/>
    <n v="0"/>
    <x v="1"/>
    <x v="1"/>
    <s v="Senior ($200-300k)"/>
  </r>
  <r>
    <x v="838"/>
    <x v="2"/>
    <x v="0"/>
    <x v="1"/>
    <x v="3"/>
    <x v="0"/>
    <n v="166000"/>
    <n v="160000"/>
    <n v="300000"/>
    <s v="Beijing"/>
    <x v="6"/>
    <s v="Fully Remote"/>
    <s v="Big Tech (FAANG+)"/>
    <x v="3"/>
    <s v="Prompt Engineering|RAG|Python|LLM APIs|Fine-tuning|Vector DBs|Cloud"/>
    <n v="4"/>
    <x v="2"/>
    <x v="232"/>
    <n v="9.6"/>
    <x v="0"/>
    <n v="3"/>
    <n v="1"/>
    <x v="1"/>
    <x v="0"/>
    <s v="Upper-Mid ($150-200k)"/>
  </r>
  <r>
    <x v="839"/>
    <x v="22"/>
    <x v="0"/>
    <x v="3"/>
    <x v="8"/>
    <x v="4"/>
    <n v="159000"/>
    <n v="145000"/>
    <n v="280000"/>
    <s v="London"/>
    <x v="1"/>
    <s v="Fully Remote"/>
    <s v="SME (51-500)"/>
    <x v="8"/>
    <s v="Image Processing|CUDA|Python|PyTorch|OpenCV|Git"/>
    <n v="4.8"/>
    <x v="18"/>
    <x v="275"/>
    <n v="9.1999999999999993"/>
    <x v="0"/>
    <n v="1"/>
    <n v="0"/>
    <x v="1"/>
    <x v="1"/>
    <s v="Upper-Mid ($150-200k)"/>
  </r>
  <r>
    <x v="840"/>
    <x v="20"/>
    <x v="0"/>
    <x v="2"/>
    <x v="8"/>
    <x v="2"/>
    <n v="124000"/>
    <n v="100000"/>
    <n v="250000"/>
    <s v="Los Angeles"/>
    <x v="0"/>
    <s v="Hybrid"/>
    <s v="Enterprise (5000+)"/>
    <x v="7"/>
    <s v="Python|Docker|LLM Integration|Linux"/>
    <n v="8.3000000000000007"/>
    <x v="9"/>
    <x v="426"/>
    <n v="8.4"/>
    <x v="1"/>
    <n v="9"/>
    <n v="0"/>
    <x v="1"/>
    <x v="1"/>
    <s v="Mid ($100-150k)"/>
  </r>
  <r>
    <x v="841"/>
    <x v="6"/>
    <x v="0"/>
    <x v="1"/>
    <x v="8"/>
    <x v="0"/>
    <n v="345000"/>
    <n v="180000"/>
    <n v="312000"/>
    <s v="London"/>
    <x v="1"/>
    <s v="On-site"/>
    <s v="Mid-size (501-5000)"/>
    <x v="10"/>
    <s v="Python|LLM Fine-tuning|System Design|MLOps|Distributed Systems|PyTorch|Cloud|Agile|Leadership"/>
    <n v="15.6"/>
    <x v="0"/>
    <x v="427"/>
    <n v="9.3000000000000007"/>
    <x v="1"/>
    <n v="9"/>
    <n v="1"/>
    <x v="0"/>
    <x v="1"/>
    <s v="Elite (&gt;$300k)"/>
  </r>
  <r>
    <x v="842"/>
    <x v="10"/>
    <x v="0"/>
    <x v="1"/>
    <x v="1"/>
    <x v="2"/>
    <n v="299000"/>
    <n v="150000"/>
    <n v="295000"/>
    <s v="London"/>
    <x v="1"/>
    <s v="Hybrid"/>
    <s v="Big Tech (FAANG+)"/>
    <x v="5"/>
    <s v="Python|Deployment|Fine-tuning|Diffusion Models|Cloud"/>
    <n v="14.7"/>
    <x v="9"/>
    <x v="428"/>
    <n v="6.7"/>
    <x v="1"/>
    <n v="10"/>
    <n v="1"/>
    <x v="1"/>
    <x v="0"/>
    <s v="Senior ($200-300k)"/>
  </r>
  <r>
    <x v="843"/>
    <x v="6"/>
    <x v="0"/>
    <x v="1"/>
    <x v="8"/>
    <x v="1"/>
    <n v="374400"/>
    <n v="180000"/>
    <n v="312000"/>
    <s v="Paris"/>
    <x v="10"/>
    <s v="Fully Remote"/>
    <s v="Big Tech (FAANG+)"/>
    <x v="5"/>
    <s v="LLM Fine-tuning|MLOps|System Design|Python|Cloud|Leadership|Linux"/>
    <n v="11.9"/>
    <x v="0"/>
    <x v="429"/>
    <n v="8.5"/>
    <x v="0"/>
    <n v="3"/>
    <n v="1"/>
    <x v="1"/>
    <x v="1"/>
    <s v="Elite (&gt;$300k)"/>
  </r>
  <r>
    <x v="844"/>
    <x v="0"/>
    <x v="0"/>
    <x v="2"/>
    <x v="0"/>
    <x v="2"/>
    <n v="157000"/>
    <n v="155000"/>
    <n v="290000"/>
    <s v="New York"/>
    <x v="0"/>
    <s v="On-site"/>
    <s v="Mid-size (501-5000)"/>
    <x v="3"/>
    <s v="AutoGen|Python|Tool Use|Statistics"/>
    <n v="17"/>
    <x v="0"/>
    <x v="394"/>
    <n v="6.7"/>
    <x v="1"/>
    <n v="12"/>
    <n v="0"/>
    <x v="0"/>
    <x v="0"/>
    <s v="Upper-Mid ($150-200k)"/>
  </r>
  <r>
    <x v="845"/>
    <x v="16"/>
    <x v="7"/>
    <x v="0"/>
    <x v="10"/>
    <x v="3"/>
    <n v="131000"/>
    <n v="125000"/>
    <n v="240000"/>
    <s v="Tokyo"/>
    <x v="5"/>
    <s v="Hybrid"/>
    <s v="SME (51-500)"/>
    <x v="8"/>
    <s v="Python|C++|ROS|Control Systems|Simulation|Computer Vision|Cloud|Problem Solving|Communication"/>
    <n v="14.1"/>
    <x v="15"/>
    <x v="120"/>
    <n v="7.7"/>
    <x v="1"/>
    <n v="2"/>
    <n v="1"/>
    <x v="1"/>
    <x v="1"/>
    <s v="Mid ($100-150k)"/>
  </r>
  <r>
    <x v="846"/>
    <x v="8"/>
    <x v="4"/>
    <x v="0"/>
    <x v="6"/>
    <x v="1"/>
    <n v="340000"/>
    <n v="180000"/>
    <n v="320000"/>
    <s v="San Francisco"/>
    <x v="0"/>
    <s v="Fully Remote"/>
    <s v="SME (51-500)"/>
    <x v="11"/>
    <s v="Leadership|Cloud|Python|Enterprise Architecture|System Design|Leadership"/>
    <n v="15.8"/>
    <x v="7"/>
    <x v="1"/>
    <n v="7.5"/>
    <x v="0"/>
    <n v="1"/>
    <n v="1"/>
    <x v="1"/>
    <x v="1"/>
    <s v="Elite (&gt;$300k)"/>
  </r>
  <r>
    <x v="847"/>
    <x v="15"/>
    <x v="0"/>
    <x v="3"/>
    <x v="3"/>
    <x v="4"/>
    <n v="287000"/>
    <n v="145000"/>
    <n v="280000"/>
    <s v="New York"/>
    <x v="0"/>
    <s v="On-site"/>
    <s v="Enterprise (5000+)"/>
    <x v="0"/>
    <s v="Search Systems|LangChain|Python|Vector DBs|Embeddings|LLMs|Agile"/>
    <n v="8.8000000000000007"/>
    <x v="14"/>
    <x v="430"/>
    <n v="8.9"/>
    <x v="0"/>
    <n v="2"/>
    <n v="0"/>
    <x v="0"/>
    <x v="0"/>
    <s v="Senior ($200-300k)"/>
  </r>
  <r>
    <x v="848"/>
    <x v="12"/>
    <x v="0"/>
    <x v="3"/>
    <x v="2"/>
    <x v="3"/>
    <n v="160000"/>
    <n v="160000"/>
    <n v="300000"/>
    <s v="Beijing"/>
    <x v="6"/>
    <s v="Hybrid"/>
    <s v="SME (51-500)"/>
    <x v="6"/>
    <s v="APIs|Python|Vision-Language Models|Fine-tuning|SQL"/>
    <n v="13.1"/>
    <x v="11"/>
    <x v="240"/>
    <n v="9"/>
    <x v="0"/>
    <n v="1"/>
    <n v="0"/>
    <x v="1"/>
    <x v="1"/>
    <s v="Upper-Mid ($150-200k)"/>
  </r>
  <r>
    <x v="849"/>
    <x v="3"/>
    <x v="1"/>
    <x v="1"/>
    <x v="8"/>
    <x v="0"/>
    <n v="183000"/>
    <n v="130000"/>
    <n v="220000"/>
    <s v="Berlin"/>
    <x v="12"/>
    <s v="On-site"/>
    <s v="Mid-size (501-5000)"/>
    <x v="6"/>
    <s v="Airflow|SQL|Python|Agile"/>
    <n v="13.7"/>
    <x v="3"/>
    <x v="36"/>
    <n v="6.2"/>
    <x v="0"/>
    <n v="2"/>
    <n v="1"/>
    <x v="0"/>
    <x v="1"/>
    <s v="Upper-Mid ($150-200k)"/>
  </r>
  <r>
    <x v="850"/>
    <x v="10"/>
    <x v="0"/>
    <x v="3"/>
    <x v="8"/>
    <x v="4"/>
    <n v="354000"/>
    <n v="150000"/>
    <n v="295000"/>
    <s v="Seattle"/>
    <x v="0"/>
    <s v="On-site"/>
    <s v="Big Tech (FAANG+)"/>
    <x v="9"/>
    <s v="LLMs|Deployment|Python|Research|Leadership"/>
    <n v="8.8000000000000007"/>
    <x v="9"/>
    <x v="82"/>
    <n v="8"/>
    <x v="0"/>
    <n v="1"/>
    <n v="0"/>
    <x v="0"/>
    <x v="0"/>
    <s v="Elite (&gt;$300k)"/>
  </r>
  <r>
    <x v="851"/>
    <x v="4"/>
    <x v="2"/>
    <x v="1"/>
    <x v="6"/>
    <x v="3"/>
    <n v="140000"/>
    <n v="140000"/>
    <n v="260000"/>
    <s v="Beijing"/>
    <x v="6"/>
    <s v="Fully Remote"/>
    <s v="SME (51-500)"/>
    <x v="6"/>
    <s v="Data Analysis|AI Literacy|Stakeholder Mgmt|Agile|Problem Solving|Leadership|Research"/>
    <n v="11.8"/>
    <x v="4"/>
    <x v="138"/>
    <n v="9.4"/>
    <x v="1"/>
    <n v="6"/>
    <n v="1"/>
    <x v="1"/>
    <x v="1"/>
    <s v="Mid ($100-150k)"/>
  </r>
  <r>
    <x v="852"/>
    <x v="14"/>
    <x v="6"/>
    <x v="2"/>
    <x v="3"/>
    <x v="1"/>
    <n v="95000"/>
    <n v="95000"/>
    <n v="180000"/>
    <s v="Berlin"/>
    <x v="12"/>
    <s v="On-site"/>
    <s v="Mid-size (501-5000)"/>
    <x v="8"/>
    <s v="Communication|Python|SQL|Data Visualization|Business Analysis|Cloud"/>
    <n v="9.1"/>
    <x v="13"/>
    <x v="0"/>
    <n v="7.6"/>
    <x v="0"/>
    <n v="1"/>
    <n v="0"/>
    <x v="0"/>
    <x v="1"/>
    <s v="Entry (&lt;$100k)"/>
  </r>
  <r>
    <x v="853"/>
    <x v="15"/>
    <x v="0"/>
    <x v="1"/>
    <x v="3"/>
    <x v="0"/>
    <n v="336000"/>
    <n v="145000"/>
    <n v="280000"/>
    <s v="Tokyo"/>
    <x v="5"/>
    <s v="Hybrid"/>
    <s v="Big Tech (FAANG+)"/>
    <x v="3"/>
    <s v="LangChain|Vector DBs|Python|LLMs|Search Systems|Embeddings|Problem Solving|SQL"/>
    <n v="3.3"/>
    <x v="14"/>
    <x v="431"/>
    <n v="8.5"/>
    <x v="1"/>
    <n v="3"/>
    <n v="1"/>
    <x v="1"/>
    <x v="0"/>
    <s v="Elite (&gt;$300k)"/>
  </r>
  <r>
    <x v="854"/>
    <x v="13"/>
    <x v="5"/>
    <x v="0"/>
    <x v="8"/>
    <x v="0"/>
    <n v="243000"/>
    <n v="130000"/>
    <n v="260000"/>
    <s v="Dubai"/>
    <x v="8"/>
    <s v="Hybrid"/>
    <s v="Big Tech (FAANG+)"/>
    <x v="3"/>
    <s v="Monitoring|Docker|MLflow|CI/CD|Kubernetes|Cloud|SQL|Statistics"/>
    <n v="8.1"/>
    <x v="12"/>
    <x v="432"/>
    <n v="7.2"/>
    <x v="0"/>
    <n v="2"/>
    <n v="1"/>
    <x v="1"/>
    <x v="1"/>
    <s v="Senior ($200-300k)"/>
  </r>
  <r>
    <x v="855"/>
    <x v="18"/>
    <x v="9"/>
    <x v="2"/>
    <x v="6"/>
    <x v="2"/>
    <n v="110000"/>
    <n v="110000"/>
    <n v="210000"/>
    <s v="Zurich"/>
    <x v="13"/>
    <s v="Hybrid"/>
    <s v="Mid-size (501-5000)"/>
    <x v="4"/>
    <s v="Risk Assessment|Research|Ethics Frameworks|AI Policy|Linux|Communication"/>
    <n v="12"/>
    <x v="16"/>
    <x v="433"/>
    <n v="6.5"/>
    <x v="0"/>
    <n v="2"/>
    <n v="0"/>
    <x v="1"/>
    <x v="1"/>
    <s v="Mid ($100-150k)"/>
  </r>
  <r>
    <x v="856"/>
    <x v="4"/>
    <x v="2"/>
    <x v="2"/>
    <x v="6"/>
    <x v="3"/>
    <n v="140000"/>
    <n v="140000"/>
    <n v="260000"/>
    <s v="Paris"/>
    <x v="10"/>
    <s v="On-site"/>
    <s v="Startup (1-50)"/>
    <x v="0"/>
    <s v="Stakeholder Mgmt|AI Literacy|Product Strategy|Data Analysis|Agile|Linux"/>
    <n v="10.9"/>
    <x v="4"/>
    <x v="216"/>
    <n v="9"/>
    <x v="0"/>
    <n v="2"/>
    <n v="0"/>
    <x v="0"/>
    <x v="1"/>
    <s v="Mid ($100-150k)"/>
  </r>
  <r>
    <x v="857"/>
    <x v="19"/>
    <x v="10"/>
    <x v="1"/>
    <x v="0"/>
    <x v="0"/>
    <n v="324000"/>
    <n v="140000"/>
    <n v="270000"/>
    <s v="Remote"/>
    <x v="3"/>
    <s v="Fully Remote"/>
    <s v="Mid-size (501-5000)"/>
    <x v="6"/>
    <s v="Distributed Systems|Cloud|Storage|Linux"/>
    <n v="9"/>
    <x v="4"/>
    <x v="305"/>
    <n v="9.6999999999999993"/>
    <x v="0"/>
    <n v="2"/>
    <n v="1"/>
    <x v="1"/>
    <x v="1"/>
    <s v="Elite (&gt;$300k)"/>
  </r>
  <r>
    <x v="858"/>
    <x v="16"/>
    <x v="7"/>
    <x v="2"/>
    <x v="3"/>
    <x v="1"/>
    <n v="126000"/>
    <n v="125000"/>
    <n v="240000"/>
    <s v="Dubai"/>
    <x v="8"/>
    <s v="On-site"/>
    <s v="Enterprise (5000+)"/>
    <x v="9"/>
    <s v="Computer Vision|Control Systems|Simulation|Research|Leadership"/>
    <n v="8.8000000000000007"/>
    <x v="15"/>
    <x v="355"/>
    <n v="9.4"/>
    <x v="1"/>
    <n v="1"/>
    <n v="0"/>
    <x v="0"/>
    <x v="1"/>
    <s v="Mid ($100-150k)"/>
  </r>
  <r>
    <x v="859"/>
    <x v="22"/>
    <x v="0"/>
    <x v="1"/>
    <x v="9"/>
    <x v="4"/>
    <n v="305000"/>
    <n v="145000"/>
    <n v="280000"/>
    <s v="Zurich"/>
    <x v="13"/>
    <s v="Hybrid"/>
    <s v="SME (51-500)"/>
    <x v="10"/>
    <s v="OpenCV|Python|CUDA|Communication"/>
    <n v="8.1"/>
    <x v="18"/>
    <x v="275"/>
    <n v="7.3"/>
    <x v="0"/>
    <n v="3"/>
    <n v="1"/>
    <x v="1"/>
    <x v="1"/>
    <s v="Elite (&gt;$300k)"/>
  </r>
  <r>
    <x v="860"/>
    <x v="14"/>
    <x v="6"/>
    <x v="2"/>
    <x v="6"/>
    <x v="3"/>
    <n v="101000"/>
    <n v="95000"/>
    <n v="180000"/>
    <s v="Sydney"/>
    <x v="11"/>
    <s v="Hybrid"/>
    <s v="Big Tech (FAANG+)"/>
    <x v="7"/>
    <s v="Python|Business Analysis|Communication|SQL|Data Visualization|Git"/>
    <n v="15.5"/>
    <x v="13"/>
    <x v="177"/>
    <n v="9.3000000000000007"/>
    <x v="1"/>
    <n v="5"/>
    <n v="0"/>
    <x v="1"/>
    <x v="1"/>
    <s v="Mid ($100-150k)"/>
  </r>
  <r>
    <x v="861"/>
    <x v="9"/>
    <x v="0"/>
    <x v="0"/>
    <x v="0"/>
    <x v="4"/>
    <n v="336000"/>
    <n v="120000"/>
    <n v="280000"/>
    <s v="New York"/>
    <x v="0"/>
    <s v="Fully Remote"/>
    <s v="Enterprise (5000+)"/>
    <x v="8"/>
    <s v="TensorFlow|PyTorch|Kubernetes|Python|SQL|MLOps|Linux"/>
    <n v="10.9"/>
    <x v="8"/>
    <x v="158"/>
    <n v="8.9"/>
    <x v="0"/>
    <n v="2"/>
    <n v="1"/>
    <x v="1"/>
    <x v="1"/>
    <s v="Elite (&gt;$300k)"/>
  </r>
  <r>
    <x v="862"/>
    <x v="12"/>
    <x v="0"/>
    <x v="1"/>
    <x v="8"/>
    <x v="3"/>
    <n v="160000"/>
    <n v="160000"/>
    <n v="300000"/>
    <s v="Beijing"/>
    <x v="6"/>
    <s v="On-site"/>
    <s v="Startup (1-50)"/>
    <x v="1"/>
    <s v="Vision-Language Models|PyTorch|APIs|Linux|Research|Problem Solving"/>
    <n v="16.3"/>
    <x v="11"/>
    <x v="390"/>
    <n v="8.6"/>
    <x v="0"/>
    <n v="2"/>
    <n v="1"/>
    <x v="0"/>
    <x v="1"/>
    <s v="Upper-Mid ($150-200k)"/>
  </r>
  <r>
    <x v="863"/>
    <x v="3"/>
    <x v="1"/>
    <x v="2"/>
    <x v="4"/>
    <x v="1"/>
    <n v="216000"/>
    <n v="130000"/>
    <n v="220000"/>
    <s v="San Francisco"/>
    <x v="0"/>
    <s v="Fully Remote"/>
    <s v="Big Tech (FAANG+)"/>
    <x v="11"/>
    <s v="ETL|Python|SQL|dbt|Communication|SQL|Cloud"/>
    <n v="17.8"/>
    <x v="3"/>
    <x v="350"/>
    <n v="8.1"/>
    <x v="0"/>
    <n v="2"/>
    <n v="0"/>
    <x v="1"/>
    <x v="1"/>
    <s v="Senior ($200-300k)"/>
  </r>
  <r>
    <x v="864"/>
    <x v="15"/>
    <x v="0"/>
    <x v="3"/>
    <x v="0"/>
    <x v="4"/>
    <n v="167000"/>
    <n v="145000"/>
    <n v="280000"/>
    <s v="London"/>
    <x v="1"/>
    <s v="Hybrid"/>
    <s v="Mid-size (501-5000)"/>
    <x v="6"/>
    <s v="Search Systems|Python|Embeddings|Research|Leadership"/>
    <n v="3.5"/>
    <x v="14"/>
    <x v="434"/>
    <n v="9.8000000000000007"/>
    <x v="1"/>
    <n v="5"/>
    <n v="0"/>
    <x v="1"/>
    <x v="0"/>
    <s v="Upper-Mid ($150-200k)"/>
  </r>
  <r>
    <x v="865"/>
    <x v="12"/>
    <x v="0"/>
    <x v="0"/>
    <x v="0"/>
    <x v="3"/>
    <n v="194000"/>
    <n v="160000"/>
    <n v="300000"/>
    <s v="Singapore"/>
    <x v="2"/>
    <s v="Hybrid"/>
    <s v="Mid-size (501-5000)"/>
    <x v="11"/>
    <s v="Fine-tuning|PyTorch|APIs|Research"/>
    <n v="12.5"/>
    <x v="11"/>
    <x v="435"/>
    <n v="6.4"/>
    <x v="0"/>
    <n v="3"/>
    <n v="1"/>
    <x v="1"/>
    <x v="1"/>
    <s v="Upper-Mid ($150-200k)"/>
  </r>
  <r>
    <x v="866"/>
    <x v="23"/>
    <x v="9"/>
    <x v="2"/>
    <x v="0"/>
    <x v="0"/>
    <n v="100000"/>
    <n v="100000"/>
    <n v="200000"/>
    <s v="Toronto"/>
    <x v="7"/>
    <s v="Fully Remote"/>
    <s v="SME (51-500)"/>
    <x v="11"/>
    <s v="Legal Knowledge|Auditing|Documentation|EU AI Act|Risk Management|Statistics|Research"/>
    <n v="16.399999999999999"/>
    <x v="19"/>
    <x v="436"/>
    <n v="9.1999999999999993"/>
    <x v="0"/>
    <n v="2"/>
    <n v="0"/>
    <x v="1"/>
    <x v="1"/>
    <s v="Entry (&lt;$100k)"/>
  </r>
  <r>
    <x v="867"/>
    <x v="2"/>
    <x v="0"/>
    <x v="2"/>
    <x v="4"/>
    <x v="2"/>
    <n v="160000"/>
    <n v="160000"/>
    <n v="300000"/>
    <s v="London"/>
    <x v="1"/>
    <s v="Hybrid"/>
    <s v="Startup (1-50)"/>
    <x v="2"/>
    <s v="LLM APIs|Fine-tuning|Vector DBs|Python|Prompt Engineering|Research|Linux|Communication"/>
    <n v="3.7"/>
    <x v="2"/>
    <x v="221"/>
    <n v="9.6999999999999993"/>
    <x v="0"/>
    <n v="2"/>
    <n v="0"/>
    <x v="1"/>
    <x v="0"/>
    <s v="Upper-Mid ($150-200k)"/>
  </r>
  <r>
    <x v="868"/>
    <x v="20"/>
    <x v="0"/>
    <x v="3"/>
    <x v="8"/>
    <x v="0"/>
    <n v="126000"/>
    <n v="100000"/>
    <n v="250000"/>
    <s v="Sydney"/>
    <x v="11"/>
    <s v="Fully Remote"/>
    <s v="SME (51-500)"/>
    <x v="1"/>
    <s v="Docker|LLM Integration|Python|Git"/>
    <n v="8.1"/>
    <x v="9"/>
    <x v="220"/>
    <n v="9.4"/>
    <x v="1"/>
    <n v="12"/>
    <n v="0"/>
    <x v="1"/>
    <x v="1"/>
    <s v="Mid ($100-150k)"/>
  </r>
  <r>
    <x v="869"/>
    <x v="5"/>
    <x v="3"/>
    <x v="1"/>
    <x v="3"/>
    <x v="3"/>
    <n v="208000"/>
    <n v="140000"/>
    <n v="260000"/>
    <s v="Sydney"/>
    <x v="11"/>
    <s v="Fully Remote"/>
    <s v="Enterprise (5000+)"/>
    <x v="0"/>
    <s v="Risk Analysis|Red Teaming|Python|ML Security|Cybersecurity|Leadership"/>
    <n v="9.9"/>
    <x v="5"/>
    <x v="371"/>
    <n v="6.4"/>
    <x v="1"/>
    <n v="12"/>
    <n v="1"/>
    <x v="1"/>
    <x v="1"/>
    <s v="Senior ($200-300k)"/>
  </r>
  <r>
    <x v="870"/>
    <x v="7"/>
    <x v="0"/>
    <x v="0"/>
    <x v="2"/>
    <x v="0"/>
    <n v="216000"/>
    <n v="145000"/>
    <n v="290000"/>
    <s v="Tokyo"/>
    <x v="5"/>
    <s v="Hybrid"/>
    <s v="Mid-size (501-5000)"/>
    <x v="6"/>
    <s v="LLMs|BERT|Text Processing|Linux|Communication|Statistics"/>
    <n v="9.9"/>
    <x v="6"/>
    <x v="437"/>
    <n v="8.6"/>
    <x v="1"/>
    <n v="1"/>
    <n v="1"/>
    <x v="1"/>
    <x v="1"/>
    <s v="Senior ($200-300k)"/>
  </r>
  <r>
    <x v="871"/>
    <x v="11"/>
    <x v="0"/>
    <x v="1"/>
    <x v="0"/>
    <x v="0"/>
    <n v="324000"/>
    <n v="141000"/>
    <n v="270000"/>
    <s v="San Francisco"/>
    <x v="0"/>
    <s v="Hybrid"/>
    <s v="Enterprise (5000+)"/>
    <x v="3"/>
    <s v="CUDA|GPU Computing|Neural Networks|PyTorch|Python|SQL|Problem Solving"/>
    <n v="9.3000000000000007"/>
    <x v="10"/>
    <x v="420"/>
    <n v="7"/>
    <x v="1"/>
    <n v="11"/>
    <n v="1"/>
    <x v="1"/>
    <x v="1"/>
    <s v="Elite (&gt;$300k)"/>
  </r>
  <r>
    <x v="872"/>
    <x v="2"/>
    <x v="0"/>
    <x v="2"/>
    <x v="3"/>
    <x v="1"/>
    <n v="160000"/>
    <n v="160000"/>
    <n v="300000"/>
    <s v="Singapore"/>
    <x v="2"/>
    <s v="Hybrid"/>
    <s v="Mid-size (501-5000)"/>
    <x v="1"/>
    <s v="Python|RAG|Fine-tuning|Vector DBs|LLM APIs|Problem Solving|Agile|Research"/>
    <n v="3.1"/>
    <x v="2"/>
    <x v="438"/>
    <n v="8.9"/>
    <x v="0"/>
    <n v="3"/>
    <n v="0"/>
    <x v="1"/>
    <x v="0"/>
    <s v="Upper-Mid ($150-200k)"/>
  </r>
  <r>
    <x v="873"/>
    <x v="11"/>
    <x v="0"/>
    <x v="3"/>
    <x v="9"/>
    <x v="3"/>
    <n v="179000"/>
    <n v="141000"/>
    <n v="270000"/>
    <s v="Paris"/>
    <x v="10"/>
    <s v="Hybrid"/>
    <s v="Big Tech (FAANG+)"/>
    <x v="10"/>
    <s v="Neural Networks|GPU Computing|CUDA|Python|Communication|Leadership|Cloud"/>
    <n v="9.3000000000000007"/>
    <x v="10"/>
    <x v="293"/>
    <n v="7.8"/>
    <x v="0"/>
    <n v="3"/>
    <n v="0"/>
    <x v="1"/>
    <x v="1"/>
    <s v="Upper-Mid ($150-200k)"/>
  </r>
  <r>
    <x v="874"/>
    <x v="0"/>
    <x v="0"/>
    <x v="2"/>
    <x v="8"/>
    <x v="4"/>
    <n v="229000"/>
    <n v="155000"/>
    <n v="290000"/>
    <s v="Remote"/>
    <x v="3"/>
    <s v="On-site"/>
    <s v="Big Tech (FAANG+)"/>
    <x v="2"/>
    <s v="LangChain|AutoGen|Tool Use|Python|APIs|Planning Systems|Problem Solving"/>
    <n v="17.399999999999999"/>
    <x v="0"/>
    <x v="141"/>
    <n v="9.3000000000000007"/>
    <x v="0"/>
    <n v="2"/>
    <n v="0"/>
    <x v="0"/>
    <x v="0"/>
    <s v="Senior ($200-300k)"/>
  </r>
  <r>
    <x v="875"/>
    <x v="8"/>
    <x v="4"/>
    <x v="3"/>
    <x v="0"/>
    <x v="3"/>
    <n v="213000"/>
    <n v="180000"/>
    <n v="320000"/>
    <s v="Dubai"/>
    <x v="8"/>
    <s v="Hybrid"/>
    <s v="Big Tech (FAANG+)"/>
    <x v="4"/>
    <s v="Leadership|ML|Cloud|Research"/>
    <n v="11.1"/>
    <x v="7"/>
    <x v="42"/>
    <n v="7.8"/>
    <x v="0"/>
    <n v="3"/>
    <n v="0"/>
    <x v="1"/>
    <x v="1"/>
    <s v="Senior ($200-300k)"/>
  </r>
  <r>
    <x v="876"/>
    <x v="6"/>
    <x v="0"/>
    <x v="0"/>
    <x v="8"/>
    <x v="3"/>
    <n v="307000"/>
    <n v="180000"/>
    <n v="312000"/>
    <s v="Austin"/>
    <x v="0"/>
    <s v="Hybrid"/>
    <s v="Enterprise (5000+)"/>
    <x v="9"/>
    <s v="LLM Fine-tuning|Distributed Systems|PyTorch|Git|Cloud"/>
    <n v="9.8000000000000007"/>
    <x v="0"/>
    <x v="142"/>
    <n v="9.6"/>
    <x v="1"/>
    <n v="10"/>
    <n v="1"/>
    <x v="1"/>
    <x v="1"/>
    <s v="Elite (&gt;$300k)"/>
  </r>
  <r>
    <x v="877"/>
    <x v="6"/>
    <x v="0"/>
    <x v="0"/>
    <x v="0"/>
    <x v="4"/>
    <n v="253000"/>
    <n v="180000"/>
    <n v="312000"/>
    <s v="Zurich"/>
    <x v="13"/>
    <s v="Hybrid"/>
    <s v="Startup (1-50)"/>
    <x v="4"/>
    <s v="LLM Fine-tuning|System Design|Distributed Systems|Research|SQL"/>
    <n v="13.1"/>
    <x v="0"/>
    <x v="251"/>
    <n v="8.1999999999999993"/>
    <x v="1"/>
    <n v="6"/>
    <n v="1"/>
    <x v="1"/>
    <x v="1"/>
    <s v="Senior ($200-300k)"/>
  </r>
  <r>
    <x v="878"/>
    <x v="18"/>
    <x v="9"/>
    <x v="2"/>
    <x v="10"/>
    <x v="1"/>
    <n v="177000"/>
    <n v="110000"/>
    <n v="210000"/>
    <s v="San Francisco"/>
    <x v="0"/>
    <s v="On-site"/>
    <s v="Big Tech (FAANG+)"/>
    <x v="9"/>
    <s v="Ethics Frameworks|Communication|Risk Assessment|Research"/>
    <n v="9.4"/>
    <x v="16"/>
    <x v="368"/>
    <n v="7.8"/>
    <x v="1"/>
    <n v="3"/>
    <n v="0"/>
    <x v="0"/>
    <x v="1"/>
    <s v="Upper-Mid ($150-200k)"/>
  </r>
  <r>
    <x v="879"/>
    <x v="16"/>
    <x v="7"/>
    <x v="0"/>
    <x v="10"/>
    <x v="1"/>
    <n v="125000"/>
    <n v="125000"/>
    <n v="240000"/>
    <s v="Beijing"/>
    <x v="6"/>
    <s v="On-site"/>
    <s v="Mid-size (501-5000)"/>
    <x v="3"/>
    <s v="Python|C++|Computer Vision|ROS|Linux"/>
    <n v="17.399999999999999"/>
    <x v="15"/>
    <x v="71"/>
    <n v="9.5"/>
    <x v="0"/>
    <n v="1"/>
    <n v="1"/>
    <x v="0"/>
    <x v="1"/>
    <s v="Mid ($100-150k)"/>
  </r>
  <r>
    <x v="880"/>
    <x v="18"/>
    <x v="9"/>
    <x v="0"/>
    <x v="2"/>
    <x v="2"/>
    <n v="159000"/>
    <n v="110000"/>
    <n v="210000"/>
    <s v="Seattle"/>
    <x v="0"/>
    <s v="On-site"/>
    <s v="Startup (1-50)"/>
    <x v="7"/>
    <s v="AI Policy|Ethics Frameworks|Research|Linux|Research|Git"/>
    <n v="9.9"/>
    <x v="16"/>
    <x v="179"/>
    <n v="9.3000000000000007"/>
    <x v="0"/>
    <n v="1"/>
    <n v="1"/>
    <x v="0"/>
    <x v="1"/>
    <s v="Upper-Mid ($150-200k)"/>
  </r>
  <r>
    <x v="881"/>
    <x v="8"/>
    <x v="4"/>
    <x v="3"/>
    <x v="13"/>
    <x v="0"/>
    <n v="344000"/>
    <n v="180000"/>
    <n v="320000"/>
    <s v="New York"/>
    <x v="0"/>
    <s v="Fully Remote"/>
    <s v="Big Tech (FAANG+)"/>
    <x v="6"/>
    <s v="Python|Leadership|ML|SQL|Problem Solving|Research"/>
    <n v="16.3"/>
    <x v="7"/>
    <x v="262"/>
    <n v="9.3000000000000007"/>
    <x v="0"/>
    <n v="2"/>
    <n v="0"/>
    <x v="1"/>
    <x v="1"/>
    <s v="Elite (&gt;$300k)"/>
  </r>
  <r>
    <x v="882"/>
    <x v="16"/>
    <x v="7"/>
    <x v="3"/>
    <x v="10"/>
    <x v="0"/>
    <n v="149000"/>
    <n v="125000"/>
    <n v="240000"/>
    <s v="Toronto"/>
    <x v="7"/>
    <s v="Hybrid"/>
    <s v="Mid-size (501-5000)"/>
    <x v="0"/>
    <s v="Control Systems|Simulation|Python|Computer Vision|C++|ROS|Agile|Problem Solving|Research"/>
    <n v="15.3"/>
    <x v="15"/>
    <x v="111"/>
    <n v="9"/>
    <x v="0"/>
    <n v="1"/>
    <n v="0"/>
    <x v="1"/>
    <x v="1"/>
    <s v="Mid ($100-150k)"/>
  </r>
  <r>
    <x v="883"/>
    <x v="18"/>
    <x v="9"/>
    <x v="2"/>
    <x v="4"/>
    <x v="0"/>
    <n v="144000"/>
    <n v="110000"/>
    <n v="210000"/>
    <s v="Los Angeles"/>
    <x v="0"/>
    <s v="Hybrid"/>
    <s v="Mid-size (501-5000)"/>
    <x v="10"/>
    <s v="Ethics Frameworks|Research|AI Policy|Statistics"/>
    <n v="12"/>
    <x v="16"/>
    <x v="175"/>
    <n v="6.3"/>
    <x v="0"/>
    <n v="1"/>
    <n v="0"/>
    <x v="1"/>
    <x v="1"/>
    <s v="Mid ($100-150k)"/>
  </r>
  <r>
    <x v="884"/>
    <x v="10"/>
    <x v="0"/>
    <x v="0"/>
    <x v="6"/>
    <x v="2"/>
    <n v="232000"/>
    <n v="150000"/>
    <n v="295000"/>
    <s v="Singapore"/>
    <x v="2"/>
    <s v="Fully Remote"/>
    <s v="Enterprise (5000+)"/>
    <x v="6"/>
    <s v="Fine-tuning|GenAI APIs|Diffusion Models|Deployment|Cloud"/>
    <n v="12.4"/>
    <x v="9"/>
    <x v="439"/>
    <n v="7.7"/>
    <x v="0"/>
    <n v="1"/>
    <n v="1"/>
    <x v="1"/>
    <x v="0"/>
    <s v="Senior ($200-300k)"/>
  </r>
  <r>
    <x v="885"/>
    <x v="19"/>
    <x v="10"/>
    <x v="3"/>
    <x v="2"/>
    <x v="2"/>
    <n v="140000"/>
    <n v="140000"/>
    <n v="270000"/>
    <s v="Berlin"/>
    <x v="12"/>
    <s v="Hybrid"/>
    <s v="Mid-size (501-5000)"/>
    <x v="1"/>
    <s v="Kubernetes|Distributed Systems|CUDA|Networking|Cloud|SQL|Statistics|Leadership"/>
    <n v="12.4"/>
    <x v="4"/>
    <x v="165"/>
    <n v="6.2"/>
    <x v="1"/>
    <n v="10"/>
    <n v="0"/>
    <x v="1"/>
    <x v="1"/>
    <s v="Mid ($100-150k)"/>
  </r>
  <r>
    <x v="886"/>
    <x v="4"/>
    <x v="2"/>
    <x v="0"/>
    <x v="6"/>
    <x v="3"/>
    <n v="145000"/>
    <n v="140000"/>
    <n v="260000"/>
    <s v="Singapore"/>
    <x v="2"/>
    <s v="Hybrid"/>
    <s v="Startup (1-50)"/>
    <x v="1"/>
    <s v="Product Strategy|Data Analysis|Stakeholder Mgmt|Statistics|Git"/>
    <n v="15"/>
    <x v="4"/>
    <x v="105"/>
    <n v="8.5"/>
    <x v="0"/>
    <n v="1"/>
    <n v="1"/>
    <x v="1"/>
    <x v="1"/>
    <s v="Mid ($100-150k)"/>
  </r>
  <r>
    <x v="887"/>
    <x v="21"/>
    <x v="8"/>
    <x v="1"/>
    <x v="1"/>
    <x v="2"/>
    <n v="216000"/>
    <n v="138000"/>
    <n v="195000"/>
    <s v="Seattle"/>
    <x v="0"/>
    <s v="Fully Remote"/>
    <s v="Startup (1-50)"/>
    <x v="7"/>
    <s v="Statistics|SQL|Data Visualization|Research|Cloud|SQL"/>
    <n v="4.2"/>
    <x v="17"/>
    <x v="440"/>
    <n v="8.6999999999999993"/>
    <x v="1"/>
    <n v="4"/>
    <n v="1"/>
    <x v="1"/>
    <x v="1"/>
    <s v="Senior ($200-300k)"/>
  </r>
  <r>
    <x v="888"/>
    <x v="4"/>
    <x v="2"/>
    <x v="3"/>
    <x v="9"/>
    <x v="1"/>
    <n v="140000"/>
    <n v="140000"/>
    <n v="260000"/>
    <s v="Berlin"/>
    <x v="12"/>
    <s v="Fully Remote"/>
    <s v="Startup (1-50)"/>
    <x v="9"/>
    <s v="AI Literacy|Agile|Data Analysis|Statistics|SQL|Leadership"/>
    <n v="15.6"/>
    <x v="4"/>
    <x v="50"/>
    <n v="6.2"/>
    <x v="1"/>
    <n v="6"/>
    <n v="0"/>
    <x v="1"/>
    <x v="1"/>
    <s v="Mid ($100-150k)"/>
  </r>
  <r>
    <x v="889"/>
    <x v="11"/>
    <x v="0"/>
    <x v="0"/>
    <x v="6"/>
    <x v="3"/>
    <n v="216000"/>
    <n v="141000"/>
    <n v="270000"/>
    <s v="Chicago"/>
    <x v="0"/>
    <s v="On-site"/>
    <s v="Mid-size (501-5000)"/>
    <x v="8"/>
    <s v="Neural Networks|TensorFlow|Python|Git|Research"/>
    <n v="3.9"/>
    <x v="10"/>
    <x v="127"/>
    <n v="6.2"/>
    <x v="1"/>
    <n v="12"/>
    <n v="1"/>
    <x v="0"/>
    <x v="1"/>
    <s v="Senior ($200-300k)"/>
  </r>
  <r>
    <x v="890"/>
    <x v="14"/>
    <x v="6"/>
    <x v="3"/>
    <x v="4"/>
    <x v="1"/>
    <n v="95000"/>
    <n v="95000"/>
    <n v="180000"/>
    <s v="Singapore"/>
    <x v="2"/>
    <s v="On-site"/>
    <s v="Startup (1-50)"/>
    <x v="0"/>
    <s v="Communication|Python|Data Visualization|SQL|Problem Solving"/>
    <n v="11.5"/>
    <x v="13"/>
    <x v="441"/>
    <n v="9.3000000000000007"/>
    <x v="0"/>
    <n v="3"/>
    <n v="0"/>
    <x v="0"/>
    <x v="1"/>
    <s v="Entry (&lt;$100k)"/>
  </r>
  <r>
    <x v="891"/>
    <x v="15"/>
    <x v="0"/>
    <x v="2"/>
    <x v="8"/>
    <x v="2"/>
    <n v="145000"/>
    <n v="145000"/>
    <n v="280000"/>
    <s v="Paris"/>
    <x v="10"/>
    <s v="Hybrid"/>
    <s v="Startup (1-50)"/>
    <x v="4"/>
    <s v="Vector DBs|LLMs|LangChain|Statistics|Problem Solving|Communication"/>
    <n v="5.4"/>
    <x v="14"/>
    <x v="80"/>
    <n v="7.5"/>
    <x v="1"/>
    <n v="7"/>
    <n v="0"/>
    <x v="1"/>
    <x v="0"/>
    <s v="Mid ($100-150k)"/>
  </r>
  <r>
    <x v="892"/>
    <x v="18"/>
    <x v="9"/>
    <x v="2"/>
    <x v="10"/>
    <x v="1"/>
    <n v="110000"/>
    <n v="110000"/>
    <n v="210000"/>
    <s v="Bangalore"/>
    <x v="4"/>
    <s v="Fully Remote"/>
    <s v="Big Tech (FAANG+)"/>
    <x v="8"/>
    <s v="AI Policy|Research|Ethics Frameworks|Risk Assessment|Communication|Agile|SQL"/>
    <n v="18"/>
    <x v="16"/>
    <x v="118"/>
    <n v="8.6"/>
    <x v="1"/>
    <n v="4"/>
    <n v="0"/>
    <x v="1"/>
    <x v="1"/>
    <s v="Mid ($100-150k)"/>
  </r>
  <r>
    <x v="893"/>
    <x v="12"/>
    <x v="0"/>
    <x v="0"/>
    <x v="4"/>
    <x v="4"/>
    <n v="360000"/>
    <n v="160000"/>
    <n v="300000"/>
    <s v="Los Angeles"/>
    <x v="0"/>
    <s v="Hybrid"/>
    <s v="Big Tech (FAANG+)"/>
    <x v="9"/>
    <s v="Python|Fine-tuning|Vision-Language Models|Research|Cloud"/>
    <n v="8.1"/>
    <x v="11"/>
    <x v="37"/>
    <n v="7.3"/>
    <x v="1"/>
    <n v="8"/>
    <n v="1"/>
    <x v="1"/>
    <x v="1"/>
    <s v="Elite (&gt;$300k)"/>
  </r>
  <r>
    <x v="894"/>
    <x v="11"/>
    <x v="0"/>
    <x v="0"/>
    <x v="4"/>
    <x v="0"/>
    <n v="229000"/>
    <n v="141000"/>
    <n v="270000"/>
    <s v="Sydney"/>
    <x v="11"/>
    <s v="Hybrid"/>
    <s v="Mid-size (501-5000)"/>
    <x v="2"/>
    <s v="Python|Neural Networks|TensorFlow|CUDA|GPU Computing|Linux|Problem Solving|Communication"/>
    <n v="9"/>
    <x v="10"/>
    <x v="3"/>
    <n v="8.8000000000000007"/>
    <x v="1"/>
    <n v="1"/>
    <n v="1"/>
    <x v="1"/>
    <x v="1"/>
    <s v="Senior ($200-300k)"/>
  </r>
  <r>
    <x v="895"/>
    <x v="0"/>
    <x v="0"/>
    <x v="0"/>
    <x v="8"/>
    <x v="0"/>
    <n v="170000"/>
    <n v="155000"/>
    <n v="290000"/>
    <s v="Amsterdam"/>
    <x v="9"/>
    <s v="Hybrid"/>
    <s v="Startup (1-50)"/>
    <x v="3"/>
    <s v="Planning Systems|AutoGen|LangChain|Python|APIs|Tool Use|Cloud"/>
    <n v="15.9"/>
    <x v="0"/>
    <x v="333"/>
    <n v="6"/>
    <x v="0"/>
    <n v="2"/>
    <n v="1"/>
    <x v="1"/>
    <x v="0"/>
    <s v="Upper-Mid ($150-200k)"/>
  </r>
  <r>
    <x v="896"/>
    <x v="8"/>
    <x v="4"/>
    <x v="1"/>
    <x v="6"/>
    <x v="4"/>
    <n v="384000"/>
    <n v="180000"/>
    <n v="320000"/>
    <s v="Toronto"/>
    <x v="7"/>
    <s v="On-site"/>
    <s v="Big Tech (FAANG+)"/>
    <x v="1"/>
    <s v="Cloud|Leadership|Python|Linux|Cloud"/>
    <n v="16.399999999999999"/>
    <x v="7"/>
    <x v="9"/>
    <n v="9.1"/>
    <x v="1"/>
    <n v="1"/>
    <n v="1"/>
    <x v="0"/>
    <x v="1"/>
    <s v="Elite (&gt;$300k)"/>
  </r>
  <r>
    <x v="897"/>
    <x v="19"/>
    <x v="10"/>
    <x v="0"/>
    <x v="3"/>
    <x v="4"/>
    <n v="307000"/>
    <n v="140000"/>
    <n v="270000"/>
    <s v="Austin"/>
    <x v="0"/>
    <s v="On-site"/>
    <s v="Enterprise (5000+)"/>
    <x v="0"/>
    <s v="Distributed Systems|Networking|Cloud|CUDA|Storage|Research"/>
    <n v="11.4"/>
    <x v="4"/>
    <x v="117"/>
    <n v="8.6999999999999993"/>
    <x v="0"/>
    <n v="1"/>
    <n v="1"/>
    <x v="0"/>
    <x v="1"/>
    <s v="Elite (&gt;$300k)"/>
  </r>
  <r>
    <x v="898"/>
    <x v="11"/>
    <x v="0"/>
    <x v="2"/>
    <x v="4"/>
    <x v="2"/>
    <n v="141000"/>
    <n v="141000"/>
    <n v="270000"/>
    <s v="Amsterdam"/>
    <x v="9"/>
    <s v="Hybrid"/>
    <s v="SME (51-500)"/>
    <x v="7"/>
    <s v="TensorFlow|GPU Computing|Python|Problem Solving|Research|SQL"/>
    <n v="3.7"/>
    <x v="10"/>
    <x v="207"/>
    <n v="6.4"/>
    <x v="0"/>
    <n v="3"/>
    <n v="0"/>
    <x v="1"/>
    <x v="1"/>
    <s v="Mid ($100-150k)"/>
  </r>
  <r>
    <x v="899"/>
    <x v="3"/>
    <x v="1"/>
    <x v="2"/>
    <x v="8"/>
    <x v="2"/>
    <n v="130000"/>
    <n v="130000"/>
    <n v="220000"/>
    <s v="Toronto"/>
    <x v="7"/>
    <s v="Hybrid"/>
    <s v="Big Tech (FAANG+)"/>
    <x v="5"/>
    <s v="Feature Stores|Airflow|Spark|Python|dbt|ETL|SQL|Statistics|Communication"/>
    <n v="16.100000000000001"/>
    <x v="3"/>
    <x v="163"/>
    <n v="6.8"/>
    <x v="0"/>
    <n v="2"/>
    <n v="0"/>
    <x v="1"/>
    <x v="1"/>
    <s v="Mid ($100-150k)"/>
  </r>
  <r>
    <x v="900"/>
    <x v="15"/>
    <x v="0"/>
    <x v="1"/>
    <x v="2"/>
    <x v="0"/>
    <n v="336000"/>
    <n v="145000"/>
    <n v="280000"/>
    <s v="Austin"/>
    <x v="0"/>
    <s v="On-site"/>
    <s v="Big Tech (FAANG+)"/>
    <x v="9"/>
    <s v="LLMs|Python|Search Systems|LangChain|Embeddings|Research"/>
    <n v="4.2"/>
    <x v="14"/>
    <x v="442"/>
    <n v="7.1"/>
    <x v="1"/>
    <n v="4"/>
    <n v="1"/>
    <x v="0"/>
    <x v="0"/>
    <s v="Elite (&gt;$300k)"/>
  </r>
  <r>
    <x v="901"/>
    <x v="17"/>
    <x v="8"/>
    <x v="0"/>
    <x v="12"/>
    <x v="1"/>
    <n v="177000"/>
    <n v="157000"/>
    <n v="218000"/>
    <s v="Austin"/>
    <x v="0"/>
    <s v="Hybrid"/>
    <s v="Startup (1-50)"/>
    <x v="4"/>
    <s v="Leadership|Advanced Statistics|Deep Learning|Causal Inference|Python|Cloud"/>
    <n v="8"/>
    <x v="11"/>
    <x v="50"/>
    <n v="8.6"/>
    <x v="0"/>
    <n v="3"/>
    <n v="1"/>
    <x v="1"/>
    <x v="1"/>
    <s v="Upper-Mid ($150-200k)"/>
  </r>
  <r>
    <x v="902"/>
    <x v="20"/>
    <x v="0"/>
    <x v="3"/>
    <x v="0"/>
    <x v="1"/>
    <n v="125000"/>
    <n v="100000"/>
    <n v="250000"/>
    <s v="Austin"/>
    <x v="0"/>
    <s v="Fully Remote"/>
    <s v="Startup (1-50)"/>
    <x v="8"/>
    <s v="LLM Integration|Docker|Python|Cloud (AWS/GCP/Azure)|PyTorch|Statistics|Linux"/>
    <n v="10.4"/>
    <x v="9"/>
    <x v="331"/>
    <n v="6.2"/>
    <x v="0"/>
    <n v="1"/>
    <n v="0"/>
    <x v="1"/>
    <x v="1"/>
    <s v="Mid ($100-150k)"/>
  </r>
  <r>
    <x v="903"/>
    <x v="5"/>
    <x v="3"/>
    <x v="0"/>
    <x v="9"/>
    <x v="1"/>
    <n v="270000"/>
    <n v="140000"/>
    <n v="260000"/>
    <s v="Seattle"/>
    <x v="0"/>
    <s v="Hybrid"/>
    <s v="Enterprise (5000+)"/>
    <x v="5"/>
    <s v="Cybersecurity|Risk Analysis|ML Security|Problem Solving|Communication|Research"/>
    <n v="12"/>
    <x v="5"/>
    <x v="78"/>
    <n v="8.3000000000000007"/>
    <x v="1"/>
    <n v="2"/>
    <n v="1"/>
    <x v="1"/>
    <x v="1"/>
    <s v="Senior ($200-300k)"/>
  </r>
  <r>
    <x v="904"/>
    <x v="12"/>
    <x v="0"/>
    <x v="2"/>
    <x v="9"/>
    <x v="3"/>
    <n v="190000"/>
    <n v="160000"/>
    <n v="300000"/>
    <s v="San Francisco"/>
    <x v="0"/>
    <s v="Fully Remote"/>
    <s v="SME (51-500)"/>
    <x v="8"/>
    <s v="Python|APIs|Vision-Language Models|PyTorch|Fine-tuning|Problem Solving"/>
    <n v="10.199999999999999"/>
    <x v="11"/>
    <x v="100"/>
    <n v="6.1"/>
    <x v="1"/>
    <n v="12"/>
    <n v="0"/>
    <x v="1"/>
    <x v="1"/>
    <s v="Upper-Mid ($150-200k)"/>
  </r>
  <r>
    <x v="905"/>
    <x v="16"/>
    <x v="7"/>
    <x v="1"/>
    <x v="2"/>
    <x v="3"/>
    <n v="137000"/>
    <n v="125000"/>
    <n v="240000"/>
    <s v="Berlin"/>
    <x v="12"/>
    <s v="Fully Remote"/>
    <s v="Startup (1-50)"/>
    <x v="10"/>
    <s v="ROS|Computer Vision|Control Systems|Simulation|SQL|Statistics|Cloud"/>
    <n v="17.7"/>
    <x v="15"/>
    <x v="152"/>
    <n v="9.6999999999999993"/>
    <x v="1"/>
    <n v="1"/>
    <n v="1"/>
    <x v="1"/>
    <x v="1"/>
    <s v="Mid ($100-150k)"/>
  </r>
  <r>
    <x v="906"/>
    <x v="2"/>
    <x v="0"/>
    <x v="3"/>
    <x v="6"/>
    <x v="1"/>
    <n v="193000"/>
    <n v="160000"/>
    <n v="300000"/>
    <s v="London"/>
    <x v="1"/>
    <s v="Hybrid"/>
    <s v="Enterprise (5000+)"/>
    <x v="3"/>
    <s v="Fine-tuning|Vector DBs|Python|LLM APIs|Prompt Engineering|RAG|SQL|Research"/>
    <n v="4.4000000000000004"/>
    <x v="2"/>
    <x v="443"/>
    <n v="8.9"/>
    <x v="0"/>
    <n v="3"/>
    <n v="0"/>
    <x v="1"/>
    <x v="0"/>
    <s v="Upper-Mid ($150-200k)"/>
  </r>
  <r>
    <x v="907"/>
    <x v="1"/>
    <x v="0"/>
    <x v="0"/>
    <x v="2"/>
    <x v="2"/>
    <n v="109000"/>
    <n v="90000"/>
    <n v="200000"/>
    <s v="Singapore"/>
    <x v="2"/>
    <s v="Fully Remote"/>
    <s v="Startup (1-50)"/>
    <x v="6"/>
    <s v="LLM APIs|Documentation|NLP|Prompt Design|Git|Problem Solving"/>
    <n v="4.8"/>
    <x v="1"/>
    <x v="435"/>
    <n v="8.5"/>
    <x v="0"/>
    <n v="3"/>
    <n v="1"/>
    <x v="1"/>
    <x v="0"/>
    <s v="Mid ($100-150k)"/>
  </r>
  <r>
    <x v="908"/>
    <x v="4"/>
    <x v="2"/>
    <x v="0"/>
    <x v="6"/>
    <x v="0"/>
    <n v="175000"/>
    <n v="140000"/>
    <n v="260000"/>
    <s v="Tokyo"/>
    <x v="5"/>
    <s v="Hybrid"/>
    <s v="Mid-size (501-5000)"/>
    <x v="8"/>
    <s v="Product Strategy|Agile|Stakeholder Mgmt|Data Analysis|AI Literacy|Communication"/>
    <n v="16.2"/>
    <x v="4"/>
    <x v="282"/>
    <n v="8.3000000000000007"/>
    <x v="0"/>
    <n v="2"/>
    <n v="1"/>
    <x v="1"/>
    <x v="1"/>
    <s v="Upper-Mid ($150-200k)"/>
  </r>
  <r>
    <x v="909"/>
    <x v="7"/>
    <x v="0"/>
    <x v="0"/>
    <x v="0"/>
    <x v="0"/>
    <n v="348000"/>
    <n v="145000"/>
    <n v="290000"/>
    <s v="Los Angeles"/>
    <x v="0"/>
    <s v="Fully Remote"/>
    <s v="Big Tech (FAANG+)"/>
    <x v="2"/>
    <s v="Transformers|BERT|Python|Text Processing|LLMs|Hugging Face|Agile"/>
    <n v="3.2"/>
    <x v="6"/>
    <x v="75"/>
    <n v="6.3"/>
    <x v="0"/>
    <n v="2"/>
    <n v="1"/>
    <x v="1"/>
    <x v="1"/>
    <s v="Elite (&gt;$300k)"/>
  </r>
  <r>
    <x v="910"/>
    <x v="12"/>
    <x v="0"/>
    <x v="1"/>
    <x v="6"/>
    <x v="1"/>
    <n v="300000"/>
    <n v="160000"/>
    <n v="300000"/>
    <s v="Dubai"/>
    <x v="8"/>
    <s v="Fully Remote"/>
    <s v="Enterprise (5000+)"/>
    <x v="4"/>
    <s v="PyTorch|APIs|Fine-tuning|Vision-Language Models|Problem Solving|Agile|Research"/>
    <n v="12"/>
    <x v="11"/>
    <x v="278"/>
    <n v="8.6999999999999993"/>
    <x v="0"/>
    <n v="3"/>
    <n v="1"/>
    <x v="1"/>
    <x v="1"/>
    <s v="Senior ($200-300k)"/>
  </r>
  <r>
    <x v="911"/>
    <x v="23"/>
    <x v="9"/>
    <x v="0"/>
    <x v="10"/>
    <x v="0"/>
    <n v="137000"/>
    <n v="100000"/>
    <n v="200000"/>
    <s v="Toronto"/>
    <x v="7"/>
    <s v="Fully Remote"/>
    <s v="SME (51-500)"/>
    <x v="2"/>
    <s v="Legal Knowledge|Auditing|Documentation|Risk Management|Cloud"/>
    <n v="9.3000000000000007"/>
    <x v="19"/>
    <x v="311"/>
    <n v="7.1"/>
    <x v="1"/>
    <n v="12"/>
    <n v="1"/>
    <x v="1"/>
    <x v="1"/>
    <s v="Mid ($100-150k)"/>
  </r>
  <r>
    <x v="912"/>
    <x v="20"/>
    <x v="0"/>
    <x v="0"/>
    <x v="2"/>
    <x v="2"/>
    <n v="100000"/>
    <n v="100000"/>
    <n v="250000"/>
    <s v="Bangalore"/>
    <x v="4"/>
    <s v="Hybrid"/>
    <s v="Mid-size (501-5000)"/>
    <x v="3"/>
    <s v="PyTorch|LLM Integration|Docker|Problem Solving|Cloud"/>
    <n v="12.5"/>
    <x v="9"/>
    <x v="198"/>
    <n v="9.5"/>
    <x v="1"/>
    <n v="5"/>
    <n v="1"/>
    <x v="1"/>
    <x v="1"/>
    <s v="Entry (&lt;$100k)"/>
  </r>
  <r>
    <x v="913"/>
    <x v="17"/>
    <x v="8"/>
    <x v="2"/>
    <x v="8"/>
    <x v="4"/>
    <n v="157000"/>
    <n v="157000"/>
    <n v="218000"/>
    <s v="London"/>
    <x v="1"/>
    <s v="Fully Remote"/>
    <s v="Mid-size (501-5000)"/>
    <x v="4"/>
    <s v="Python|Causal Inference|Advanced Statistics|Leadership|Deep Learning|Git|Agile"/>
    <n v="4.5"/>
    <x v="11"/>
    <x v="90"/>
    <n v="7.7"/>
    <x v="0"/>
    <n v="3"/>
    <n v="0"/>
    <x v="1"/>
    <x v="1"/>
    <s v="Upper-Mid ($150-200k)"/>
  </r>
  <r>
    <x v="914"/>
    <x v="23"/>
    <x v="9"/>
    <x v="2"/>
    <x v="2"/>
    <x v="1"/>
    <n v="100000"/>
    <n v="100000"/>
    <n v="200000"/>
    <s v="Zurich"/>
    <x v="13"/>
    <s v="Fully Remote"/>
    <s v="SME (51-500)"/>
    <x v="4"/>
    <s v="Auditing|Documentation|EU AI Act|Legal Knowledge|Git"/>
    <n v="12.5"/>
    <x v="19"/>
    <x v="257"/>
    <n v="8.1"/>
    <x v="1"/>
    <n v="4"/>
    <n v="0"/>
    <x v="1"/>
    <x v="1"/>
    <s v="Entry (&lt;$100k)"/>
  </r>
  <r>
    <x v="915"/>
    <x v="3"/>
    <x v="1"/>
    <x v="1"/>
    <x v="2"/>
    <x v="2"/>
    <n v="156000"/>
    <n v="130000"/>
    <n v="220000"/>
    <s v="Berlin"/>
    <x v="12"/>
    <s v="Fully Remote"/>
    <s v="SME (51-500)"/>
    <x v="7"/>
    <s v="ETL|Feature Stores|Airflow|Python|dbt|Communication|Linux"/>
    <n v="14.8"/>
    <x v="3"/>
    <x v="263"/>
    <n v="7.6"/>
    <x v="1"/>
    <n v="12"/>
    <n v="1"/>
    <x v="1"/>
    <x v="1"/>
    <s v="Upper-Mid ($150-200k)"/>
  </r>
  <r>
    <x v="916"/>
    <x v="17"/>
    <x v="8"/>
    <x v="1"/>
    <x v="11"/>
    <x v="3"/>
    <n v="200000"/>
    <n v="157000"/>
    <n v="218000"/>
    <s v="London"/>
    <x v="1"/>
    <s v="Fully Remote"/>
    <s v="Enterprise (5000+)"/>
    <x v="6"/>
    <s v="Leadership|Causal Inference|ML|Python|Deep Learning|Advanced Statistics|Git"/>
    <n v="7.5"/>
    <x v="11"/>
    <x v="405"/>
    <n v="8.9"/>
    <x v="0"/>
    <n v="1"/>
    <n v="1"/>
    <x v="1"/>
    <x v="1"/>
    <s v="Upper-Mid ($150-200k)"/>
  </r>
  <r>
    <x v="917"/>
    <x v="8"/>
    <x v="4"/>
    <x v="2"/>
    <x v="14"/>
    <x v="4"/>
    <n v="180000"/>
    <n v="180000"/>
    <n v="320000"/>
    <s v="Tokyo"/>
    <x v="5"/>
    <s v="Hybrid"/>
    <s v="Startup (1-50)"/>
    <x v="0"/>
    <s v="System Design|Enterprise Architecture|Cloud|Linux|Problem Solving"/>
    <n v="11.2"/>
    <x v="7"/>
    <x v="444"/>
    <n v="9.6"/>
    <x v="1"/>
    <n v="1"/>
    <n v="0"/>
    <x v="1"/>
    <x v="1"/>
    <s v="Upper-Mid ($150-200k)"/>
  </r>
  <r>
    <x v="918"/>
    <x v="15"/>
    <x v="0"/>
    <x v="2"/>
    <x v="8"/>
    <x v="0"/>
    <n v="145000"/>
    <n v="145000"/>
    <n v="280000"/>
    <s v="Paris"/>
    <x v="10"/>
    <s v="Hybrid"/>
    <s v="SME (51-500)"/>
    <x v="2"/>
    <s v="Embeddings|Vector DBs|Python|Git"/>
    <n v="5.4"/>
    <x v="14"/>
    <x v="392"/>
    <n v="8"/>
    <x v="1"/>
    <n v="12"/>
    <n v="0"/>
    <x v="1"/>
    <x v="0"/>
    <s v="Mid ($100-150k)"/>
  </r>
  <r>
    <x v="919"/>
    <x v="20"/>
    <x v="0"/>
    <x v="1"/>
    <x v="0"/>
    <x v="0"/>
    <n v="100000"/>
    <n v="100000"/>
    <n v="250000"/>
    <s v="Beijing"/>
    <x v="6"/>
    <s v="On-site"/>
    <s v="SME (51-500)"/>
    <x v="9"/>
    <s v="Docker|Cloud (AWS/GCP/Azure)|PyTorch|Python|Linux"/>
    <n v="14.9"/>
    <x v="9"/>
    <x v="445"/>
    <n v="6.9"/>
    <x v="0"/>
    <n v="3"/>
    <n v="1"/>
    <x v="0"/>
    <x v="1"/>
    <s v="Entry (&lt;$100k)"/>
  </r>
  <r>
    <x v="920"/>
    <x v="15"/>
    <x v="0"/>
    <x v="2"/>
    <x v="4"/>
    <x v="4"/>
    <n v="145000"/>
    <n v="145000"/>
    <n v="280000"/>
    <s v="Beijing"/>
    <x v="6"/>
    <s v="Hybrid"/>
    <s v="SME (51-500)"/>
    <x v="10"/>
    <s v="LLMs|Vector DBs|Search Systems|Python|Cloud|Git"/>
    <n v="3.2"/>
    <x v="14"/>
    <x v="446"/>
    <n v="9.4"/>
    <x v="0"/>
    <n v="2"/>
    <n v="0"/>
    <x v="1"/>
    <x v="0"/>
    <s v="Mid ($100-150k)"/>
  </r>
  <r>
    <x v="921"/>
    <x v="9"/>
    <x v="0"/>
    <x v="1"/>
    <x v="2"/>
    <x v="2"/>
    <n v="194000"/>
    <n v="120000"/>
    <n v="280000"/>
    <s v="Dubai"/>
    <x v="8"/>
    <s v="On-site"/>
    <s v="SME (51-500)"/>
    <x v="0"/>
    <s v="PyTorch|MLOps|Python|Kubernetes|Research"/>
    <n v="9"/>
    <x v="8"/>
    <x v="58"/>
    <n v="9.6"/>
    <x v="0"/>
    <n v="1"/>
    <n v="1"/>
    <x v="0"/>
    <x v="1"/>
    <s v="Upper-Mid ($150-200k)"/>
  </r>
  <r>
    <x v="922"/>
    <x v="16"/>
    <x v="7"/>
    <x v="2"/>
    <x v="9"/>
    <x v="3"/>
    <n v="125000"/>
    <n v="125000"/>
    <n v="240000"/>
    <s v="Tokyo"/>
    <x v="5"/>
    <s v="On-site"/>
    <s v="SME (51-500)"/>
    <x v="9"/>
    <s v="Control Systems|C++|Computer Vision|Python|ROS|Research|Agile"/>
    <n v="17.8"/>
    <x v="15"/>
    <x v="216"/>
    <n v="9.6999999999999993"/>
    <x v="0"/>
    <n v="1"/>
    <n v="0"/>
    <x v="0"/>
    <x v="1"/>
    <s v="Mid ($100-150k)"/>
  </r>
  <r>
    <x v="923"/>
    <x v="24"/>
    <x v="11"/>
    <x v="2"/>
    <x v="8"/>
    <x v="2"/>
    <n v="115000"/>
    <n v="115000"/>
    <n v="280000"/>
    <s v="Dubai"/>
    <x v="8"/>
    <s v="On-site"/>
    <s v="Startup (1-50)"/>
    <x v="3"/>
    <s v="Mathematics|Publishing|PyTorch|Research|Python|Statistics"/>
    <n v="9.8000000000000007"/>
    <x v="3"/>
    <x v="330"/>
    <n v="9.8000000000000007"/>
    <x v="1"/>
    <n v="6"/>
    <n v="0"/>
    <x v="0"/>
    <x v="1"/>
    <s v="Mid ($100-150k)"/>
  </r>
  <r>
    <x v="924"/>
    <x v="0"/>
    <x v="0"/>
    <x v="3"/>
    <x v="3"/>
    <x v="3"/>
    <n v="261000"/>
    <n v="155000"/>
    <n v="290000"/>
    <s v="New York"/>
    <x v="0"/>
    <s v="On-site"/>
    <s v="Enterprise (5000+)"/>
    <x v="6"/>
    <s v="APIs|Python|Planning Systems|Cloud|Research"/>
    <n v="10.4"/>
    <x v="0"/>
    <x v="232"/>
    <n v="7.2"/>
    <x v="0"/>
    <n v="2"/>
    <n v="0"/>
    <x v="0"/>
    <x v="0"/>
    <s v="Senior ($200-300k)"/>
  </r>
  <r>
    <x v="925"/>
    <x v="23"/>
    <x v="9"/>
    <x v="0"/>
    <x v="2"/>
    <x v="0"/>
    <n v="240000"/>
    <n v="100000"/>
    <n v="200000"/>
    <s v="Boston"/>
    <x v="0"/>
    <s v="Hybrid"/>
    <s v="Big Tech (FAANG+)"/>
    <x v="7"/>
    <s v="Legal Knowledge|Risk Management|Auditing|SQL|Leadership|Agile"/>
    <n v="13.7"/>
    <x v="19"/>
    <x v="81"/>
    <n v="8.5"/>
    <x v="1"/>
    <n v="6"/>
    <n v="1"/>
    <x v="1"/>
    <x v="1"/>
    <s v="Senior ($200-300k)"/>
  </r>
  <r>
    <x v="926"/>
    <x v="10"/>
    <x v="0"/>
    <x v="2"/>
    <x v="8"/>
    <x v="4"/>
    <n v="150000"/>
    <n v="150000"/>
    <n v="295000"/>
    <s v="Berlin"/>
    <x v="12"/>
    <s v="Hybrid"/>
    <s v="Enterprise (5000+)"/>
    <x v="8"/>
    <s v="GenAI APIs|Python|Fine-tuning|Cloud"/>
    <n v="8.8000000000000007"/>
    <x v="9"/>
    <x v="264"/>
    <n v="8.6"/>
    <x v="1"/>
    <n v="5"/>
    <n v="0"/>
    <x v="1"/>
    <x v="0"/>
    <s v="Mid ($100-150k)"/>
  </r>
  <r>
    <x v="927"/>
    <x v="20"/>
    <x v="0"/>
    <x v="1"/>
    <x v="8"/>
    <x v="2"/>
    <n v="100000"/>
    <n v="100000"/>
    <n v="250000"/>
    <s v="Bangalore"/>
    <x v="4"/>
    <s v="Fully Remote"/>
    <s v="Startup (1-50)"/>
    <x v="1"/>
    <s v="PyTorch|Docker|LLM Integration|Python|Research"/>
    <n v="8.1999999999999993"/>
    <x v="9"/>
    <x v="398"/>
    <n v="9.6999999999999993"/>
    <x v="0"/>
    <n v="1"/>
    <n v="1"/>
    <x v="1"/>
    <x v="1"/>
    <s v="Entry (&lt;$100k)"/>
  </r>
  <r>
    <x v="928"/>
    <x v="15"/>
    <x v="0"/>
    <x v="3"/>
    <x v="1"/>
    <x v="1"/>
    <n v="154000"/>
    <n v="145000"/>
    <n v="280000"/>
    <s v="Remote"/>
    <x v="3"/>
    <s v="Hybrid"/>
    <s v="Startup (1-50)"/>
    <x v="11"/>
    <s v="Search Systems|Vector DBs|Embeddings|LLMs|Research|Leadership"/>
    <n v="5.8"/>
    <x v="14"/>
    <x v="161"/>
    <n v="8"/>
    <x v="1"/>
    <n v="3"/>
    <n v="0"/>
    <x v="1"/>
    <x v="0"/>
    <s v="Upper-Mid ($150-200k)"/>
  </r>
  <r>
    <x v="929"/>
    <x v="1"/>
    <x v="0"/>
    <x v="3"/>
    <x v="1"/>
    <x v="1"/>
    <n v="162000"/>
    <n v="90000"/>
    <n v="200000"/>
    <s v="Remote"/>
    <x v="3"/>
    <s v="Hybrid"/>
    <s v="Enterprise (5000+)"/>
    <x v="10"/>
    <s v="NLP|Documentation|Prompt Design|LLM APIs|Problem Solving|Leadership"/>
    <n v="7.5"/>
    <x v="1"/>
    <x v="9"/>
    <n v="6.9"/>
    <x v="0"/>
    <n v="1"/>
    <n v="0"/>
    <x v="1"/>
    <x v="0"/>
    <s v="Upper-Mid ($150-200k)"/>
  </r>
  <r>
    <x v="930"/>
    <x v="0"/>
    <x v="0"/>
    <x v="3"/>
    <x v="0"/>
    <x v="1"/>
    <n v="155000"/>
    <n v="155000"/>
    <n v="290000"/>
    <s v="Bangalore"/>
    <x v="4"/>
    <s v="On-site"/>
    <s v="Mid-size (501-5000)"/>
    <x v="9"/>
    <s v="AutoGen|APIs|LangChain|Python|Tool Use|Planning Systems|Git"/>
    <n v="9.1999999999999993"/>
    <x v="0"/>
    <x v="163"/>
    <n v="9.1999999999999993"/>
    <x v="0"/>
    <n v="2"/>
    <n v="0"/>
    <x v="0"/>
    <x v="0"/>
    <s v="Upper-Mid ($150-200k)"/>
  </r>
  <r>
    <x v="931"/>
    <x v="2"/>
    <x v="0"/>
    <x v="1"/>
    <x v="0"/>
    <x v="4"/>
    <n v="289000"/>
    <n v="160000"/>
    <n v="300000"/>
    <s v="Berlin"/>
    <x v="12"/>
    <s v="Hybrid"/>
    <s v="Mid-size (501-5000)"/>
    <x v="6"/>
    <s v="Python|LLM APIs|RAG|Research|Cloud|Agile"/>
    <n v="8.3000000000000007"/>
    <x v="2"/>
    <x v="447"/>
    <n v="7.1"/>
    <x v="0"/>
    <n v="2"/>
    <n v="1"/>
    <x v="1"/>
    <x v="0"/>
    <s v="Senior ($200-300k)"/>
  </r>
  <r>
    <x v="932"/>
    <x v="13"/>
    <x v="5"/>
    <x v="3"/>
    <x v="8"/>
    <x v="3"/>
    <n v="212000"/>
    <n v="130000"/>
    <n v="260000"/>
    <s v="Seattle"/>
    <x v="0"/>
    <s v="Hybrid"/>
    <s v="Enterprise (5000+)"/>
    <x v="2"/>
    <s v="Docker|Cloud|Python|Cloud"/>
    <n v="15"/>
    <x v="12"/>
    <x v="448"/>
    <n v="6.1"/>
    <x v="0"/>
    <n v="2"/>
    <n v="0"/>
    <x v="1"/>
    <x v="1"/>
    <s v="Senior ($200-300k)"/>
  </r>
  <r>
    <x v="933"/>
    <x v="14"/>
    <x v="6"/>
    <x v="3"/>
    <x v="1"/>
    <x v="3"/>
    <n v="123000"/>
    <n v="95000"/>
    <n v="180000"/>
    <s v="Amsterdam"/>
    <x v="9"/>
    <s v="Hybrid"/>
    <s v="Big Tech (FAANG+)"/>
    <x v="8"/>
    <s v="Communication|Business Analysis|SQL|Python|Data Visualization|Communication|SQL"/>
    <n v="12.7"/>
    <x v="13"/>
    <x v="182"/>
    <n v="7.4"/>
    <x v="1"/>
    <n v="9"/>
    <n v="0"/>
    <x v="1"/>
    <x v="1"/>
    <s v="Mid ($100-150k)"/>
  </r>
  <r>
    <x v="934"/>
    <x v="24"/>
    <x v="11"/>
    <x v="3"/>
    <x v="4"/>
    <x v="3"/>
    <n v="152000"/>
    <n v="115000"/>
    <n v="280000"/>
    <s v="Zurich"/>
    <x v="13"/>
    <s v="Hybrid"/>
    <s v="Enterprise (5000+)"/>
    <x v="7"/>
    <s v="Mathematics|Research|Publishing|Deep Learning|PyTorch|Agile|Cloud"/>
    <n v="11"/>
    <x v="3"/>
    <x v="335"/>
    <n v="7"/>
    <x v="0"/>
    <n v="2"/>
    <n v="0"/>
    <x v="1"/>
    <x v="1"/>
    <s v="Upper-Mid ($150-200k)"/>
  </r>
  <r>
    <x v="935"/>
    <x v="10"/>
    <x v="0"/>
    <x v="0"/>
    <x v="2"/>
    <x v="1"/>
    <n v="228000"/>
    <n v="150000"/>
    <n v="295000"/>
    <s v="London"/>
    <x v="1"/>
    <s v="Hybrid"/>
    <s v="Mid-size (501-5000)"/>
    <x v="11"/>
    <s v="Diffusion Models|LLMs|GenAI APIs|Communication|Agile|Leadership"/>
    <n v="10.3"/>
    <x v="9"/>
    <x v="449"/>
    <n v="9.3000000000000007"/>
    <x v="1"/>
    <n v="9"/>
    <n v="1"/>
    <x v="1"/>
    <x v="0"/>
    <s v="Senior ($200-300k)"/>
  </r>
  <r>
    <x v="936"/>
    <x v="23"/>
    <x v="9"/>
    <x v="3"/>
    <x v="6"/>
    <x v="0"/>
    <n v="100000"/>
    <n v="100000"/>
    <n v="200000"/>
    <s v="Tokyo"/>
    <x v="5"/>
    <s v="On-site"/>
    <s v="SME (51-500)"/>
    <x v="0"/>
    <s v="Legal Knowledge|Risk Management|Documentation|Auditing|EU AI Act|Leadership|Problem Solving|Agile"/>
    <n v="9"/>
    <x v="19"/>
    <x v="182"/>
    <n v="9.4"/>
    <x v="0"/>
    <n v="1"/>
    <n v="0"/>
    <x v="0"/>
    <x v="1"/>
    <s v="Entry (&lt;$100k)"/>
  </r>
  <r>
    <x v="937"/>
    <x v="9"/>
    <x v="0"/>
    <x v="1"/>
    <x v="0"/>
    <x v="1"/>
    <n v="231000"/>
    <n v="120000"/>
    <n v="280000"/>
    <s v="Chicago"/>
    <x v="0"/>
    <s v="On-site"/>
    <s v="Startup (1-50)"/>
    <x v="9"/>
    <s v="PyTorch|TensorFlow|MLOps|SQL|Kubernetes|Problem Solving|Linux"/>
    <n v="8.1"/>
    <x v="8"/>
    <x v="450"/>
    <n v="8.1999999999999993"/>
    <x v="0"/>
    <n v="2"/>
    <n v="1"/>
    <x v="0"/>
    <x v="1"/>
    <s v="Senior ($200-300k)"/>
  </r>
  <r>
    <x v="938"/>
    <x v="6"/>
    <x v="0"/>
    <x v="3"/>
    <x v="4"/>
    <x v="2"/>
    <n v="246000"/>
    <n v="180000"/>
    <n v="312000"/>
    <s v="Austin"/>
    <x v="0"/>
    <s v="Fully Remote"/>
    <s v="Big Tech (FAANG+)"/>
    <x v="8"/>
    <s v="Distributed Systems|System Design|Python|MLOps|Communication"/>
    <n v="11.3"/>
    <x v="0"/>
    <x v="451"/>
    <n v="7.4"/>
    <x v="0"/>
    <n v="2"/>
    <n v="0"/>
    <x v="1"/>
    <x v="1"/>
    <s v="Senior ($200-300k)"/>
  </r>
  <r>
    <x v="939"/>
    <x v="11"/>
    <x v="0"/>
    <x v="0"/>
    <x v="9"/>
    <x v="3"/>
    <n v="258000"/>
    <n v="141000"/>
    <n v="270000"/>
    <s v="Toronto"/>
    <x v="7"/>
    <s v="Hybrid"/>
    <s v="Big Tech (FAANG+)"/>
    <x v="8"/>
    <s v="GPU Computing|CUDA|PyTorch|Agile"/>
    <n v="5.0999999999999996"/>
    <x v="10"/>
    <x v="259"/>
    <n v="7.2"/>
    <x v="1"/>
    <n v="2"/>
    <n v="1"/>
    <x v="1"/>
    <x v="1"/>
    <s v="Senior ($200-300k)"/>
  </r>
  <r>
    <x v="940"/>
    <x v="6"/>
    <x v="0"/>
    <x v="0"/>
    <x v="9"/>
    <x v="1"/>
    <n v="353000"/>
    <n v="180000"/>
    <n v="312000"/>
    <s v="London"/>
    <x v="1"/>
    <s v="Hybrid"/>
    <s v="Big Tech (FAANG+)"/>
    <x v="2"/>
    <s v="PyTorch|MLOps|Distributed Systems|System Design|Linux|SQL|Communication"/>
    <n v="10.9"/>
    <x v="0"/>
    <x v="452"/>
    <n v="6.8"/>
    <x v="1"/>
    <n v="5"/>
    <n v="1"/>
    <x v="1"/>
    <x v="1"/>
    <s v="Elite (&gt;$300k)"/>
  </r>
  <r>
    <x v="941"/>
    <x v="7"/>
    <x v="0"/>
    <x v="1"/>
    <x v="9"/>
    <x v="2"/>
    <n v="348000"/>
    <n v="145000"/>
    <n v="290000"/>
    <s v="Zurich"/>
    <x v="13"/>
    <s v="Fully Remote"/>
    <s v="Big Tech (FAANG+)"/>
    <x v="11"/>
    <s v="Python|Hugging Face|BERT|Linux|Agile|Cloud"/>
    <n v="4.0999999999999996"/>
    <x v="6"/>
    <x v="453"/>
    <n v="6.3"/>
    <x v="0"/>
    <n v="2"/>
    <n v="1"/>
    <x v="1"/>
    <x v="1"/>
    <s v="Elite (&gt;$300k)"/>
  </r>
  <r>
    <x v="942"/>
    <x v="8"/>
    <x v="4"/>
    <x v="1"/>
    <x v="8"/>
    <x v="4"/>
    <n v="255000"/>
    <n v="180000"/>
    <n v="320000"/>
    <s v="Paris"/>
    <x v="10"/>
    <s v="Fully Remote"/>
    <s v="Startup (1-50)"/>
    <x v="9"/>
    <s v="Cloud|ML|System Design|Python|Leadership|Statistics|SQL|Linux"/>
    <n v="14.1"/>
    <x v="7"/>
    <x v="341"/>
    <n v="7.5"/>
    <x v="1"/>
    <n v="6"/>
    <n v="1"/>
    <x v="1"/>
    <x v="1"/>
    <s v="Senior ($200-300k)"/>
  </r>
  <r>
    <x v="943"/>
    <x v="10"/>
    <x v="0"/>
    <x v="3"/>
    <x v="3"/>
    <x v="0"/>
    <n v="196000"/>
    <n v="150000"/>
    <n v="295000"/>
    <s v="Chicago"/>
    <x v="0"/>
    <s v="On-site"/>
    <s v="SME (51-500)"/>
    <x v="2"/>
    <s v="Python|GenAI APIs|Deployment|Diffusion Models|Cloud|Git"/>
    <n v="8.1"/>
    <x v="9"/>
    <x v="225"/>
    <n v="6.7"/>
    <x v="0"/>
    <n v="2"/>
    <n v="0"/>
    <x v="0"/>
    <x v="0"/>
    <s v="Upper-Mid ($150-200k)"/>
  </r>
  <r>
    <x v="944"/>
    <x v="6"/>
    <x v="0"/>
    <x v="1"/>
    <x v="4"/>
    <x v="4"/>
    <n v="374400"/>
    <n v="180000"/>
    <n v="312000"/>
    <s v="Boston"/>
    <x v="0"/>
    <s v="Hybrid"/>
    <s v="Enterprise (5000+)"/>
    <x v="9"/>
    <s v="MLOps|PyTorch|Distributed Systems|System Design|LLM Fine-tuning|Python|SQL"/>
    <n v="11.7"/>
    <x v="0"/>
    <x v="293"/>
    <n v="9.6"/>
    <x v="1"/>
    <n v="4"/>
    <n v="1"/>
    <x v="1"/>
    <x v="1"/>
    <s v="Elite (&gt;$300k)"/>
  </r>
  <r>
    <x v="945"/>
    <x v="10"/>
    <x v="0"/>
    <x v="0"/>
    <x v="1"/>
    <x v="3"/>
    <n v="150000"/>
    <n v="150000"/>
    <n v="295000"/>
    <s v="Bangalore"/>
    <x v="4"/>
    <s v="Fully Remote"/>
    <s v="Big Tech (FAANG+)"/>
    <x v="11"/>
    <s v="Fine-tuning|GenAI APIs|Python|Diffusion Models|Agile|Research|Git"/>
    <n v="16"/>
    <x v="9"/>
    <x v="183"/>
    <n v="6.1"/>
    <x v="0"/>
    <n v="1"/>
    <n v="1"/>
    <x v="1"/>
    <x v="0"/>
    <s v="Mid ($100-150k)"/>
  </r>
  <r>
    <x v="946"/>
    <x v="24"/>
    <x v="11"/>
    <x v="2"/>
    <x v="10"/>
    <x v="4"/>
    <n v="143000"/>
    <n v="115000"/>
    <n v="280000"/>
    <s v="Austin"/>
    <x v="0"/>
    <s v="Hybrid"/>
    <s v="Mid-size (501-5000)"/>
    <x v="6"/>
    <s v="Publishing|Mathematics|Deep Learning|Research|Python|Research|Statistics"/>
    <n v="14.2"/>
    <x v="3"/>
    <x v="454"/>
    <n v="9.6"/>
    <x v="1"/>
    <n v="5"/>
    <n v="0"/>
    <x v="1"/>
    <x v="1"/>
    <s v="Mid ($100-150k)"/>
  </r>
  <r>
    <x v="947"/>
    <x v="9"/>
    <x v="0"/>
    <x v="3"/>
    <x v="10"/>
    <x v="2"/>
    <n v="143000"/>
    <n v="120000"/>
    <n v="280000"/>
    <s v="Sydney"/>
    <x v="11"/>
    <s v="Hybrid"/>
    <s v="Mid-size (501-5000)"/>
    <x v="4"/>
    <s v="SQL|MLOps|PyTorch|Kubernetes|Git|Linux|Leadership"/>
    <n v="16"/>
    <x v="8"/>
    <x v="194"/>
    <n v="8.6"/>
    <x v="1"/>
    <n v="9"/>
    <n v="0"/>
    <x v="1"/>
    <x v="1"/>
    <s v="Mid ($100-150k)"/>
  </r>
  <r>
    <x v="948"/>
    <x v="13"/>
    <x v="5"/>
    <x v="3"/>
    <x v="6"/>
    <x v="0"/>
    <n v="189000"/>
    <n v="130000"/>
    <n v="260000"/>
    <s v="Berlin"/>
    <x v="12"/>
    <s v="On-site"/>
    <s v="Big Tech (FAANG+)"/>
    <x v="0"/>
    <s v="CI/CD|MLflow|Python|Kubernetes|Linux"/>
    <n v="8.5"/>
    <x v="12"/>
    <x v="455"/>
    <n v="9.6999999999999993"/>
    <x v="1"/>
    <n v="12"/>
    <n v="0"/>
    <x v="0"/>
    <x v="1"/>
    <s v="Upper-Mid ($150-200k)"/>
  </r>
  <r>
    <x v="949"/>
    <x v="3"/>
    <x v="1"/>
    <x v="2"/>
    <x v="1"/>
    <x v="1"/>
    <n v="130000"/>
    <n v="130000"/>
    <n v="220000"/>
    <s v="Tokyo"/>
    <x v="5"/>
    <s v="Hybrid"/>
    <s v="Enterprise (5000+)"/>
    <x v="8"/>
    <s v="SQL|Feature Stores|Python|Spark|ETL|dbt|Git|Agile"/>
    <n v="14"/>
    <x v="3"/>
    <x v="26"/>
    <n v="9.4"/>
    <x v="1"/>
    <n v="2"/>
    <n v="0"/>
    <x v="1"/>
    <x v="1"/>
    <s v="Mid ($100-150k)"/>
  </r>
  <r>
    <x v="950"/>
    <x v="24"/>
    <x v="11"/>
    <x v="1"/>
    <x v="0"/>
    <x v="3"/>
    <n v="232000"/>
    <n v="115000"/>
    <n v="280000"/>
    <s v="Chicago"/>
    <x v="0"/>
    <s v="On-site"/>
    <s v="SME (51-500)"/>
    <x v="6"/>
    <s v="Mathematics|Deep Learning|PyTorch|Python|Statistics"/>
    <n v="9.1"/>
    <x v="3"/>
    <x v="311"/>
    <n v="8.6"/>
    <x v="0"/>
    <n v="2"/>
    <n v="1"/>
    <x v="0"/>
    <x v="1"/>
    <s v="Senior ($200-300k)"/>
  </r>
  <r>
    <x v="951"/>
    <x v="14"/>
    <x v="6"/>
    <x v="3"/>
    <x v="6"/>
    <x v="1"/>
    <n v="99000"/>
    <n v="95000"/>
    <n v="180000"/>
    <s v="Sydney"/>
    <x v="11"/>
    <s v="Hybrid"/>
    <s v="SME (51-500)"/>
    <x v="6"/>
    <s v="Python|Business Analysis|Communication|Research|SQL"/>
    <n v="13.2"/>
    <x v="13"/>
    <x v="52"/>
    <n v="8.1999999999999993"/>
    <x v="1"/>
    <n v="5"/>
    <n v="0"/>
    <x v="1"/>
    <x v="1"/>
    <s v="Entry (&lt;$100k)"/>
  </r>
  <r>
    <x v="952"/>
    <x v="8"/>
    <x v="4"/>
    <x v="2"/>
    <x v="12"/>
    <x v="4"/>
    <n v="258000"/>
    <n v="180000"/>
    <n v="320000"/>
    <s v="San Francisco"/>
    <x v="0"/>
    <s v="Hybrid"/>
    <s v="SME (51-500)"/>
    <x v="3"/>
    <s v="System Design|Leadership|ML|Enterprise Architecture|Cloud|Agile|Linux"/>
    <n v="14.6"/>
    <x v="7"/>
    <x v="37"/>
    <n v="9.3000000000000007"/>
    <x v="0"/>
    <n v="2"/>
    <n v="0"/>
    <x v="1"/>
    <x v="1"/>
    <s v="Senior ($200-300k)"/>
  </r>
  <r>
    <x v="953"/>
    <x v="7"/>
    <x v="0"/>
    <x v="1"/>
    <x v="4"/>
    <x v="3"/>
    <n v="193000"/>
    <n v="145000"/>
    <n v="290000"/>
    <s v="Berlin"/>
    <x v="12"/>
    <s v="Hybrid"/>
    <s v="SME (51-500)"/>
    <x v="4"/>
    <s v="BERT|Hugging Face|Transformers|Python|Git|Cloud"/>
    <n v="4"/>
    <x v="6"/>
    <x v="34"/>
    <n v="6.1"/>
    <x v="1"/>
    <n v="12"/>
    <n v="1"/>
    <x v="1"/>
    <x v="1"/>
    <s v="Upper-Mid ($150-200k)"/>
  </r>
  <r>
    <x v="954"/>
    <x v="24"/>
    <x v="11"/>
    <x v="0"/>
    <x v="10"/>
    <x v="1"/>
    <n v="271000"/>
    <n v="115000"/>
    <n v="280000"/>
    <s v="Austin"/>
    <x v="0"/>
    <s v="On-site"/>
    <s v="Big Tech (FAANG+)"/>
    <x v="3"/>
    <s v="Python|PyTorch|Research|Mathematics|Problem Solving|Cloud|Communication"/>
    <n v="14.7"/>
    <x v="3"/>
    <x v="142"/>
    <n v="8.5"/>
    <x v="1"/>
    <n v="10"/>
    <n v="1"/>
    <x v="0"/>
    <x v="1"/>
    <s v="Senior ($200-300k)"/>
  </r>
  <r>
    <x v="955"/>
    <x v="10"/>
    <x v="0"/>
    <x v="2"/>
    <x v="2"/>
    <x v="3"/>
    <n v="150000"/>
    <n v="150000"/>
    <n v="295000"/>
    <s v="Paris"/>
    <x v="10"/>
    <s v="Fully Remote"/>
    <s v="SME (51-500)"/>
    <x v="2"/>
    <s v="LLMs|Deployment|Python|Fine-tuning|GenAI APIs|Communication"/>
    <n v="10.199999999999999"/>
    <x v="9"/>
    <x v="456"/>
    <n v="9.1999999999999993"/>
    <x v="1"/>
    <n v="10"/>
    <n v="0"/>
    <x v="1"/>
    <x v="0"/>
    <s v="Mid ($100-150k)"/>
  </r>
  <r>
    <x v="956"/>
    <x v="16"/>
    <x v="7"/>
    <x v="2"/>
    <x v="4"/>
    <x v="1"/>
    <n v="125000"/>
    <n v="125000"/>
    <n v="240000"/>
    <s v="London"/>
    <x v="1"/>
    <s v="Hybrid"/>
    <s v="SME (51-500)"/>
    <x v="8"/>
    <s v="Python|ROS|C++|Agile|Leadership|Git"/>
    <n v="9.5"/>
    <x v="15"/>
    <x v="17"/>
    <n v="7.6"/>
    <x v="0"/>
    <n v="2"/>
    <n v="0"/>
    <x v="1"/>
    <x v="1"/>
    <s v="Mid ($100-150k)"/>
  </r>
  <r>
    <x v="957"/>
    <x v="13"/>
    <x v="5"/>
    <x v="2"/>
    <x v="0"/>
    <x v="2"/>
    <n v="130000"/>
    <n v="130000"/>
    <n v="260000"/>
    <s v="San Francisco"/>
    <x v="0"/>
    <s v="Hybrid"/>
    <s v="Startup (1-50)"/>
    <x v="5"/>
    <s v="Python|CI/CD|Docker|MLflow|Cloud|Monitoring|Kubernetes|Linux|Leadership"/>
    <n v="13.2"/>
    <x v="12"/>
    <x v="457"/>
    <n v="7.2"/>
    <x v="1"/>
    <n v="12"/>
    <n v="0"/>
    <x v="1"/>
    <x v="1"/>
    <s v="Mid ($100-150k)"/>
  </r>
  <r>
    <x v="958"/>
    <x v="2"/>
    <x v="0"/>
    <x v="1"/>
    <x v="1"/>
    <x v="4"/>
    <n v="337000"/>
    <n v="160000"/>
    <n v="300000"/>
    <s v="Sydney"/>
    <x v="11"/>
    <s v="On-site"/>
    <s v="Mid-size (501-5000)"/>
    <x v="9"/>
    <s v="Vector DBs|LLM APIs|Prompt Engineering|RAG|Python|Fine-tuning|Linux|Cloud|Problem Solving"/>
    <n v="4.3"/>
    <x v="2"/>
    <x v="315"/>
    <n v="6.2"/>
    <x v="1"/>
    <n v="10"/>
    <n v="1"/>
    <x v="0"/>
    <x v="0"/>
    <s v="Elite (&gt;$300k)"/>
  </r>
  <r>
    <x v="959"/>
    <x v="22"/>
    <x v="0"/>
    <x v="2"/>
    <x v="2"/>
    <x v="4"/>
    <n v="145000"/>
    <n v="145000"/>
    <n v="280000"/>
    <s v="Tokyo"/>
    <x v="5"/>
    <s v="Hybrid"/>
    <s v="SME (51-500)"/>
    <x v="11"/>
    <s v="CNNs|Image Processing|CUDA|Cloud"/>
    <n v="9.8000000000000007"/>
    <x v="18"/>
    <x v="165"/>
    <n v="8.6"/>
    <x v="1"/>
    <n v="3"/>
    <n v="0"/>
    <x v="1"/>
    <x v="1"/>
    <s v="Mid ($100-150k)"/>
  </r>
  <r>
    <x v="960"/>
    <x v="5"/>
    <x v="3"/>
    <x v="2"/>
    <x v="9"/>
    <x v="1"/>
    <n v="140000"/>
    <n v="140000"/>
    <n v="260000"/>
    <s v="Los Angeles"/>
    <x v="0"/>
    <s v="Fully Remote"/>
    <s v="Startup (1-50)"/>
    <x v="4"/>
    <s v="Red Teaming|Cybersecurity|Python|Risk Analysis|SQL|Problem Solving|Leadership"/>
    <n v="15.5"/>
    <x v="5"/>
    <x v="390"/>
    <n v="6.7"/>
    <x v="1"/>
    <n v="2"/>
    <n v="0"/>
    <x v="1"/>
    <x v="1"/>
    <s v="Mid ($100-150k)"/>
  </r>
  <r>
    <x v="961"/>
    <x v="20"/>
    <x v="0"/>
    <x v="0"/>
    <x v="8"/>
    <x v="0"/>
    <n v="135000"/>
    <n v="100000"/>
    <n v="250000"/>
    <s v="Toronto"/>
    <x v="7"/>
    <s v="Fully Remote"/>
    <s v="Startup (1-50)"/>
    <x v="7"/>
    <s v="Docker|Python|LLM Integration|Linux|Cloud|Problem Solving"/>
    <n v="15.7"/>
    <x v="9"/>
    <x v="78"/>
    <n v="7.7"/>
    <x v="0"/>
    <n v="2"/>
    <n v="1"/>
    <x v="1"/>
    <x v="1"/>
    <s v="Mid ($100-150k)"/>
  </r>
  <r>
    <x v="962"/>
    <x v="24"/>
    <x v="11"/>
    <x v="3"/>
    <x v="12"/>
    <x v="0"/>
    <n v="173000"/>
    <n v="115000"/>
    <n v="280000"/>
    <s v="Zurich"/>
    <x v="13"/>
    <s v="Hybrid"/>
    <s v="Enterprise (5000+)"/>
    <x v="5"/>
    <s v="Mathematics|Publishing|Deep Learning|Research|Communication"/>
    <n v="15.5"/>
    <x v="3"/>
    <x v="177"/>
    <n v="8.4"/>
    <x v="0"/>
    <n v="3"/>
    <n v="0"/>
    <x v="1"/>
    <x v="1"/>
    <s v="Upper-Mid ($150-200k)"/>
  </r>
  <r>
    <x v="963"/>
    <x v="23"/>
    <x v="9"/>
    <x v="1"/>
    <x v="9"/>
    <x v="3"/>
    <n v="135000"/>
    <n v="100000"/>
    <n v="200000"/>
    <s v="Sydney"/>
    <x v="11"/>
    <s v="On-site"/>
    <s v="SME (51-500)"/>
    <x v="9"/>
    <s v="Documentation|EU AI Act|Legal Knowledge|Auditing|Risk Management|Leadership"/>
    <n v="10.3"/>
    <x v="19"/>
    <x v="458"/>
    <n v="6.4"/>
    <x v="0"/>
    <n v="3"/>
    <n v="1"/>
    <x v="0"/>
    <x v="1"/>
    <s v="Mid ($100-150k)"/>
  </r>
  <r>
    <x v="964"/>
    <x v="10"/>
    <x v="0"/>
    <x v="3"/>
    <x v="0"/>
    <x v="3"/>
    <n v="162000"/>
    <n v="150000"/>
    <n v="295000"/>
    <s v="London"/>
    <x v="1"/>
    <s v="Hybrid"/>
    <s v="Mid-size (501-5000)"/>
    <x v="5"/>
    <s v="LLMs|Diffusion Models|Fine-tuning|SQL|Cloud|Research"/>
    <n v="14.5"/>
    <x v="9"/>
    <x v="459"/>
    <n v="8.4"/>
    <x v="1"/>
    <n v="10"/>
    <n v="0"/>
    <x v="1"/>
    <x v="0"/>
    <s v="Upper-Mid ($150-200k)"/>
  </r>
  <r>
    <x v="965"/>
    <x v="24"/>
    <x v="11"/>
    <x v="2"/>
    <x v="4"/>
    <x v="4"/>
    <n v="262000"/>
    <n v="115000"/>
    <n v="280000"/>
    <s v="San Francisco"/>
    <x v="0"/>
    <s v="Hybrid"/>
    <s v="Big Tech (FAANG+)"/>
    <x v="10"/>
    <s v="Deep Learning|Mathematics|Publishing|PyTorch|Research"/>
    <n v="11.5"/>
    <x v="3"/>
    <x v="24"/>
    <n v="8.1999999999999993"/>
    <x v="0"/>
    <n v="1"/>
    <n v="0"/>
    <x v="1"/>
    <x v="1"/>
    <s v="Senior ($200-300k)"/>
  </r>
  <r>
    <x v="966"/>
    <x v="16"/>
    <x v="7"/>
    <x v="1"/>
    <x v="3"/>
    <x v="0"/>
    <n v="224000"/>
    <n v="125000"/>
    <n v="240000"/>
    <s v="Paris"/>
    <x v="10"/>
    <s v="Hybrid"/>
    <s v="Mid-size (501-5000)"/>
    <x v="9"/>
    <s v="Simulation|Computer Vision|Control Systems|Python|Cloud|Leadership|Problem Solving"/>
    <n v="11.5"/>
    <x v="15"/>
    <x v="320"/>
    <n v="6.5"/>
    <x v="0"/>
    <n v="2"/>
    <n v="1"/>
    <x v="1"/>
    <x v="1"/>
    <s v="Senior ($200-300k)"/>
  </r>
  <r>
    <x v="967"/>
    <x v="15"/>
    <x v="0"/>
    <x v="3"/>
    <x v="8"/>
    <x v="4"/>
    <n v="254000"/>
    <n v="145000"/>
    <n v="280000"/>
    <s v="Dubai"/>
    <x v="8"/>
    <s v="On-site"/>
    <s v="Big Tech (FAANG+)"/>
    <x v="11"/>
    <s v="LangChain|Embeddings|Python|Vector DBs|LLMs|Problem Solving"/>
    <n v="4.9000000000000004"/>
    <x v="14"/>
    <x v="460"/>
    <n v="8.9"/>
    <x v="0"/>
    <n v="3"/>
    <n v="0"/>
    <x v="0"/>
    <x v="0"/>
    <s v="Senior ($200-300k)"/>
  </r>
  <r>
    <x v="968"/>
    <x v="13"/>
    <x v="5"/>
    <x v="1"/>
    <x v="3"/>
    <x v="3"/>
    <n v="267000"/>
    <n v="130000"/>
    <n v="260000"/>
    <s v="Seattle"/>
    <x v="0"/>
    <s v="On-site"/>
    <s v="Enterprise (5000+)"/>
    <x v="6"/>
    <s v="Cloud|MLflow|CI/CD|Docker|Monitoring|Kubernetes|Python|Statistics|Agile|Cloud"/>
    <n v="13.1"/>
    <x v="12"/>
    <x v="426"/>
    <n v="9"/>
    <x v="0"/>
    <n v="1"/>
    <n v="1"/>
    <x v="0"/>
    <x v="1"/>
    <s v="Senior ($200-300k)"/>
  </r>
  <r>
    <x v="969"/>
    <x v="1"/>
    <x v="0"/>
    <x v="0"/>
    <x v="3"/>
    <x v="3"/>
    <n v="135000"/>
    <n v="90000"/>
    <n v="200000"/>
    <s v="Zurich"/>
    <x v="13"/>
    <s v="Hybrid"/>
    <s v="SME (51-500)"/>
    <x v="1"/>
    <s v="NLP|Testing|Prompt Design|LLM APIs|Problem Solving|Leadership"/>
    <n v="5.2"/>
    <x v="1"/>
    <x v="124"/>
    <n v="6.6"/>
    <x v="0"/>
    <n v="2"/>
    <n v="1"/>
    <x v="1"/>
    <x v="0"/>
    <s v="Mid ($100-150k)"/>
  </r>
  <r>
    <x v="970"/>
    <x v="20"/>
    <x v="0"/>
    <x v="2"/>
    <x v="3"/>
    <x v="1"/>
    <n v="100000"/>
    <n v="100000"/>
    <n v="250000"/>
    <s v="Toronto"/>
    <x v="7"/>
    <s v="On-site"/>
    <s v="SME (51-500)"/>
    <x v="10"/>
    <s v="Python|PyTorch|LLM Integration|Cloud (AWS/GCP/Azure)|Problem Solving|SQL|Leadership"/>
    <n v="13.3"/>
    <x v="9"/>
    <x v="157"/>
    <n v="8"/>
    <x v="0"/>
    <n v="1"/>
    <n v="0"/>
    <x v="0"/>
    <x v="1"/>
    <s v="Entry (&lt;$100k)"/>
  </r>
  <r>
    <x v="971"/>
    <x v="16"/>
    <x v="7"/>
    <x v="3"/>
    <x v="0"/>
    <x v="1"/>
    <n v="163000"/>
    <n v="125000"/>
    <n v="240000"/>
    <s v="Tokyo"/>
    <x v="5"/>
    <s v="Fully Remote"/>
    <s v="Big Tech (FAANG+)"/>
    <x v="3"/>
    <s v="Control Systems|Simulation|Computer Vision|Python|Git|Leadership|Statistics"/>
    <n v="10.4"/>
    <x v="15"/>
    <x v="184"/>
    <n v="9.6"/>
    <x v="0"/>
    <n v="1"/>
    <n v="0"/>
    <x v="1"/>
    <x v="1"/>
    <s v="Upper-Mid ($150-200k)"/>
  </r>
  <r>
    <x v="972"/>
    <x v="9"/>
    <x v="0"/>
    <x v="2"/>
    <x v="9"/>
    <x v="4"/>
    <n v="211000"/>
    <n v="120000"/>
    <n v="280000"/>
    <s v="San Francisco"/>
    <x v="0"/>
    <s v="Hybrid"/>
    <s v="SME (51-500)"/>
    <x v="3"/>
    <s v="Kubernetes|SQL|TensorFlow|Communication|SQL|Statistics"/>
    <n v="13.6"/>
    <x v="8"/>
    <x v="461"/>
    <n v="6.7"/>
    <x v="0"/>
    <n v="3"/>
    <n v="0"/>
    <x v="1"/>
    <x v="1"/>
    <s v="Senior ($200-300k)"/>
  </r>
  <r>
    <x v="973"/>
    <x v="12"/>
    <x v="0"/>
    <x v="1"/>
    <x v="9"/>
    <x v="2"/>
    <n v="221000"/>
    <n v="160000"/>
    <n v="300000"/>
    <s v="Paris"/>
    <x v="10"/>
    <s v="Fully Remote"/>
    <s v="Enterprise (5000+)"/>
    <x v="7"/>
    <s v="Python|Fine-tuning|PyTorch|Vision-Language Models|Cloud"/>
    <n v="8.3000000000000007"/>
    <x v="11"/>
    <x v="328"/>
    <n v="6.8"/>
    <x v="1"/>
    <n v="12"/>
    <n v="1"/>
    <x v="1"/>
    <x v="1"/>
    <s v="Senior ($200-300k)"/>
  </r>
  <r>
    <x v="974"/>
    <x v="21"/>
    <x v="8"/>
    <x v="0"/>
    <x v="2"/>
    <x v="4"/>
    <n v="231000"/>
    <n v="138000"/>
    <n v="195000"/>
    <s v="New York"/>
    <x v="0"/>
    <s v="Hybrid"/>
    <s v="SME (51-500)"/>
    <x v="3"/>
    <s v="Data Visualization|ML Algorithms|Python|Statistics|Agile|Statistics"/>
    <n v="9.5"/>
    <x v="17"/>
    <x v="462"/>
    <n v="7.4"/>
    <x v="1"/>
    <n v="1"/>
    <n v="1"/>
    <x v="1"/>
    <x v="1"/>
    <s v="Senior ($200-300k)"/>
  </r>
  <r>
    <x v="975"/>
    <x v="2"/>
    <x v="0"/>
    <x v="2"/>
    <x v="8"/>
    <x v="4"/>
    <n v="197000"/>
    <n v="160000"/>
    <n v="300000"/>
    <s v="Austin"/>
    <x v="0"/>
    <s v="On-site"/>
    <s v="SME (51-500)"/>
    <x v="11"/>
    <s v="RAG|LLM APIs|Fine-tuning|Prompt Engineering|Python|Vector DBs|Git"/>
    <n v="4.7"/>
    <x v="2"/>
    <x v="463"/>
    <n v="8.5"/>
    <x v="1"/>
    <n v="1"/>
    <n v="0"/>
    <x v="0"/>
    <x v="0"/>
    <s v="Upper-Mid ($150-200k)"/>
  </r>
  <r>
    <x v="976"/>
    <x v="22"/>
    <x v="0"/>
    <x v="1"/>
    <x v="0"/>
    <x v="3"/>
    <n v="251000"/>
    <n v="145000"/>
    <n v="280000"/>
    <s v="Remote"/>
    <x v="3"/>
    <s v="Hybrid"/>
    <s v="Mid-size (501-5000)"/>
    <x v="2"/>
    <s v="PyTorch|Image Processing|OpenCV|CUDA|CNNs|Linux|Git"/>
    <n v="5.2"/>
    <x v="18"/>
    <x v="132"/>
    <n v="6.3"/>
    <x v="1"/>
    <n v="6"/>
    <n v="1"/>
    <x v="1"/>
    <x v="1"/>
    <s v="Senior ($200-300k)"/>
  </r>
  <r>
    <x v="977"/>
    <x v="10"/>
    <x v="0"/>
    <x v="2"/>
    <x v="6"/>
    <x v="0"/>
    <n v="150000"/>
    <n v="150000"/>
    <n v="295000"/>
    <s v="Singapore"/>
    <x v="2"/>
    <s v="Fully Remote"/>
    <s v="SME (51-500)"/>
    <x v="0"/>
    <s v="Python|GenAI APIs|Diffusion Models|Linux"/>
    <n v="8.6999999999999993"/>
    <x v="9"/>
    <x v="331"/>
    <n v="7.8"/>
    <x v="0"/>
    <n v="3"/>
    <n v="0"/>
    <x v="1"/>
    <x v="0"/>
    <s v="Mid ($100-150k)"/>
  </r>
  <r>
    <x v="978"/>
    <x v="17"/>
    <x v="8"/>
    <x v="3"/>
    <x v="6"/>
    <x v="3"/>
    <n v="168000"/>
    <n v="157000"/>
    <n v="218000"/>
    <s v="Zurich"/>
    <x v="13"/>
    <s v="Hybrid"/>
    <s v="Enterprise (5000+)"/>
    <x v="11"/>
    <s v="Deep Learning|Causal Inference|Leadership|ML|Advanced Statistics|Linux"/>
    <n v="4.2"/>
    <x v="11"/>
    <x v="337"/>
    <n v="6.5"/>
    <x v="0"/>
    <n v="1"/>
    <n v="0"/>
    <x v="1"/>
    <x v="1"/>
    <s v="Upper-Mid ($150-200k)"/>
  </r>
  <r>
    <x v="979"/>
    <x v="2"/>
    <x v="0"/>
    <x v="0"/>
    <x v="1"/>
    <x v="3"/>
    <n v="342000"/>
    <n v="160000"/>
    <n v="300000"/>
    <s v="Boston"/>
    <x v="0"/>
    <s v="Hybrid"/>
    <s v="Big Tech (FAANG+)"/>
    <x v="6"/>
    <s v="Python|Vector DBs|Fine-tuning|Prompt Engineering|RAG|LLM APIs|Problem Solving|Git"/>
    <n v="5.2"/>
    <x v="2"/>
    <x v="464"/>
    <n v="8.9"/>
    <x v="0"/>
    <n v="2"/>
    <n v="1"/>
    <x v="1"/>
    <x v="0"/>
    <s v="Elite (&gt;$300k)"/>
  </r>
  <r>
    <x v="980"/>
    <x v="23"/>
    <x v="9"/>
    <x v="1"/>
    <x v="0"/>
    <x v="2"/>
    <n v="202000"/>
    <n v="100000"/>
    <n v="200000"/>
    <s v="Austin"/>
    <x v="0"/>
    <s v="Hybrid"/>
    <s v="Mid-size (501-5000)"/>
    <x v="6"/>
    <s v="Legal Knowledge|EU AI Act|Risk Management|Agile|Research|Communication"/>
    <n v="17"/>
    <x v="19"/>
    <x v="465"/>
    <n v="7.3"/>
    <x v="0"/>
    <n v="3"/>
    <n v="1"/>
    <x v="1"/>
    <x v="1"/>
    <s v="Senior ($200-300k)"/>
  </r>
  <r>
    <x v="981"/>
    <x v="20"/>
    <x v="0"/>
    <x v="2"/>
    <x v="1"/>
    <x v="2"/>
    <n v="100000"/>
    <n v="100000"/>
    <n v="250000"/>
    <s v="London"/>
    <x v="1"/>
    <s v="Hybrid"/>
    <s v="SME (51-500)"/>
    <x v="1"/>
    <s v="LLM Integration|Docker|Cloud (AWS/GCP/Azure)|Problem Solving|Linux|Cloud"/>
    <n v="13.1"/>
    <x v="9"/>
    <x v="466"/>
    <n v="9.1"/>
    <x v="0"/>
    <n v="2"/>
    <n v="0"/>
    <x v="1"/>
    <x v="1"/>
    <s v="Entry (&lt;$100k)"/>
  </r>
  <r>
    <x v="982"/>
    <x v="24"/>
    <x v="11"/>
    <x v="1"/>
    <x v="12"/>
    <x v="0"/>
    <n v="336000"/>
    <n v="115000"/>
    <n v="280000"/>
    <s v="Remote"/>
    <x v="3"/>
    <s v="Fully Remote"/>
    <s v="Big Tech (FAANG+)"/>
    <x v="4"/>
    <s v="PyTorch|Research|Python|Publishing|Deep Learning|Mathematics|Agile|Cloud"/>
    <n v="10.1"/>
    <x v="3"/>
    <x v="467"/>
    <n v="6.9"/>
    <x v="0"/>
    <n v="3"/>
    <n v="1"/>
    <x v="1"/>
    <x v="1"/>
    <s v="Elite (&gt;$300k)"/>
  </r>
  <r>
    <x v="983"/>
    <x v="9"/>
    <x v="0"/>
    <x v="2"/>
    <x v="10"/>
    <x v="4"/>
    <n v="235000"/>
    <n v="120000"/>
    <n v="280000"/>
    <s v="Boston"/>
    <x v="0"/>
    <s v="Fully Remote"/>
    <s v="Big Tech (FAANG+)"/>
    <x v="5"/>
    <s v="TensorFlow|SQL|MLOps|PyTorch|Research"/>
    <n v="17.3"/>
    <x v="8"/>
    <x v="468"/>
    <n v="7.5"/>
    <x v="0"/>
    <n v="2"/>
    <n v="0"/>
    <x v="1"/>
    <x v="1"/>
    <s v="Senior ($200-300k)"/>
  </r>
  <r>
    <x v="984"/>
    <x v="7"/>
    <x v="0"/>
    <x v="3"/>
    <x v="0"/>
    <x v="2"/>
    <n v="210000"/>
    <n v="145000"/>
    <n v="290000"/>
    <s v="Los Angeles"/>
    <x v="0"/>
    <s v="Hybrid"/>
    <s v="Enterprise (5000+)"/>
    <x v="10"/>
    <s v="Text Processing|LLMs|BERT|Transformers|Python|Hugging Face|SQL|Git|Problem Solving"/>
    <n v="5.4"/>
    <x v="6"/>
    <x v="39"/>
    <n v="6.1"/>
    <x v="0"/>
    <n v="3"/>
    <n v="0"/>
    <x v="1"/>
    <x v="1"/>
    <s v="Senior ($200-300k)"/>
  </r>
  <r>
    <x v="985"/>
    <x v="19"/>
    <x v="10"/>
    <x v="2"/>
    <x v="8"/>
    <x v="1"/>
    <n v="140000"/>
    <n v="140000"/>
    <n v="270000"/>
    <s v="Toronto"/>
    <x v="7"/>
    <s v="Fully Remote"/>
    <s v="SME (51-500)"/>
    <x v="11"/>
    <s v="CUDA|Kubernetes|Networking|Storage|Distributed Systems|Leadership|Problem Solving|Agile"/>
    <n v="17"/>
    <x v="4"/>
    <x v="301"/>
    <n v="8.8000000000000007"/>
    <x v="0"/>
    <n v="2"/>
    <n v="0"/>
    <x v="1"/>
    <x v="1"/>
    <s v="Mid ($100-150k)"/>
  </r>
  <r>
    <x v="986"/>
    <x v="24"/>
    <x v="11"/>
    <x v="1"/>
    <x v="9"/>
    <x v="4"/>
    <n v="252000"/>
    <n v="115000"/>
    <n v="280000"/>
    <s v="Tokyo"/>
    <x v="5"/>
    <s v="Fully Remote"/>
    <s v="Mid-size (501-5000)"/>
    <x v="5"/>
    <s v="Mathematics|Python|Publishing|Deep Learning|Git"/>
    <n v="12.6"/>
    <x v="3"/>
    <x v="390"/>
    <n v="8.5"/>
    <x v="0"/>
    <n v="3"/>
    <n v="1"/>
    <x v="1"/>
    <x v="1"/>
    <s v="Senior ($200-300k)"/>
  </r>
  <r>
    <x v="987"/>
    <x v="6"/>
    <x v="0"/>
    <x v="3"/>
    <x v="12"/>
    <x v="2"/>
    <n v="224000"/>
    <n v="180000"/>
    <n v="312000"/>
    <s v="Austin"/>
    <x v="0"/>
    <s v="Fully Remote"/>
    <s v="Mid-size (501-5000)"/>
    <x v="4"/>
    <s v="MLOps|Python|System Design|Leadership|Agile|Problem Solving"/>
    <n v="15.9"/>
    <x v="0"/>
    <x v="469"/>
    <n v="6.8"/>
    <x v="0"/>
    <n v="1"/>
    <n v="0"/>
    <x v="1"/>
    <x v="1"/>
    <s v="Senior ($200-300k)"/>
  </r>
  <r>
    <x v="988"/>
    <x v="5"/>
    <x v="3"/>
    <x v="2"/>
    <x v="8"/>
    <x v="1"/>
    <n v="141000"/>
    <n v="140000"/>
    <n v="260000"/>
    <s v="Sydney"/>
    <x v="11"/>
    <s v="Fully Remote"/>
    <s v="Big Tech (FAANG+)"/>
    <x v="11"/>
    <s v="Cybersecurity|ML Security|Python|Red Teaming|Risk Analysis|Git|Problem Solving|Communication"/>
    <n v="12.9"/>
    <x v="5"/>
    <x v="390"/>
    <n v="7"/>
    <x v="0"/>
    <n v="3"/>
    <n v="0"/>
    <x v="1"/>
    <x v="1"/>
    <s v="Mid ($100-150k)"/>
  </r>
  <r>
    <x v="989"/>
    <x v="20"/>
    <x v="0"/>
    <x v="3"/>
    <x v="8"/>
    <x v="1"/>
    <n v="267000"/>
    <n v="100000"/>
    <n v="250000"/>
    <s v="San Francisco"/>
    <x v="0"/>
    <s v="Fully Remote"/>
    <s v="Big Tech (FAANG+)"/>
    <x v="2"/>
    <s v="Cloud (AWS/GCP/Azure)|Docker|Python|Cloud|Problem Solving|Communication"/>
    <n v="11.7"/>
    <x v="9"/>
    <x v="470"/>
    <n v="8.5"/>
    <x v="0"/>
    <n v="3"/>
    <n v="0"/>
    <x v="1"/>
    <x v="1"/>
    <s v="Senior ($200-300k)"/>
  </r>
  <r>
    <x v="990"/>
    <x v="23"/>
    <x v="9"/>
    <x v="2"/>
    <x v="9"/>
    <x v="4"/>
    <n v="168000"/>
    <n v="100000"/>
    <n v="200000"/>
    <s v="San Francisco"/>
    <x v="0"/>
    <s v="On-site"/>
    <s v="Enterprise (5000+)"/>
    <x v="0"/>
    <s v="EU AI Act|Auditing|Documentation|Problem Solving"/>
    <n v="17.600000000000001"/>
    <x v="19"/>
    <x v="80"/>
    <n v="9.1999999999999993"/>
    <x v="0"/>
    <n v="2"/>
    <n v="0"/>
    <x v="0"/>
    <x v="1"/>
    <s v="Upper-Mid ($150-200k)"/>
  </r>
  <r>
    <x v="991"/>
    <x v="17"/>
    <x v="8"/>
    <x v="2"/>
    <x v="4"/>
    <x v="0"/>
    <n v="157000"/>
    <n v="157000"/>
    <n v="218000"/>
    <s v="Toronto"/>
    <x v="7"/>
    <s v="Hybrid"/>
    <s v="Mid-size (501-5000)"/>
    <x v="1"/>
    <s v="Leadership|Deep Learning|Causal Inference|Git|Leadership|Problem Solving"/>
    <n v="3.4"/>
    <x v="11"/>
    <x v="112"/>
    <n v="6.8"/>
    <x v="0"/>
    <n v="2"/>
    <n v="0"/>
    <x v="1"/>
    <x v="1"/>
    <s v="Upper-Mid ($150-200k)"/>
  </r>
  <r>
    <x v="992"/>
    <x v="6"/>
    <x v="0"/>
    <x v="1"/>
    <x v="11"/>
    <x v="0"/>
    <n v="374400"/>
    <n v="180000"/>
    <n v="312000"/>
    <s v="Toronto"/>
    <x v="7"/>
    <s v="On-site"/>
    <s v="Big Tech (FAANG+)"/>
    <x v="11"/>
    <s v="MLOps|Python|PyTorch|System Design|Leadership|Cloud"/>
    <n v="11.5"/>
    <x v="0"/>
    <x v="471"/>
    <n v="6.2"/>
    <x v="1"/>
    <n v="6"/>
    <n v="1"/>
    <x v="0"/>
    <x v="1"/>
    <s v="Elite (&gt;$300k)"/>
  </r>
  <r>
    <x v="993"/>
    <x v="16"/>
    <x v="7"/>
    <x v="2"/>
    <x v="0"/>
    <x v="4"/>
    <n v="135000"/>
    <n v="125000"/>
    <n v="240000"/>
    <s v="Toronto"/>
    <x v="7"/>
    <s v="On-site"/>
    <s v="Enterprise (5000+)"/>
    <x v="11"/>
    <s v="Simulation|Python|ROS|C++|Control Systems|Computer Vision|Communication|Research"/>
    <n v="11.5"/>
    <x v="15"/>
    <x v="84"/>
    <n v="6.4"/>
    <x v="1"/>
    <n v="7"/>
    <n v="0"/>
    <x v="0"/>
    <x v="1"/>
    <s v="Mid ($100-150k)"/>
  </r>
  <r>
    <x v="994"/>
    <x v="12"/>
    <x v="0"/>
    <x v="3"/>
    <x v="8"/>
    <x v="2"/>
    <n v="160000"/>
    <n v="160000"/>
    <n v="300000"/>
    <s v="Beijing"/>
    <x v="6"/>
    <s v="On-site"/>
    <s v="Startup (1-50)"/>
    <x v="3"/>
    <s v="Vision-Language Models|APIs|Python|PyTorch|Problem Solving|Cloud|Leadership"/>
    <n v="17.100000000000001"/>
    <x v="11"/>
    <x v="18"/>
    <n v="8"/>
    <x v="1"/>
    <n v="5"/>
    <n v="0"/>
    <x v="0"/>
    <x v="1"/>
    <s v="Upper-Mid ($150-200k)"/>
  </r>
  <r>
    <x v="995"/>
    <x v="22"/>
    <x v="0"/>
    <x v="2"/>
    <x v="10"/>
    <x v="1"/>
    <n v="189000"/>
    <n v="145000"/>
    <n v="280000"/>
    <s v="Seattle"/>
    <x v="0"/>
    <s v="Fully Remote"/>
    <s v="Enterprise (5000+)"/>
    <x v="4"/>
    <s v="CUDA|OpenCV|PyTorch|CNNs|Image Processing|Agile|SQL"/>
    <n v="3.3"/>
    <x v="18"/>
    <x v="301"/>
    <n v="8.1"/>
    <x v="1"/>
    <n v="4"/>
    <n v="0"/>
    <x v="1"/>
    <x v="1"/>
    <s v="Upper-Mid ($150-200k)"/>
  </r>
  <r>
    <x v="996"/>
    <x v="20"/>
    <x v="0"/>
    <x v="1"/>
    <x v="3"/>
    <x v="3"/>
    <n v="142000"/>
    <n v="100000"/>
    <n v="250000"/>
    <s v="Berlin"/>
    <x v="12"/>
    <s v="On-site"/>
    <s v="SME (51-500)"/>
    <x v="11"/>
    <s v="Python|Cloud (AWS/GCP/Azure)|PyTorch|LLM Integration|Docker|Git|Leadership"/>
    <n v="11.2"/>
    <x v="9"/>
    <x v="472"/>
    <n v="6.1"/>
    <x v="0"/>
    <n v="1"/>
    <n v="1"/>
    <x v="0"/>
    <x v="1"/>
    <s v="Mid ($100-150k)"/>
  </r>
  <r>
    <x v="997"/>
    <x v="1"/>
    <x v="0"/>
    <x v="0"/>
    <x v="5"/>
    <x v="2"/>
    <n v="175000"/>
    <n v="90000"/>
    <n v="200000"/>
    <s v="Remote"/>
    <x v="3"/>
    <s v="On-site"/>
    <s v="Enterprise (5000+)"/>
    <x v="4"/>
    <s v="LLM APIs|Testing|Python|NLP|Research|Agile|Statistics"/>
    <n v="7.9"/>
    <x v="1"/>
    <x v="454"/>
    <n v="8.9"/>
    <x v="0"/>
    <n v="2"/>
    <n v="1"/>
    <x v="0"/>
    <x v="0"/>
    <s v="Upper-Mid ($150-200k)"/>
  </r>
  <r>
    <x v="998"/>
    <x v="17"/>
    <x v="8"/>
    <x v="1"/>
    <x v="4"/>
    <x v="4"/>
    <n v="261600"/>
    <n v="157000"/>
    <n v="218000"/>
    <s v="Remote"/>
    <x v="3"/>
    <s v="Hybrid"/>
    <s v="Startup (1-50)"/>
    <x v="2"/>
    <s v="Deep Learning|Leadership|Python|ML|Advanced Statistics|Causal Inference|SQL|Communication|Agile"/>
    <n v="8.3000000000000007"/>
    <x v="11"/>
    <x v="19"/>
    <n v="7.9"/>
    <x v="1"/>
    <n v="8"/>
    <n v="1"/>
    <x v="1"/>
    <x v="1"/>
    <s v="Senior ($200-300k)"/>
  </r>
  <r>
    <x v="999"/>
    <x v="8"/>
    <x v="4"/>
    <x v="3"/>
    <x v="10"/>
    <x v="0"/>
    <n v="270000"/>
    <n v="180000"/>
    <n v="320000"/>
    <s v="Singapore"/>
    <x v="2"/>
    <s v="Hybrid"/>
    <s v="Big Tech (FAANG+)"/>
    <x v="2"/>
    <s v="Python|System Design|ML|Leadership|Enterprise Architecture|Cloud|SQL|Git|Statistics"/>
    <n v="14.4"/>
    <x v="7"/>
    <x v="9"/>
    <n v="6.1"/>
    <x v="0"/>
    <n v="2"/>
    <n v="0"/>
    <x v="1"/>
    <x v="1"/>
    <s v="Senior ($200-300k)"/>
  </r>
  <r>
    <x v="1000"/>
    <x v="17"/>
    <x v="8"/>
    <x v="3"/>
    <x v="8"/>
    <x v="1"/>
    <n v="162000"/>
    <n v="157000"/>
    <n v="218000"/>
    <s v="Singapore"/>
    <x v="2"/>
    <s v="On-site"/>
    <s v="Mid-size (501-5000)"/>
    <x v="9"/>
    <s v="Advanced Statistics|Python|Deep Learning|Causal Inference|Statistics|Research|Leadership"/>
    <n v="8.3000000000000007"/>
    <x v="11"/>
    <x v="3"/>
    <n v="6.2"/>
    <x v="0"/>
    <n v="3"/>
    <n v="0"/>
    <x v="0"/>
    <x v="1"/>
    <s v="Upper-Mid ($150-200k)"/>
  </r>
  <r>
    <x v="1001"/>
    <x v="14"/>
    <x v="6"/>
    <x v="3"/>
    <x v="6"/>
    <x v="0"/>
    <n v="95000"/>
    <n v="95000"/>
    <n v="180000"/>
    <s v="Berlin"/>
    <x v="12"/>
    <s v="Fully Remote"/>
    <s v="Startup (1-50)"/>
    <x v="7"/>
    <s v="Communication|SQL|Data Visualization|Research|Agile|Git"/>
    <n v="9.4"/>
    <x v="13"/>
    <x v="165"/>
    <n v="9.6"/>
    <x v="1"/>
    <n v="12"/>
    <n v="0"/>
    <x v="1"/>
    <x v="1"/>
    <s v="Entry (&lt;$100k)"/>
  </r>
  <r>
    <x v="1002"/>
    <x v="10"/>
    <x v="0"/>
    <x v="3"/>
    <x v="6"/>
    <x v="3"/>
    <n v="177000"/>
    <n v="150000"/>
    <n v="295000"/>
    <s v="Tokyo"/>
    <x v="5"/>
    <s v="On-site"/>
    <s v="Enterprise (5000+)"/>
    <x v="6"/>
    <s v="GenAI APIs|Deployment|LLMs|Diffusion Models|Python|Fine-tuning|Linux|Problem Solving"/>
    <n v="16.3"/>
    <x v="9"/>
    <x v="473"/>
    <n v="8.6"/>
    <x v="1"/>
    <n v="2"/>
    <n v="0"/>
    <x v="0"/>
    <x v="0"/>
    <s v="Upper-Mid ($150-200k)"/>
  </r>
  <r>
    <x v="1003"/>
    <x v="21"/>
    <x v="8"/>
    <x v="2"/>
    <x v="4"/>
    <x v="1"/>
    <n v="138000"/>
    <n v="138000"/>
    <n v="195000"/>
    <s v="Tokyo"/>
    <x v="5"/>
    <s v="Hybrid"/>
    <s v="Big Tech (FAANG+)"/>
    <x v="3"/>
    <s v="Python|Scikit-learn|Statistics|ML Algorithms|Data Visualization|SQL|Leadership"/>
    <n v="7.6"/>
    <x v="17"/>
    <x v="293"/>
    <n v="9.5"/>
    <x v="0"/>
    <n v="1"/>
    <n v="0"/>
    <x v="1"/>
    <x v="1"/>
    <s v="Mid ($100-150k)"/>
  </r>
  <r>
    <x v="1004"/>
    <x v="15"/>
    <x v="0"/>
    <x v="1"/>
    <x v="1"/>
    <x v="3"/>
    <n v="215000"/>
    <n v="145000"/>
    <n v="280000"/>
    <s v="Toronto"/>
    <x v="7"/>
    <s v="On-site"/>
    <s v="SME (51-500)"/>
    <x v="1"/>
    <s v="Vector DBs|Embeddings|Python|Search Systems|LangChain|Research|Statistics"/>
    <n v="6.5"/>
    <x v="14"/>
    <x v="57"/>
    <n v="9.6"/>
    <x v="0"/>
    <n v="1"/>
    <n v="1"/>
    <x v="0"/>
    <x v="0"/>
    <s v="Senior ($200-300k)"/>
  </r>
  <r>
    <x v="1005"/>
    <x v="20"/>
    <x v="0"/>
    <x v="1"/>
    <x v="6"/>
    <x v="1"/>
    <n v="187000"/>
    <n v="100000"/>
    <n v="250000"/>
    <s v="Zurich"/>
    <x v="13"/>
    <s v="Hybrid"/>
    <s v="SME (51-500)"/>
    <x v="2"/>
    <s v="PyTorch|LLM Integration|Python|Git"/>
    <n v="11.8"/>
    <x v="9"/>
    <x v="274"/>
    <n v="7.9"/>
    <x v="0"/>
    <n v="3"/>
    <n v="1"/>
    <x v="1"/>
    <x v="1"/>
    <s v="Upper-Mid ($150-200k)"/>
  </r>
  <r>
    <x v="1006"/>
    <x v="2"/>
    <x v="0"/>
    <x v="3"/>
    <x v="6"/>
    <x v="1"/>
    <n v="173000"/>
    <n v="160000"/>
    <n v="300000"/>
    <s v="Remote"/>
    <x v="3"/>
    <s v="Hybrid"/>
    <s v="SME (51-500)"/>
    <x v="9"/>
    <s v="Fine-tuning|Vector DBs|RAG|Python|LLM APIs|Problem Solving"/>
    <n v="9.9"/>
    <x v="2"/>
    <x v="250"/>
    <n v="9.1999999999999993"/>
    <x v="0"/>
    <n v="2"/>
    <n v="0"/>
    <x v="1"/>
    <x v="0"/>
    <s v="Upper-Mid ($150-200k)"/>
  </r>
  <r>
    <x v="1007"/>
    <x v="7"/>
    <x v="0"/>
    <x v="3"/>
    <x v="0"/>
    <x v="0"/>
    <n v="153000"/>
    <n v="145000"/>
    <n v="290000"/>
    <s v="Amsterdam"/>
    <x v="9"/>
    <s v="On-site"/>
    <s v="Startup (1-50)"/>
    <x v="4"/>
    <s v="Transformers|BERT|Text Processing|Python|Cloud|SQL|Linux"/>
    <n v="9.4"/>
    <x v="6"/>
    <x v="474"/>
    <n v="6.3"/>
    <x v="0"/>
    <n v="3"/>
    <n v="0"/>
    <x v="0"/>
    <x v="1"/>
    <s v="Upper-Mid ($150-200k)"/>
  </r>
  <r>
    <x v="1008"/>
    <x v="10"/>
    <x v="0"/>
    <x v="0"/>
    <x v="4"/>
    <x v="4"/>
    <n v="354000"/>
    <n v="150000"/>
    <n v="295000"/>
    <s v="San Francisco"/>
    <x v="0"/>
    <s v="Fully Remote"/>
    <s v="Big Tech (FAANG+)"/>
    <x v="2"/>
    <s v="GenAI APIs|Diffusion Models|Python|LLMs|Fine-tuning|Deployment|Statistics|Problem Solving|Git"/>
    <n v="12.7"/>
    <x v="9"/>
    <x v="328"/>
    <n v="7.8"/>
    <x v="0"/>
    <n v="3"/>
    <n v="1"/>
    <x v="1"/>
    <x v="0"/>
    <s v="Elite (&gt;$300k)"/>
  </r>
  <r>
    <x v="1009"/>
    <x v="16"/>
    <x v="7"/>
    <x v="0"/>
    <x v="6"/>
    <x v="4"/>
    <n v="288000"/>
    <n v="125000"/>
    <n v="240000"/>
    <s v="San Francisco"/>
    <x v="0"/>
    <s v="On-site"/>
    <s v="SME (51-500)"/>
    <x v="7"/>
    <s v="ROS|Computer Vision|Simulation|Control Systems|C++|Problem Solving"/>
    <n v="17.600000000000001"/>
    <x v="15"/>
    <x v="302"/>
    <n v="9.5"/>
    <x v="1"/>
    <n v="7"/>
    <n v="1"/>
    <x v="0"/>
    <x v="1"/>
    <s v="Senior ($200-300k)"/>
  </r>
  <r>
    <x v="1010"/>
    <x v="16"/>
    <x v="7"/>
    <x v="1"/>
    <x v="9"/>
    <x v="4"/>
    <n v="244000"/>
    <n v="125000"/>
    <n v="240000"/>
    <s v="Sydney"/>
    <x v="11"/>
    <s v="Hybrid"/>
    <s v="Mid-size (501-5000)"/>
    <x v="5"/>
    <s v="Python|Simulation|Computer Vision|Control Systems|ROS|C++|Leadership|Agile|Problem Solving"/>
    <n v="13.1"/>
    <x v="15"/>
    <x v="374"/>
    <n v="9.1"/>
    <x v="0"/>
    <n v="1"/>
    <n v="1"/>
    <x v="1"/>
    <x v="1"/>
    <s v="Senior ($200-300k)"/>
  </r>
  <r>
    <x v="1011"/>
    <x v="14"/>
    <x v="6"/>
    <x v="2"/>
    <x v="6"/>
    <x v="3"/>
    <n v="123000"/>
    <n v="95000"/>
    <n v="180000"/>
    <s v="Boston"/>
    <x v="0"/>
    <s v="Fully Remote"/>
    <s v="Big Tech (FAANG+)"/>
    <x v="11"/>
    <s v="Python|SQL|Communication|Business Analysis|Data Visualization|Cloud"/>
    <n v="15.6"/>
    <x v="13"/>
    <x v="64"/>
    <n v="8.9"/>
    <x v="0"/>
    <n v="1"/>
    <n v="0"/>
    <x v="1"/>
    <x v="1"/>
    <s v="Mid ($100-150k)"/>
  </r>
  <r>
    <x v="1012"/>
    <x v="2"/>
    <x v="0"/>
    <x v="3"/>
    <x v="2"/>
    <x v="4"/>
    <n v="160000"/>
    <n v="160000"/>
    <n v="300000"/>
    <s v="Beijing"/>
    <x v="6"/>
    <s v="Fully Remote"/>
    <s v="SME (51-500)"/>
    <x v="11"/>
    <s v="Prompt Engineering|RAG|Fine-tuning|LLM APIs|Python|Linux|Git|Communication"/>
    <n v="5.9"/>
    <x v="2"/>
    <x v="475"/>
    <n v="6.7"/>
    <x v="0"/>
    <n v="1"/>
    <n v="0"/>
    <x v="1"/>
    <x v="0"/>
    <s v="Upper-Mid ($150-200k)"/>
  </r>
  <r>
    <x v="1013"/>
    <x v="24"/>
    <x v="11"/>
    <x v="3"/>
    <x v="8"/>
    <x v="3"/>
    <n v="169000"/>
    <n v="115000"/>
    <n v="280000"/>
    <s v="Seattle"/>
    <x v="0"/>
    <s v="On-site"/>
    <s v="SME (51-500)"/>
    <x v="1"/>
    <s v="Research|Publishing|Python|Communication"/>
    <n v="8.1999999999999993"/>
    <x v="3"/>
    <x v="274"/>
    <n v="6.9"/>
    <x v="1"/>
    <n v="12"/>
    <n v="0"/>
    <x v="0"/>
    <x v="1"/>
    <s v="Upper-Mid ($150-200k)"/>
  </r>
  <r>
    <x v="1014"/>
    <x v="2"/>
    <x v="0"/>
    <x v="2"/>
    <x v="8"/>
    <x v="2"/>
    <n v="160000"/>
    <n v="160000"/>
    <n v="300000"/>
    <s v="Zurich"/>
    <x v="13"/>
    <s v="Fully Remote"/>
    <s v="SME (51-500)"/>
    <x v="11"/>
    <s v="Python|Fine-tuning|Vector DBs|SQL|Problem Solving"/>
    <n v="9"/>
    <x v="2"/>
    <x v="476"/>
    <n v="8.9"/>
    <x v="0"/>
    <n v="1"/>
    <n v="0"/>
    <x v="1"/>
    <x v="0"/>
    <s v="Upper-Mid ($150-200k)"/>
  </r>
  <r>
    <x v="1015"/>
    <x v="17"/>
    <x v="8"/>
    <x v="1"/>
    <x v="12"/>
    <x v="2"/>
    <n v="226000"/>
    <n v="157000"/>
    <n v="218000"/>
    <s v="Remote"/>
    <x v="3"/>
    <s v="Hybrid"/>
    <s v="SME (51-500)"/>
    <x v="10"/>
    <s v="ML|Python|Causal Inference|Leadership|Git"/>
    <n v="10"/>
    <x v="11"/>
    <x v="420"/>
    <n v="6.2"/>
    <x v="1"/>
    <n v="10"/>
    <n v="1"/>
    <x v="1"/>
    <x v="1"/>
    <s v="Senior ($200-300k)"/>
  </r>
  <r>
    <x v="1016"/>
    <x v="14"/>
    <x v="6"/>
    <x v="3"/>
    <x v="1"/>
    <x v="0"/>
    <n v="114000"/>
    <n v="95000"/>
    <n v="180000"/>
    <s v="Dubai"/>
    <x v="8"/>
    <s v="Hybrid"/>
    <s v="Mid-size (501-5000)"/>
    <x v="7"/>
    <s v="Python|Data Visualization|SQL|Business Analysis|Communication|Git|Leadership"/>
    <n v="10.6"/>
    <x v="13"/>
    <x v="118"/>
    <n v="8.9"/>
    <x v="0"/>
    <n v="2"/>
    <n v="0"/>
    <x v="1"/>
    <x v="1"/>
    <s v="Mid ($100-150k)"/>
  </r>
  <r>
    <x v="1017"/>
    <x v="17"/>
    <x v="8"/>
    <x v="0"/>
    <x v="6"/>
    <x v="1"/>
    <n v="233000"/>
    <n v="157000"/>
    <n v="218000"/>
    <s v="San Francisco"/>
    <x v="0"/>
    <s v="Hybrid"/>
    <s v="SME (51-500)"/>
    <x v="11"/>
    <s v="Advanced Statistics|Causal Inference|ML|Leadership|Python|Statistics|Cloud"/>
    <n v="4.8"/>
    <x v="11"/>
    <x v="78"/>
    <n v="8.6999999999999993"/>
    <x v="0"/>
    <n v="2"/>
    <n v="1"/>
    <x v="1"/>
    <x v="1"/>
    <s v="Senior ($200-300k)"/>
  </r>
  <r>
    <x v="1018"/>
    <x v="8"/>
    <x v="4"/>
    <x v="2"/>
    <x v="10"/>
    <x v="1"/>
    <n v="180000"/>
    <n v="180000"/>
    <n v="320000"/>
    <s v="Austin"/>
    <x v="0"/>
    <s v="On-site"/>
    <s v="Startup (1-50)"/>
    <x v="7"/>
    <s v="Cloud|Leadership|System Design|Leadership|Linux|Problem Solving"/>
    <n v="12.5"/>
    <x v="7"/>
    <x v="223"/>
    <n v="7.1"/>
    <x v="1"/>
    <n v="7"/>
    <n v="0"/>
    <x v="0"/>
    <x v="1"/>
    <s v="Upper-Mid ($150-200k)"/>
  </r>
  <r>
    <x v="1019"/>
    <x v="17"/>
    <x v="8"/>
    <x v="0"/>
    <x v="12"/>
    <x v="2"/>
    <n v="261600"/>
    <n v="157000"/>
    <n v="218000"/>
    <s v="New York"/>
    <x v="0"/>
    <s v="On-site"/>
    <s v="Big Tech (FAANG+)"/>
    <x v="6"/>
    <s v="Leadership|Causal Inference|Advanced Statistics|ML|Python|Communication|Cloud"/>
    <n v="9.5"/>
    <x v="11"/>
    <x v="224"/>
    <n v="7.7"/>
    <x v="1"/>
    <n v="2"/>
    <n v="1"/>
    <x v="0"/>
    <x v="1"/>
    <s v="Senior ($200-300k)"/>
  </r>
  <r>
    <x v="1020"/>
    <x v="24"/>
    <x v="11"/>
    <x v="3"/>
    <x v="4"/>
    <x v="2"/>
    <n v="115000"/>
    <n v="115000"/>
    <n v="280000"/>
    <s v="Beijing"/>
    <x v="6"/>
    <s v="On-site"/>
    <s v="Startup (1-50)"/>
    <x v="11"/>
    <s v="Publishing|Deep Learning|Python|Linux|Statistics|Leadership"/>
    <n v="14.7"/>
    <x v="3"/>
    <x v="398"/>
    <n v="6.4"/>
    <x v="1"/>
    <n v="8"/>
    <n v="0"/>
    <x v="0"/>
    <x v="1"/>
    <s v="Mid ($100-150k)"/>
  </r>
  <r>
    <x v="1021"/>
    <x v="15"/>
    <x v="0"/>
    <x v="2"/>
    <x v="1"/>
    <x v="4"/>
    <n v="157000"/>
    <n v="145000"/>
    <n v="280000"/>
    <s v="Chicago"/>
    <x v="0"/>
    <s v="On-site"/>
    <s v="SME (51-500)"/>
    <x v="1"/>
    <s v="Python|Vector DBs|Search Systems|Linux|Research|Git"/>
    <n v="9.1999999999999993"/>
    <x v="14"/>
    <x v="477"/>
    <n v="6.8"/>
    <x v="0"/>
    <n v="3"/>
    <n v="0"/>
    <x v="0"/>
    <x v="0"/>
    <s v="Upper-Mid ($150-200k)"/>
  </r>
  <r>
    <x v="1022"/>
    <x v="10"/>
    <x v="0"/>
    <x v="0"/>
    <x v="0"/>
    <x v="1"/>
    <n v="161000"/>
    <n v="150000"/>
    <n v="295000"/>
    <s v="Amsterdam"/>
    <x v="9"/>
    <s v="Fully Remote"/>
    <s v="Startup (1-50)"/>
    <x v="8"/>
    <s v="LLMs|Fine-tuning|Python|GenAI APIs|Deployment|Statistics|Communication"/>
    <n v="15.5"/>
    <x v="9"/>
    <x v="478"/>
    <n v="8.8000000000000007"/>
    <x v="0"/>
    <n v="2"/>
    <n v="1"/>
    <x v="1"/>
    <x v="0"/>
    <s v="Upper-Mid ($150-200k)"/>
  </r>
  <r>
    <x v="1023"/>
    <x v="0"/>
    <x v="0"/>
    <x v="1"/>
    <x v="0"/>
    <x v="3"/>
    <n v="291000"/>
    <n v="155000"/>
    <n v="290000"/>
    <s v="Chicago"/>
    <x v="0"/>
    <s v="Hybrid"/>
    <s v="SME (51-500)"/>
    <x v="4"/>
    <s v="Tool Use|Python|Planning Systems|AutoGen|APIs|Communication|SQL"/>
    <n v="15.4"/>
    <x v="0"/>
    <x v="479"/>
    <n v="6.8"/>
    <x v="0"/>
    <n v="2"/>
    <n v="1"/>
    <x v="1"/>
    <x v="0"/>
    <s v="Senior ($200-300k)"/>
  </r>
  <r>
    <x v="1024"/>
    <x v="17"/>
    <x v="8"/>
    <x v="0"/>
    <x v="8"/>
    <x v="2"/>
    <n v="157000"/>
    <n v="157000"/>
    <n v="218000"/>
    <s v="Berlin"/>
    <x v="12"/>
    <s v="Hybrid"/>
    <s v="SME (51-500)"/>
    <x v="3"/>
    <s v="ML|Deep Learning|Advanced Statistics|Python|Leadership|Causal Inference|Linux|Research|Problem Solving"/>
    <n v="3"/>
    <x v="11"/>
    <x v="10"/>
    <n v="7.6"/>
    <x v="0"/>
    <n v="2"/>
    <n v="1"/>
    <x v="1"/>
    <x v="1"/>
    <s v="Upper-Mid ($150-200k)"/>
  </r>
  <r>
    <x v="1025"/>
    <x v="19"/>
    <x v="10"/>
    <x v="3"/>
    <x v="0"/>
    <x v="4"/>
    <n v="181000"/>
    <n v="140000"/>
    <n v="270000"/>
    <s v="Sydney"/>
    <x v="11"/>
    <s v="On-site"/>
    <s v="SME (51-500)"/>
    <x v="7"/>
    <s v="Distributed Systems|Storage|Networking|CUDA|Kubernetes|Cloud|Research|Git"/>
    <n v="8.6"/>
    <x v="4"/>
    <x v="399"/>
    <n v="6.1"/>
    <x v="0"/>
    <n v="1"/>
    <n v="0"/>
    <x v="0"/>
    <x v="1"/>
    <s v="Upper-Mid ($150-200k)"/>
  </r>
  <r>
    <x v="1026"/>
    <x v="5"/>
    <x v="3"/>
    <x v="1"/>
    <x v="4"/>
    <x v="4"/>
    <n v="312000"/>
    <n v="140000"/>
    <n v="260000"/>
    <s v="Paris"/>
    <x v="10"/>
    <s v="Hybrid"/>
    <s v="Big Tech (FAANG+)"/>
    <x v="8"/>
    <s v="Python|Risk Analysis|Cybersecurity|SQL|Agile"/>
    <n v="15.4"/>
    <x v="5"/>
    <x v="433"/>
    <n v="6.6"/>
    <x v="1"/>
    <n v="2"/>
    <n v="1"/>
    <x v="1"/>
    <x v="1"/>
    <s v="Elite (&gt;$300k)"/>
  </r>
  <r>
    <x v="1027"/>
    <x v="4"/>
    <x v="2"/>
    <x v="0"/>
    <x v="6"/>
    <x v="0"/>
    <n v="194000"/>
    <n v="140000"/>
    <n v="260000"/>
    <s v="Amsterdam"/>
    <x v="9"/>
    <s v="On-site"/>
    <s v="Mid-size (501-5000)"/>
    <x v="0"/>
    <s v="Product Strategy|Agile|Stakeholder Mgmt|Agile|Problem Solving|Git"/>
    <n v="15.1"/>
    <x v="4"/>
    <x v="4"/>
    <n v="6.7"/>
    <x v="0"/>
    <n v="3"/>
    <n v="1"/>
    <x v="0"/>
    <x v="1"/>
    <s v="Upper-Mid ($150-200k)"/>
  </r>
  <r>
    <x v="1028"/>
    <x v="17"/>
    <x v="8"/>
    <x v="2"/>
    <x v="6"/>
    <x v="3"/>
    <n v="157000"/>
    <n v="157000"/>
    <n v="218000"/>
    <s v="Zurich"/>
    <x v="13"/>
    <s v="Fully Remote"/>
    <s v="SME (51-500)"/>
    <x v="11"/>
    <s v="Leadership|Deep Learning|Causal Inference|ML|Python|Git|Leadership|Agile"/>
    <n v="6.8"/>
    <x v="11"/>
    <x v="244"/>
    <n v="7.5"/>
    <x v="0"/>
    <n v="1"/>
    <n v="0"/>
    <x v="1"/>
    <x v="1"/>
    <s v="Upper-Mid ($150-200k)"/>
  </r>
  <r>
    <x v="1029"/>
    <x v="3"/>
    <x v="1"/>
    <x v="2"/>
    <x v="6"/>
    <x v="0"/>
    <n v="130000"/>
    <n v="130000"/>
    <n v="220000"/>
    <s v="Boston"/>
    <x v="0"/>
    <s v="On-site"/>
    <s v="Startup (1-50)"/>
    <x v="1"/>
    <s v="SQL|Spark|ETL|Python|dbt|Communication"/>
    <n v="12"/>
    <x v="3"/>
    <x v="138"/>
    <n v="8.8000000000000007"/>
    <x v="0"/>
    <n v="1"/>
    <n v="0"/>
    <x v="0"/>
    <x v="1"/>
    <s v="Mid ($100-150k)"/>
  </r>
  <r>
    <x v="1030"/>
    <x v="7"/>
    <x v="0"/>
    <x v="2"/>
    <x v="3"/>
    <x v="2"/>
    <n v="145000"/>
    <n v="145000"/>
    <n v="290000"/>
    <s v="Remote"/>
    <x v="3"/>
    <s v="On-site"/>
    <s v="SME (51-500)"/>
    <x v="0"/>
    <s v="Transformers|Python|Text Processing|Hugging Face|Research|Leadership|SQL"/>
    <n v="4.9000000000000004"/>
    <x v="6"/>
    <x v="480"/>
    <n v="6.8"/>
    <x v="0"/>
    <n v="2"/>
    <n v="0"/>
    <x v="0"/>
    <x v="1"/>
    <s v="Mid ($100-150k)"/>
  </r>
  <r>
    <x v="1031"/>
    <x v="21"/>
    <x v="8"/>
    <x v="1"/>
    <x v="4"/>
    <x v="1"/>
    <n v="167000"/>
    <n v="138000"/>
    <n v="195000"/>
    <s v="London"/>
    <x v="1"/>
    <s v="Hybrid"/>
    <s v="Startup (1-50)"/>
    <x v="11"/>
    <s v="Python|ML Algorithms|Scikit-learn|Data Visualization|Statistics|SQL|Leadership|Agile|Git"/>
    <n v="8.9"/>
    <x v="17"/>
    <x v="247"/>
    <n v="9.1"/>
    <x v="1"/>
    <n v="6"/>
    <n v="1"/>
    <x v="1"/>
    <x v="1"/>
    <s v="Upper-Mid ($150-200k)"/>
  </r>
  <r>
    <x v="1032"/>
    <x v="20"/>
    <x v="0"/>
    <x v="3"/>
    <x v="2"/>
    <x v="3"/>
    <n v="123000"/>
    <n v="100000"/>
    <n v="250000"/>
    <s v="Boston"/>
    <x v="0"/>
    <s v="On-site"/>
    <s v="Startup (1-50)"/>
    <x v="5"/>
    <s v="LLM Integration|Python|PyTorch|Docker|Cloud (AWS/GCP/Azure)|Leadership|Research|SQL"/>
    <n v="12.7"/>
    <x v="9"/>
    <x v="419"/>
    <n v="8.6999999999999993"/>
    <x v="0"/>
    <n v="2"/>
    <n v="0"/>
    <x v="0"/>
    <x v="1"/>
    <s v="Mid ($100-150k)"/>
  </r>
  <r>
    <x v="1033"/>
    <x v="21"/>
    <x v="8"/>
    <x v="2"/>
    <x v="6"/>
    <x v="2"/>
    <n v="138000"/>
    <n v="138000"/>
    <n v="195000"/>
    <s v="Amsterdam"/>
    <x v="9"/>
    <s v="On-site"/>
    <s v="Startup (1-50)"/>
    <x v="10"/>
    <s v="Statistics|ML Algorithms|Scikit-learn|Data Visualization|Research|Git"/>
    <n v="5.4"/>
    <x v="17"/>
    <x v="481"/>
    <n v="7.7"/>
    <x v="0"/>
    <n v="1"/>
    <n v="0"/>
    <x v="0"/>
    <x v="1"/>
    <s v="Mid ($100-150k)"/>
  </r>
  <r>
    <x v="1034"/>
    <x v="20"/>
    <x v="0"/>
    <x v="2"/>
    <x v="2"/>
    <x v="2"/>
    <n v="100000"/>
    <n v="100000"/>
    <n v="250000"/>
    <s v="Chicago"/>
    <x v="0"/>
    <s v="On-site"/>
    <s v="Mid-size (501-5000)"/>
    <x v="9"/>
    <s v="Docker|Python|PyTorch|Cloud (AWS/GCP/Azure)|Agile|Problem Solving|Communication"/>
    <n v="12"/>
    <x v="9"/>
    <x v="100"/>
    <n v="9.6999999999999993"/>
    <x v="1"/>
    <n v="10"/>
    <n v="0"/>
    <x v="0"/>
    <x v="1"/>
    <s v="Entry (&lt;$100k)"/>
  </r>
  <r>
    <x v="1035"/>
    <x v="9"/>
    <x v="0"/>
    <x v="1"/>
    <x v="10"/>
    <x v="2"/>
    <n v="266000"/>
    <n v="120000"/>
    <n v="280000"/>
    <s v="Sydney"/>
    <x v="11"/>
    <s v="Hybrid"/>
    <s v="Big Tech (FAANG+)"/>
    <x v="11"/>
    <s v="MLOps|SQL|Python|PyTorch|TensorFlow|Statistics|Git|Cloud"/>
    <n v="10.5"/>
    <x v="8"/>
    <x v="20"/>
    <n v="9.5"/>
    <x v="1"/>
    <n v="12"/>
    <n v="1"/>
    <x v="1"/>
    <x v="1"/>
    <s v="Senior ($200-300k)"/>
  </r>
  <r>
    <x v="1036"/>
    <x v="17"/>
    <x v="8"/>
    <x v="2"/>
    <x v="9"/>
    <x v="1"/>
    <n v="158000"/>
    <n v="157000"/>
    <n v="218000"/>
    <s v="Seattle"/>
    <x v="0"/>
    <s v="Hybrid"/>
    <s v="Mid-size (501-5000)"/>
    <x v="2"/>
    <s v="ML|Python|Deep Learning|Advanced Statistics|Communication"/>
    <n v="9.9"/>
    <x v="11"/>
    <x v="42"/>
    <n v="8.5"/>
    <x v="0"/>
    <n v="1"/>
    <n v="0"/>
    <x v="1"/>
    <x v="1"/>
    <s v="Upper-Mid ($150-200k)"/>
  </r>
  <r>
    <x v="1037"/>
    <x v="13"/>
    <x v="5"/>
    <x v="3"/>
    <x v="0"/>
    <x v="2"/>
    <n v="130000"/>
    <n v="130000"/>
    <n v="260000"/>
    <s v="Los Angeles"/>
    <x v="0"/>
    <s v="Fully Remote"/>
    <s v="Startup (1-50)"/>
    <x v="11"/>
    <s v="MLflow|Python|Kubernetes|Monitoring|CI/CD|Git|Cloud"/>
    <n v="8.6999999999999993"/>
    <x v="12"/>
    <x v="186"/>
    <n v="9.3000000000000007"/>
    <x v="1"/>
    <n v="2"/>
    <n v="0"/>
    <x v="1"/>
    <x v="1"/>
    <s v="Mid ($100-150k)"/>
  </r>
  <r>
    <x v="1038"/>
    <x v="3"/>
    <x v="1"/>
    <x v="1"/>
    <x v="0"/>
    <x v="4"/>
    <n v="264000"/>
    <n v="130000"/>
    <n v="220000"/>
    <s v="Seattle"/>
    <x v="0"/>
    <s v="Hybrid"/>
    <s v="Enterprise (5000+)"/>
    <x v="6"/>
    <s v="Airflow|Feature Stores|SQL|ETL|dbt|Python|Spark|Problem Solving|Statistics|Communication"/>
    <n v="8.9"/>
    <x v="3"/>
    <x v="350"/>
    <n v="9.1"/>
    <x v="0"/>
    <n v="2"/>
    <n v="1"/>
    <x v="1"/>
    <x v="1"/>
    <s v="Senior ($200-300k)"/>
  </r>
  <r>
    <x v="1039"/>
    <x v="18"/>
    <x v="9"/>
    <x v="3"/>
    <x v="10"/>
    <x v="3"/>
    <n v="110000"/>
    <n v="110000"/>
    <n v="210000"/>
    <s v="Amsterdam"/>
    <x v="9"/>
    <s v="Hybrid"/>
    <s v="Mid-size (501-5000)"/>
    <x v="9"/>
    <s v="Ethics Frameworks|Communication|AI Policy|Statistics|Problem Solving|Git"/>
    <n v="8.8000000000000007"/>
    <x v="16"/>
    <x v="115"/>
    <n v="7.9"/>
    <x v="0"/>
    <n v="1"/>
    <n v="0"/>
    <x v="1"/>
    <x v="1"/>
    <s v="Mid ($100-150k)"/>
  </r>
  <r>
    <x v="1040"/>
    <x v="7"/>
    <x v="0"/>
    <x v="1"/>
    <x v="6"/>
    <x v="2"/>
    <n v="145000"/>
    <n v="145000"/>
    <n v="290000"/>
    <s v="Bangalore"/>
    <x v="4"/>
    <s v="Hybrid"/>
    <s v="Mid-size (501-5000)"/>
    <x v="8"/>
    <s v="Transformers|LLMs|Python|BERT|Text Processing|Communication"/>
    <n v="4.0999999999999996"/>
    <x v="6"/>
    <x v="482"/>
    <n v="7.7"/>
    <x v="0"/>
    <n v="2"/>
    <n v="1"/>
    <x v="1"/>
    <x v="1"/>
    <s v="Mid ($100-150k)"/>
  </r>
  <r>
    <x v="1041"/>
    <x v="23"/>
    <x v="9"/>
    <x v="1"/>
    <x v="6"/>
    <x v="3"/>
    <n v="149000"/>
    <n v="100000"/>
    <n v="200000"/>
    <s v="Berlin"/>
    <x v="12"/>
    <s v="Hybrid"/>
    <s v="Enterprise (5000+)"/>
    <x v="10"/>
    <s v="Legal Knowledge|EU AI Act|Auditing|Communication|SQL"/>
    <n v="11.6"/>
    <x v="19"/>
    <x v="77"/>
    <n v="8.9"/>
    <x v="0"/>
    <n v="3"/>
    <n v="1"/>
    <x v="1"/>
    <x v="1"/>
    <s v="Mid ($100-150k)"/>
  </r>
  <r>
    <x v="1042"/>
    <x v="23"/>
    <x v="9"/>
    <x v="2"/>
    <x v="6"/>
    <x v="0"/>
    <n v="100000"/>
    <n v="100000"/>
    <n v="200000"/>
    <s v="London"/>
    <x v="1"/>
    <s v="Fully Remote"/>
    <s v="Enterprise (5000+)"/>
    <x v="10"/>
    <s v="Risk Management|EU AI Act|Legal Knowledge|Auditing|Git|Agile"/>
    <n v="15.1"/>
    <x v="19"/>
    <x v="197"/>
    <n v="7.5"/>
    <x v="1"/>
    <n v="3"/>
    <n v="0"/>
    <x v="1"/>
    <x v="1"/>
    <s v="Entry (&lt;$100k)"/>
  </r>
  <r>
    <x v="1043"/>
    <x v="4"/>
    <x v="2"/>
    <x v="1"/>
    <x v="4"/>
    <x v="0"/>
    <n v="277000"/>
    <n v="140000"/>
    <n v="260000"/>
    <s v="Berlin"/>
    <x v="12"/>
    <s v="Hybrid"/>
    <s v="Enterprise (5000+)"/>
    <x v="1"/>
    <s v="Data Analysis|Stakeholder Mgmt|Product Strategy|AI Literacy|Agile|Agile|Linux"/>
    <n v="16.899999999999999"/>
    <x v="4"/>
    <x v="175"/>
    <n v="6.5"/>
    <x v="0"/>
    <n v="3"/>
    <n v="1"/>
    <x v="1"/>
    <x v="1"/>
    <s v="Senior ($200-300k)"/>
  </r>
  <r>
    <x v="1044"/>
    <x v="11"/>
    <x v="0"/>
    <x v="1"/>
    <x v="4"/>
    <x v="3"/>
    <n v="189000"/>
    <n v="141000"/>
    <n v="270000"/>
    <s v="Toronto"/>
    <x v="7"/>
    <s v="Fully Remote"/>
    <s v="SME (51-500)"/>
    <x v="3"/>
    <s v="GPU Computing|PyTorch|CUDA|TensorFlow|Neural Networks|Leadership|Research|SQL"/>
    <n v="7.9"/>
    <x v="10"/>
    <x v="59"/>
    <n v="8"/>
    <x v="0"/>
    <n v="2"/>
    <n v="1"/>
    <x v="1"/>
    <x v="1"/>
    <s v="Upper-Mid ($150-200k)"/>
  </r>
  <r>
    <x v="1045"/>
    <x v="14"/>
    <x v="6"/>
    <x v="2"/>
    <x v="6"/>
    <x v="4"/>
    <n v="95000"/>
    <n v="95000"/>
    <n v="180000"/>
    <s v="London"/>
    <x v="1"/>
    <s v="Fully Remote"/>
    <s v="SME (51-500)"/>
    <x v="11"/>
    <s v="Business Analysis|SQL|Python|Leadership"/>
    <n v="12.7"/>
    <x v="13"/>
    <x v="355"/>
    <n v="8.8000000000000007"/>
    <x v="0"/>
    <n v="2"/>
    <n v="0"/>
    <x v="1"/>
    <x v="1"/>
    <s v="Entry (&lt;$100k)"/>
  </r>
  <r>
    <x v="1046"/>
    <x v="15"/>
    <x v="0"/>
    <x v="0"/>
    <x v="0"/>
    <x v="1"/>
    <n v="241000"/>
    <n v="145000"/>
    <n v="280000"/>
    <s v="Zurich"/>
    <x v="13"/>
    <s v="Hybrid"/>
    <s v="Enterprise (5000+)"/>
    <x v="8"/>
    <s v="Embeddings|LangChain|Python|LLMs|Vector DBs|Problem Solving|Research|Leadership"/>
    <n v="4.8"/>
    <x v="14"/>
    <x v="176"/>
    <n v="6.3"/>
    <x v="0"/>
    <n v="1"/>
    <n v="1"/>
    <x v="1"/>
    <x v="0"/>
    <s v="Senior ($200-300k)"/>
  </r>
  <r>
    <x v="1047"/>
    <x v="7"/>
    <x v="0"/>
    <x v="3"/>
    <x v="9"/>
    <x v="0"/>
    <n v="179000"/>
    <n v="145000"/>
    <n v="290000"/>
    <s v="Dubai"/>
    <x v="8"/>
    <s v="On-site"/>
    <s v="Mid-size (501-5000)"/>
    <x v="5"/>
    <s v="LLMs|Transformers|Hugging Face|Python|Linux|Problem Solving|Leadership"/>
    <n v="8.3000000000000007"/>
    <x v="6"/>
    <x v="483"/>
    <n v="9.1999999999999993"/>
    <x v="0"/>
    <n v="2"/>
    <n v="0"/>
    <x v="0"/>
    <x v="1"/>
    <s v="Upper-Mid ($150-200k)"/>
  </r>
  <r>
    <x v="1048"/>
    <x v="1"/>
    <x v="0"/>
    <x v="1"/>
    <x v="5"/>
    <x v="1"/>
    <n v="90000"/>
    <n v="90000"/>
    <n v="200000"/>
    <s v="Beijing"/>
    <x v="6"/>
    <s v="Hybrid"/>
    <s v="Startup (1-50)"/>
    <x v="11"/>
    <s v="LLM APIs|Testing|Python|Prompt Design|Documentation|Leadership|Cloud"/>
    <n v="3.2"/>
    <x v="1"/>
    <x v="311"/>
    <n v="6.4"/>
    <x v="0"/>
    <n v="3"/>
    <n v="1"/>
    <x v="1"/>
    <x v="0"/>
    <s v="Entry (&lt;$100k)"/>
  </r>
  <r>
    <x v="1049"/>
    <x v="20"/>
    <x v="0"/>
    <x v="3"/>
    <x v="3"/>
    <x v="0"/>
    <n v="215000"/>
    <n v="100000"/>
    <n v="250000"/>
    <s v="Los Angeles"/>
    <x v="0"/>
    <s v="On-site"/>
    <s v="Big Tech (FAANG+)"/>
    <x v="0"/>
    <s v="PyTorch|Python|Docker|LLM Integration|Cloud (AWS/GCP/Azure)|Cloud|Agile|Research"/>
    <n v="13.5"/>
    <x v="9"/>
    <x v="154"/>
    <n v="7.7"/>
    <x v="0"/>
    <n v="1"/>
    <n v="0"/>
    <x v="0"/>
    <x v="1"/>
    <s v="Senior ($200-300k)"/>
  </r>
  <r>
    <x v="1050"/>
    <x v="11"/>
    <x v="0"/>
    <x v="3"/>
    <x v="3"/>
    <x v="3"/>
    <n v="227000"/>
    <n v="141000"/>
    <n v="270000"/>
    <s v="Seattle"/>
    <x v="0"/>
    <s v="Fully Remote"/>
    <s v="Enterprise (5000+)"/>
    <x v="3"/>
    <s v="CUDA|Python|GPU Computing|PyTorch|Neural Networks|Linux"/>
    <n v="4.3"/>
    <x v="10"/>
    <x v="257"/>
    <n v="7.4"/>
    <x v="1"/>
    <n v="2"/>
    <n v="0"/>
    <x v="1"/>
    <x v="1"/>
    <s v="Senior ($200-300k)"/>
  </r>
  <r>
    <x v="1051"/>
    <x v="8"/>
    <x v="4"/>
    <x v="0"/>
    <x v="9"/>
    <x v="3"/>
    <n v="344000"/>
    <n v="180000"/>
    <n v="320000"/>
    <s v="Chicago"/>
    <x v="0"/>
    <s v="On-site"/>
    <s v="Big Tech (FAANG+)"/>
    <x v="1"/>
    <s v="Leadership|Cloud|System Design|Cloud|Statistics|Agile"/>
    <n v="11.5"/>
    <x v="7"/>
    <x v="198"/>
    <n v="9.1"/>
    <x v="0"/>
    <n v="1"/>
    <n v="1"/>
    <x v="0"/>
    <x v="1"/>
    <s v="Elite (&gt;$300k)"/>
  </r>
  <r>
    <x v="1052"/>
    <x v="19"/>
    <x v="10"/>
    <x v="3"/>
    <x v="2"/>
    <x v="0"/>
    <n v="140000"/>
    <n v="140000"/>
    <n v="270000"/>
    <s v="Beijing"/>
    <x v="6"/>
    <s v="On-site"/>
    <s v="SME (51-500)"/>
    <x v="7"/>
    <s v="Kubernetes|Storage|Cloud|Distributed Systems|CUDA|Networking|Statistics"/>
    <n v="17.7"/>
    <x v="4"/>
    <x v="293"/>
    <n v="7.6"/>
    <x v="1"/>
    <n v="7"/>
    <n v="0"/>
    <x v="0"/>
    <x v="1"/>
    <s v="Mid ($100-150k)"/>
  </r>
  <r>
    <x v="1053"/>
    <x v="19"/>
    <x v="10"/>
    <x v="1"/>
    <x v="8"/>
    <x v="4"/>
    <n v="317000"/>
    <n v="140000"/>
    <n v="270000"/>
    <s v="Amsterdam"/>
    <x v="9"/>
    <s v="Hybrid"/>
    <s v="Enterprise (5000+)"/>
    <x v="1"/>
    <s v="Storage|CUDA|Networking|Cloud|Research|Agile|Statistics"/>
    <n v="8"/>
    <x v="4"/>
    <x v="137"/>
    <n v="7.7"/>
    <x v="0"/>
    <n v="2"/>
    <n v="1"/>
    <x v="1"/>
    <x v="1"/>
    <s v="Elite (&gt;$300k)"/>
  </r>
  <r>
    <x v="1054"/>
    <x v="10"/>
    <x v="0"/>
    <x v="1"/>
    <x v="8"/>
    <x v="1"/>
    <n v="295000"/>
    <n v="150000"/>
    <n v="295000"/>
    <s v="Remote"/>
    <x v="3"/>
    <s v="Fully Remote"/>
    <s v="Mid-size (501-5000)"/>
    <x v="0"/>
    <s v="Deployment|Python|GenAI APIs|SQL|Linux|Leadership"/>
    <n v="15.8"/>
    <x v="9"/>
    <x v="429"/>
    <n v="9.4"/>
    <x v="1"/>
    <n v="1"/>
    <n v="1"/>
    <x v="1"/>
    <x v="0"/>
    <s v="Senior ($200-300k)"/>
  </r>
  <r>
    <x v="1055"/>
    <x v="22"/>
    <x v="0"/>
    <x v="2"/>
    <x v="4"/>
    <x v="2"/>
    <n v="145000"/>
    <n v="145000"/>
    <n v="280000"/>
    <s v="Berlin"/>
    <x v="12"/>
    <s v="On-site"/>
    <s v="Big Tech (FAANG+)"/>
    <x v="4"/>
    <s v="OpenCV|CUDA|Image Processing|Python|PyTorch|Communication"/>
    <n v="4.0999999999999996"/>
    <x v="18"/>
    <x v="200"/>
    <n v="8.5"/>
    <x v="1"/>
    <n v="1"/>
    <n v="0"/>
    <x v="0"/>
    <x v="1"/>
    <s v="Mid ($100-150k)"/>
  </r>
  <r>
    <x v="1056"/>
    <x v="21"/>
    <x v="8"/>
    <x v="0"/>
    <x v="0"/>
    <x v="4"/>
    <n v="138000"/>
    <n v="138000"/>
    <n v="195000"/>
    <s v="Beijing"/>
    <x v="6"/>
    <s v="Fully Remote"/>
    <s v="SME (51-500)"/>
    <x v="2"/>
    <s v="Statistics|Scikit-learn|SQL|Communication|Problem Solving|Leadership"/>
    <n v="5.0999999999999996"/>
    <x v="17"/>
    <x v="185"/>
    <n v="9.5"/>
    <x v="0"/>
    <n v="1"/>
    <n v="1"/>
    <x v="1"/>
    <x v="1"/>
    <s v="Mid ($100-150k)"/>
  </r>
  <r>
    <x v="1057"/>
    <x v="20"/>
    <x v="0"/>
    <x v="0"/>
    <x v="8"/>
    <x v="2"/>
    <n v="120000"/>
    <n v="100000"/>
    <n v="250000"/>
    <s v="Tokyo"/>
    <x v="5"/>
    <s v="On-site"/>
    <s v="Startup (1-50)"/>
    <x v="11"/>
    <s v="LLM Integration|Python|PyTorch|Docker|Cloud (AWS/GCP/Azure)|Linux"/>
    <n v="15.8"/>
    <x v="9"/>
    <x v="484"/>
    <n v="7.5"/>
    <x v="0"/>
    <n v="3"/>
    <n v="1"/>
    <x v="0"/>
    <x v="1"/>
    <s v="Mid ($100-150k)"/>
  </r>
  <r>
    <x v="1058"/>
    <x v="15"/>
    <x v="0"/>
    <x v="2"/>
    <x v="4"/>
    <x v="1"/>
    <n v="145000"/>
    <n v="145000"/>
    <n v="280000"/>
    <s v="Beijing"/>
    <x v="6"/>
    <s v="Hybrid"/>
    <s v="SME (51-500)"/>
    <x v="1"/>
    <s v="Vector DBs|Python|Embeddings|LangChain|LLMs|Search Systems|Linux|Git"/>
    <n v="7.2"/>
    <x v="14"/>
    <x v="485"/>
    <n v="8.4"/>
    <x v="0"/>
    <n v="2"/>
    <n v="0"/>
    <x v="1"/>
    <x v="0"/>
    <s v="Mid ($100-150k)"/>
  </r>
  <r>
    <x v="1059"/>
    <x v="4"/>
    <x v="2"/>
    <x v="3"/>
    <x v="2"/>
    <x v="0"/>
    <n v="140000"/>
    <n v="140000"/>
    <n v="260000"/>
    <s v="Beijing"/>
    <x v="6"/>
    <s v="Hybrid"/>
    <s v="Startup (1-50)"/>
    <x v="6"/>
    <s v="AI Literacy|Product Strategy|Data Analysis|Stakeholder Mgmt|Agile|Cloud|Linux|Problem Solving"/>
    <n v="9.5"/>
    <x v="4"/>
    <x v="486"/>
    <n v="8.4"/>
    <x v="1"/>
    <n v="7"/>
    <n v="0"/>
    <x v="1"/>
    <x v="1"/>
    <s v="Mid ($100-150k)"/>
  </r>
  <r>
    <x v="1060"/>
    <x v="21"/>
    <x v="8"/>
    <x v="1"/>
    <x v="6"/>
    <x v="1"/>
    <n v="200000"/>
    <n v="138000"/>
    <n v="195000"/>
    <s v="Austin"/>
    <x v="0"/>
    <s v="Hybrid"/>
    <s v="Startup (1-50)"/>
    <x v="9"/>
    <s v="Python|ML Algorithms|Statistics|SQL|Leadership|Agile|Statistics"/>
    <n v="4.3"/>
    <x v="17"/>
    <x v="487"/>
    <n v="6.2"/>
    <x v="0"/>
    <n v="2"/>
    <n v="1"/>
    <x v="1"/>
    <x v="1"/>
    <s v="Upper-Mid ($150-200k)"/>
  </r>
  <r>
    <x v="1061"/>
    <x v="3"/>
    <x v="1"/>
    <x v="2"/>
    <x v="6"/>
    <x v="4"/>
    <n v="171000"/>
    <n v="130000"/>
    <n v="220000"/>
    <s v="San Francisco"/>
    <x v="0"/>
    <s v="Fully Remote"/>
    <s v="Mid-size (501-5000)"/>
    <x v="10"/>
    <s v="Python|dbt|ETL|SQL|SQL"/>
    <n v="12.9"/>
    <x v="3"/>
    <x v="24"/>
    <n v="8.4"/>
    <x v="1"/>
    <n v="10"/>
    <n v="0"/>
    <x v="1"/>
    <x v="1"/>
    <s v="Upper-Mid ($150-200k)"/>
  </r>
  <r>
    <x v="1062"/>
    <x v="17"/>
    <x v="8"/>
    <x v="3"/>
    <x v="6"/>
    <x v="0"/>
    <n v="177000"/>
    <n v="157000"/>
    <n v="218000"/>
    <s v="Singapore"/>
    <x v="2"/>
    <s v="On-site"/>
    <s v="Mid-size (501-5000)"/>
    <x v="5"/>
    <s v="Leadership|Causal Inference|Python|Deep Learning|ML|SQL|Agile|Research"/>
    <n v="6.4"/>
    <x v="11"/>
    <x v="371"/>
    <n v="8.1999999999999993"/>
    <x v="0"/>
    <n v="1"/>
    <n v="0"/>
    <x v="0"/>
    <x v="1"/>
    <s v="Upper-Mid ($150-200k)"/>
  </r>
  <r>
    <x v="1063"/>
    <x v="23"/>
    <x v="9"/>
    <x v="1"/>
    <x v="3"/>
    <x v="4"/>
    <n v="240000"/>
    <n v="100000"/>
    <n v="200000"/>
    <s v="Chicago"/>
    <x v="0"/>
    <s v="Fully Remote"/>
    <s v="Big Tech (FAANG+)"/>
    <x v="1"/>
    <s v="Documentation|Legal Knowledge|Auditing|Agile|Cloud|Problem Solving"/>
    <n v="11.3"/>
    <x v="19"/>
    <x v="177"/>
    <n v="9"/>
    <x v="0"/>
    <n v="3"/>
    <n v="1"/>
    <x v="1"/>
    <x v="1"/>
    <s v="Senior ($200-300k)"/>
  </r>
  <r>
    <x v="1064"/>
    <x v="11"/>
    <x v="0"/>
    <x v="0"/>
    <x v="10"/>
    <x v="3"/>
    <n v="162000"/>
    <n v="141000"/>
    <n v="270000"/>
    <s v="Tokyo"/>
    <x v="5"/>
    <s v="Hybrid"/>
    <s v="SME (51-500)"/>
    <x v="9"/>
    <s v="Neural Networks|PyTorch|Python|TensorFlow|Agile|Cloud|Research"/>
    <n v="8.5"/>
    <x v="10"/>
    <x v="43"/>
    <n v="9.5"/>
    <x v="0"/>
    <n v="3"/>
    <n v="1"/>
    <x v="1"/>
    <x v="1"/>
    <s v="Upper-Mid ($150-200k)"/>
  </r>
  <r>
    <x v="1065"/>
    <x v="4"/>
    <x v="2"/>
    <x v="1"/>
    <x v="4"/>
    <x v="0"/>
    <n v="229000"/>
    <n v="140000"/>
    <n v="260000"/>
    <s v="Singapore"/>
    <x v="2"/>
    <s v="Fully Remote"/>
    <s v="Startup (1-50)"/>
    <x v="9"/>
    <s v="Stakeholder Mgmt|Product Strategy|Agile|Linux|Statistics|Cloud"/>
    <n v="17.899999999999999"/>
    <x v="4"/>
    <x v="115"/>
    <n v="8.1"/>
    <x v="1"/>
    <n v="5"/>
    <n v="1"/>
    <x v="1"/>
    <x v="1"/>
    <s v="Senior ($200-300k)"/>
  </r>
  <r>
    <x v="1066"/>
    <x v="24"/>
    <x v="11"/>
    <x v="3"/>
    <x v="6"/>
    <x v="0"/>
    <n v="194000"/>
    <n v="115000"/>
    <n v="280000"/>
    <s v="San Francisco"/>
    <x v="0"/>
    <s v="On-site"/>
    <s v="Startup (1-50)"/>
    <x v="3"/>
    <s v="Research|Mathematics|PyTorch|SQL|Problem Solving|Cloud"/>
    <n v="14.9"/>
    <x v="3"/>
    <x v="292"/>
    <n v="7.6"/>
    <x v="1"/>
    <n v="6"/>
    <n v="0"/>
    <x v="0"/>
    <x v="1"/>
    <s v="Upper-Mid ($150-200k)"/>
  </r>
  <r>
    <x v="1067"/>
    <x v="9"/>
    <x v="0"/>
    <x v="1"/>
    <x v="10"/>
    <x v="0"/>
    <n v="120000"/>
    <n v="120000"/>
    <n v="280000"/>
    <s v="Bangalore"/>
    <x v="4"/>
    <s v="On-site"/>
    <s v="Mid-size (501-5000)"/>
    <x v="11"/>
    <s v="SQL|Python|Kubernetes|TensorFlow|MLOps|Git|SQL|Problem Solving"/>
    <n v="11.7"/>
    <x v="8"/>
    <x v="219"/>
    <n v="8.4"/>
    <x v="1"/>
    <n v="5"/>
    <n v="1"/>
    <x v="0"/>
    <x v="1"/>
    <s v="Mid ($100-150k)"/>
  </r>
  <r>
    <x v="1068"/>
    <x v="8"/>
    <x v="4"/>
    <x v="3"/>
    <x v="8"/>
    <x v="3"/>
    <n v="215000"/>
    <n v="180000"/>
    <n v="320000"/>
    <s v="Seattle"/>
    <x v="0"/>
    <s v="On-site"/>
    <s v="Startup (1-50)"/>
    <x v="3"/>
    <s v="System Design|Leadership|Cloud|Python|ML|Enterprise Architecture|Cloud|Agile"/>
    <n v="14.9"/>
    <x v="7"/>
    <x v="152"/>
    <n v="9.1999999999999993"/>
    <x v="0"/>
    <n v="2"/>
    <n v="0"/>
    <x v="0"/>
    <x v="1"/>
    <s v="Senior ($200-300k)"/>
  </r>
  <r>
    <x v="1069"/>
    <x v="17"/>
    <x v="8"/>
    <x v="3"/>
    <x v="10"/>
    <x v="2"/>
    <n v="157000"/>
    <n v="157000"/>
    <n v="218000"/>
    <s v="Sydney"/>
    <x v="11"/>
    <s v="On-site"/>
    <s v="Mid-size (501-5000)"/>
    <x v="9"/>
    <s v="Python|Deep Learning|Causal Inference|Research"/>
    <n v="6"/>
    <x v="11"/>
    <x v="186"/>
    <n v="7.6"/>
    <x v="1"/>
    <n v="4"/>
    <n v="0"/>
    <x v="0"/>
    <x v="1"/>
    <s v="Upper-Mid ($150-200k)"/>
  </r>
  <r>
    <x v="1070"/>
    <x v="12"/>
    <x v="0"/>
    <x v="3"/>
    <x v="6"/>
    <x v="3"/>
    <n v="173000"/>
    <n v="160000"/>
    <n v="300000"/>
    <s v="Boston"/>
    <x v="0"/>
    <s v="On-site"/>
    <s v="SME (51-500)"/>
    <x v="8"/>
    <s v="PyTorch|Fine-tuning|APIs|Python|Vision-Language Models|Linux|Communication"/>
    <n v="11.5"/>
    <x v="11"/>
    <x v="19"/>
    <n v="7.1"/>
    <x v="0"/>
    <n v="1"/>
    <n v="0"/>
    <x v="0"/>
    <x v="1"/>
    <s v="Upper-Mid ($150-200k)"/>
  </r>
  <r>
    <x v="1071"/>
    <x v="8"/>
    <x v="4"/>
    <x v="1"/>
    <x v="13"/>
    <x v="3"/>
    <n v="349000"/>
    <n v="180000"/>
    <n v="320000"/>
    <s v="Chicago"/>
    <x v="0"/>
    <s v="Hybrid"/>
    <s v="Enterprise (5000+)"/>
    <x v="0"/>
    <s v="System Design|Python|Cloud|Leadership|ML|Enterprise Architecture|SQL|Agile|Cloud"/>
    <n v="16.600000000000001"/>
    <x v="7"/>
    <x v="94"/>
    <n v="8.1"/>
    <x v="1"/>
    <n v="2"/>
    <n v="1"/>
    <x v="1"/>
    <x v="1"/>
    <s v="Elite (&gt;$300k)"/>
  </r>
  <r>
    <x v="1072"/>
    <x v="18"/>
    <x v="9"/>
    <x v="3"/>
    <x v="8"/>
    <x v="0"/>
    <n v="110000"/>
    <n v="110000"/>
    <n v="210000"/>
    <s v="Beijing"/>
    <x v="6"/>
    <s v="Hybrid"/>
    <s v="Big Tech (FAANG+)"/>
    <x v="6"/>
    <s v="Risk Assessment|Ethics Frameworks|Communication|Research"/>
    <n v="10.7"/>
    <x v="16"/>
    <x v="173"/>
    <n v="6.6"/>
    <x v="1"/>
    <n v="7"/>
    <n v="0"/>
    <x v="1"/>
    <x v="1"/>
    <s v="Mid ($100-150k)"/>
  </r>
  <r>
    <x v="1073"/>
    <x v="23"/>
    <x v="9"/>
    <x v="1"/>
    <x v="3"/>
    <x v="2"/>
    <n v="129000"/>
    <n v="100000"/>
    <n v="200000"/>
    <s v="Toronto"/>
    <x v="7"/>
    <s v="Hybrid"/>
    <s v="SME (51-500)"/>
    <x v="9"/>
    <s v="Documentation|Auditing|Legal Knowledge|Communication|Cloud"/>
    <n v="13.7"/>
    <x v="19"/>
    <x v="341"/>
    <n v="7.8"/>
    <x v="1"/>
    <n v="7"/>
    <n v="1"/>
    <x v="1"/>
    <x v="1"/>
    <s v="Mid ($100-150k)"/>
  </r>
  <r>
    <x v="1074"/>
    <x v="10"/>
    <x v="0"/>
    <x v="2"/>
    <x v="3"/>
    <x v="1"/>
    <n v="150000"/>
    <n v="150000"/>
    <n v="295000"/>
    <s v="Berlin"/>
    <x v="12"/>
    <s v="Fully Remote"/>
    <s v="Startup (1-50)"/>
    <x v="3"/>
    <s v="Deployment|Fine-tuning|Diffusion Models|LLMs|GenAI APIs|Git"/>
    <n v="10.3"/>
    <x v="9"/>
    <x v="322"/>
    <n v="8.3000000000000007"/>
    <x v="0"/>
    <n v="1"/>
    <n v="0"/>
    <x v="1"/>
    <x v="0"/>
    <s v="Mid ($100-150k)"/>
  </r>
  <r>
    <x v="1075"/>
    <x v="14"/>
    <x v="6"/>
    <x v="2"/>
    <x v="1"/>
    <x v="4"/>
    <n v="109000"/>
    <n v="95000"/>
    <n v="180000"/>
    <s v="London"/>
    <x v="1"/>
    <s v="Fully Remote"/>
    <s v="Enterprise (5000+)"/>
    <x v="10"/>
    <s v="Data Visualization|Communication|Business Analysis|SQL|Communication|Research"/>
    <n v="13.2"/>
    <x v="13"/>
    <x v="165"/>
    <n v="7.7"/>
    <x v="1"/>
    <n v="7"/>
    <n v="0"/>
    <x v="1"/>
    <x v="1"/>
    <s v="Mid ($100-150k)"/>
  </r>
  <r>
    <x v="1076"/>
    <x v="6"/>
    <x v="0"/>
    <x v="0"/>
    <x v="11"/>
    <x v="3"/>
    <n v="215000"/>
    <n v="180000"/>
    <n v="312000"/>
    <s v="Tokyo"/>
    <x v="5"/>
    <s v="Fully Remote"/>
    <s v="Enterprise (5000+)"/>
    <x v="10"/>
    <s v="PyTorch|MLOps|Distributed Systems|LLM Fine-tuning|Python|System Design|Agile|Git|Statistics"/>
    <n v="13.7"/>
    <x v="0"/>
    <x v="480"/>
    <n v="6.6"/>
    <x v="0"/>
    <n v="3"/>
    <n v="1"/>
    <x v="1"/>
    <x v="1"/>
    <s v="Senior ($200-300k)"/>
  </r>
  <r>
    <x v="1077"/>
    <x v="24"/>
    <x v="11"/>
    <x v="2"/>
    <x v="2"/>
    <x v="2"/>
    <n v="115000"/>
    <n v="115000"/>
    <n v="280000"/>
    <s v="Bangalore"/>
    <x v="4"/>
    <s v="Hybrid"/>
    <s v="Startup (1-50)"/>
    <x v="1"/>
    <s v="Publishing|Mathematics|Deep Learning|Python|PyTorch|Research|Cloud|Problem Solving"/>
    <n v="8.4"/>
    <x v="3"/>
    <x v="354"/>
    <n v="7.7"/>
    <x v="0"/>
    <n v="3"/>
    <n v="0"/>
    <x v="1"/>
    <x v="1"/>
    <s v="Mid ($100-150k)"/>
  </r>
  <r>
    <x v="1078"/>
    <x v="5"/>
    <x v="3"/>
    <x v="2"/>
    <x v="10"/>
    <x v="3"/>
    <n v="140000"/>
    <n v="140000"/>
    <n v="260000"/>
    <s v="London"/>
    <x v="1"/>
    <s v="Hybrid"/>
    <s v="SME (51-500)"/>
    <x v="3"/>
    <s v="ML Security|Cybersecurity|Risk Analysis|Python|Red Teaming|Linux|Problem Solving|Leadership"/>
    <n v="16.600000000000001"/>
    <x v="5"/>
    <x v="269"/>
    <n v="8.4"/>
    <x v="0"/>
    <n v="3"/>
    <n v="0"/>
    <x v="1"/>
    <x v="1"/>
    <s v="Mid ($100-150k)"/>
  </r>
  <r>
    <x v="1079"/>
    <x v="20"/>
    <x v="0"/>
    <x v="1"/>
    <x v="6"/>
    <x v="4"/>
    <n v="246000"/>
    <n v="100000"/>
    <n v="250000"/>
    <s v="Dubai"/>
    <x v="8"/>
    <s v="On-site"/>
    <s v="Enterprise (5000+)"/>
    <x v="3"/>
    <s v="Docker|Python|LLM Integration|Cloud (AWS/GCP/Azure)|Problem Solving"/>
    <n v="14.8"/>
    <x v="9"/>
    <x v="398"/>
    <n v="8"/>
    <x v="0"/>
    <n v="3"/>
    <n v="1"/>
    <x v="0"/>
    <x v="1"/>
    <s v="Senior ($200-300k)"/>
  </r>
  <r>
    <x v="1080"/>
    <x v="23"/>
    <x v="9"/>
    <x v="2"/>
    <x v="6"/>
    <x v="4"/>
    <n v="151000"/>
    <n v="100000"/>
    <n v="200000"/>
    <s v="Remote"/>
    <x v="3"/>
    <s v="Hybrid"/>
    <s v="Enterprise (5000+)"/>
    <x v="1"/>
    <s v="Documentation|Risk Management|EU AI Act|Research"/>
    <n v="16.600000000000001"/>
    <x v="19"/>
    <x v="87"/>
    <n v="8.6999999999999993"/>
    <x v="1"/>
    <n v="7"/>
    <n v="0"/>
    <x v="1"/>
    <x v="1"/>
    <s v="Upper-Mid ($150-200k)"/>
  </r>
  <r>
    <x v="1081"/>
    <x v="12"/>
    <x v="0"/>
    <x v="1"/>
    <x v="9"/>
    <x v="3"/>
    <n v="220000"/>
    <n v="160000"/>
    <n v="300000"/>
    <s v="Zurich"/>
    <x v="13"/>
    <s v="Hybrid"/>
    <s v="Startup (1-50)"/>
    <x v="11"/>
    <s v="Python|APIs|Fine-tuning|SQL|Research|Communication"/>
    <n v="15.7"/>
    <x v="11"/>
    <x v="52"/>
    <n v="8.3000000000000007"/>
    <x v="0"/>
    <n v="3"/>
    <n v="1"/>
    <x v="1"/>
    <x v="1"/>
    <s v="Senior ($200-300k)"/>
  </r>
  <r>
    <x v="1082"/>
    <x v="16"/>
    <x v="7"/>
    <x v="2"/>
    <x v="6"/>
    <x v="2"/>
    <n v="125000"/>
    <n v="125000"/>
    <n v="240000"/>
    <s v="Chicago"/>
    <x v="0"/>
    <s v="Hybrid"/>
    <s v="Enterprise (5000+)"/>
    <x v="6"/>
    <s v="Python|Computer Vision|ROS|Simulation|SQL|Leadership|Cloud"/>
    <n v="9.6999999999999993"/>
    <x v="15"/>
    <x v="421"/>
    <n v="6.6"/>
    <x v="1"/>
    <n v="12"/>
    <n v="0"/>
    <x v="1"/>
    <x v="1"/>
    <s v="Mid ($100-150k)"/>
  </r>
  <r>
    <x v="1083"/>
    <x v="14"/>
    <x v="6"/>
    <x v="2"/>
    <x v="2"/>
    <x v="0"/>
    <n v="95000"/>
    <n v="95000"/>
    <n v="180000"/>
    <s v="Tokyo"/>
    <x v="5"/>
    <s v="Fully Remote"/>
    <s v="SME (51-500)"/>
    <x v="1"/>
    <s v="Communication|SQL|Data Visualization|Python|Business Analysis|Problem Solving|Cloud|Research"/>
    <n v="14"/>
    <x v="13"/>
    <x v="72"/>
    <n v="7.3"/>
    <x v="0"/>
    <n v="1"/>
    <n v="0"/>
    <x v="1"/>
    <x v="1"/>
    <s v="Entry (&lt;$100k)"/>
  </r>
  <r>
    <x v="1084"/>
    <x v="20"/>
    <x v="0"/>
    <x v="3"/>
    <x v="8"/>
    <x v="4"/>
    <n v="148000"/>
    <n v="100000"/>
    <n v="250000"/>
    <s v="Singapore"/>
    <x v="2"/>
    <s v="Hybrid"/>
    <s v="Mid-size (501-5000)"/>
    <x v="3"/>
    <s v="Cloud (AWS/GCP/Azure)|LLM Integration|Python|Docker|PyTorch|Leadership|Git"/>
    <n v="16.600000000000001"/>
    <x v="9"/>
    <x v="152"/>
    <n v="8.4"/>
    <x v="0"/>
    <n v="2"/>
    <n v="0"/>
    <x v="1"/>
    <x v="1"/>
    <s v="Mid ($100-150k)"/>
  </r>
  <r>
    <x v="1085"/>
    <x v="12"/>
    <x v="0"/>
    <x v="0"/>
    <x v="9"/>
    <x v="2"/>
    <n v="170000"/>
    <n v="160000"/>
    <n v="300000"/>
    <s v="London"/>
    <x v="1"/>
    <s v="Hybrid"/>
    <s v="Startup (1-50)"/>
    <x v="7"/>
    <s v="Python|APIs|PyTorch|Problem Solving|Linux"/>
    <n v="11.3"/>
    <x v="11"/>
    <x v="101"/>
    <n v="7.7"/>
    <x v="1"/>
    <n v="8"/>
    <n v="1"/>
    <x v="1"/>
    <x v="1"/>
    <s v="Upper-Mid ($150-200k)"/>
  </r>
  <r>
    <x v="1086"/>
    <x v="9"/>
    <x v="0"/>
    <x v="1"/>
    <x v="3"/>
    <x v="4"/>
    <n v="120000"/>
    <n v="120000"/>
    <n v="280000"/>
    <s v="Beijing"/>
    <x v="6"/>
    <s v="On-site"/>
    <s v="SME (51-500)"/>
    <x v="3"/>
    <s v="Python|Kubernetes|SQL|TensorFlow|Git|Research|Linux"/>
    <n v="9.6999999999999993"/>
    <x v="8"/>
    <x v="488"/>
    <n v="8.1"/>
    <x v="0"/>
    <n v="2"/>
    <n v="1"/>
    <x v="0"/>
    <x v="1"/>
    <s v="Mid ($100-150k)"/>
  </r>
  <r>
    <x v="1087"/>
    <x v="13"/>
    <x v="5"/>
    <x v="2"/>
    <x v="0"/>
    <x v="1"/>
    <n v="130000"/>
    <n v="130000"/>
    <n v="260000"/>
    <s v="Dubai"/>
    <x v="8"/>
    <s v="Hybrid"/>
    <s v="Mid-size (501-5000)"/>
    <x v="3"/>
    <s v="Monitoring|MLflow|Docker|Kubernetes|Cloud|CI/CD|Python|Git"/>
    <n v="12.2"/>
    <x v="12"/>
    <x v="489"/>
    <n v="6.4"/>
    <x v="0"/>
    <n v="2"/>
    <n v="0"/>
    <x v="1"/>
    <x v="1"/>
    <s v="Mid ($100-150k)"/>
  </r>
  <r>
    <x v="1088"/>
    <x v="21"/>
    <x v="8"/>
    <x v="1"/>
    <x v="8"/>
    <x v="3"/>
    <n v="209000"/>
    <n v="138000"/>
    <n v="195000"/>
    <s v="Chicago"/>
    <x v="0"/>
    <s v="Hybrid"/>
    <s v="Enterprise (5000+)"/>
    <x v="0"/>
    <s v="Data Visualization|Statistics|Python|Problem Solving"/>
    <n v="7.4"/>
    <x v="17"/>
    <x v="453"/>
    <n v="9.8000000000000007"/>
    <x v="0"/>
    <n v="3"/>
    <n v="1"/>
    <x v="1"/>
    <x v="1"/>
    <s v="Senior ($200-300k)"/>
  </r>
  <r>
    <x v="1089"/>
    <x v="22"/>
    <x v="0"/>
    <x v="3"/>
    <x v="9"/>
    <x v="4"/>
    <n v="173000"/>
    <n v="145000"/>
    <n v="280000"/>
    <s v="Berlin"/>
    <x v="12"/>
    <s v="On-site"/>
    <s v="Mid-size (501-5000)"/>
    <x v="9"/>
    <s v="CUDA|PyTorch|Image Processing|CNNs|Research|SQL|Git"/>
    <n v="8.1999999999999993"/>
    <x v="18"/>
    <x v="142"/>
    <n v="9.5"/>
    <x v="1"/>
    <n v="3"/>
    <n v="0"/>
    <x v="0"/>
    <x v="1"/>
    <s v="Upper-Mid ($150-200k)"/>
  </r>
  <r>
    <x v="1090"/>
    <x v="12"/>
    <x v="0"/>
    <x v="1"/>
    <x v="3"/>
    <x v="2"/>
    <n v="206000"/>
    <n v="160000"/>
    <n v="300000"/>
    <s v="Singapore"/>
    <x v="2"/>
    <s v="Hybrid"/>
    <s v="SME (51-500)"/>
    <x v="9"/>
    <s v="Vision-Language Models|APIs|Fine-tuning|SQL"/>
    <n v="10.7"/>
    <x v="11"/>
    <x v="29"/>
    <n v="9.1"/>
    <x v="0"/>
    <n v="1"/>
    <n v="1"/>
    <x v="1"/>
    <x v="1"/>
    <s v="Senior ($200-300k)"/>
  </r>
  <r>
    <x v="1091"/>
    <x v="7"/>
    <x v="0"/>
    <x v="1"/>
    <x v="0"/>
    <x v="1"/>
    <n v="145000"/>
    <n v="145000"/>
    <n v="290000"/>
    <s v="Beijing"/>
    <x v="6"/>
    <s v="On-site"/>
    <s v="Enterprise (5000+)"/>
    <x v="4"/>
    <s v="LLMs|BERT|Transformers|Hugging Face|SQL|Statistics"/>
    <n v="8.3000000000000007"/>
    <x v="6"/>
    <x v="65"/>
    <n v="8.9"/>
    <x v="0"/>
    <n v="2"/>
    <n v="1"/>
    <x v="0"/>
    <x v="1"/>
    <s v="Mid ($100-150k)"/>
  </r>
  <r>
    <x v="1092"/>
    <x v="3"/>
    <x v="1"/>
    <x v="3"/>
    <x v="2"/>
    <x v="3"/>
    <n v="130000"/>
    <n v="130000"/>
    <n v="220000"/>
    <s v="Berlin"/>
    <x v="12"/>
    <s v="Hybrid"/>
    <s v="Startup (1-50)"/>
    <x v="4"/>
    <s v="dbt|Spark|Python|SQL|Airflow|Feature Stores|ETL|Leadership"/>
    <n v="15.1"/>
    <x v="3"/>
    <x v="213"/>
    <n v="9.8000000000000007"/>
    <x v="0"/>
    <n v="1"/>
    <n v="0"/>
    <x v="1"/>
    <x v="1"/>
    <s v="Mid ($100-150k)"/>
  </r>
  <r>
    <x v="1093"/>
    <x v="1"/>
    <x v="0"/>
    <x v="1"/>
    <x v="4"/>
    <x v="3"/>
    <n v="240000"/>
    <n v="90000"/>
    <n v="200000"/>
    <s v="New York"/>
    <x v="0"/>
    <s v="On-site"/>
    <s v="Enterprise (5000+)"/>
    <x v="8"/>
    <s v="Python|Testing|Prompt Design|NLP|LLM APIs|Documentation|Research|Linux|Leadership"/>
    <n v="4.8"/>
    <x v="1"/>
    <x v="163"/>
    <n v="7.5"/>
    <x v="1"/>
    <n v="7"/>
    <n v="1"/>
    <x v="0"/>
    <x v="0"/>
    <s v="Senior ($200-300k)"/>
  </r>
  <r>
    <x v="1094"/>
    <x v="14"/>
    <x v="6"/>
    <x v="2"/>
    <x v="1"/>
    <x v="3"/>
    <n v="95000"/>
    <n v="95000"/>
    <n v="180000"/>
    <s v="Beijing"/>
    <x v="6"/>
    <s v="Fully Remote"/>
    <s v="SME (51-500)"/>
    <x v="11"/>
    <s v="Communication|Data Visualization|SQL|Business Analysis|Cloud|Linux"/>
    <n v="14"/>
    <x v="13"/>
    <x v="25"/>
    <n v="8.1"/>
    <x v="1"/>
    <n v="9"/>
    <n v="0"/>
    <x v="1"/>
    <x v="1"/>
    <s v="Entry (&lt;$100k)"/>
  </r>
  <r>
    <x v="1095"/>
    <x v="10"/>
    <x v="0"/>
    <x v="1"/>
    <x v="3"/>
    <x v="3"/>
    <n v="320000"/>
    <n v="150000"/>
    <n v="295000"/>
    <s v="Remote"/>
    <x v="3"/>
    <s v="Hybrid"/>
    <s v="Enterprise (5000+)"/>
    <x v="1"/>
    <s v="Diffusion Models|Python|Fine-tuning|LLMs|Deployment|Leadership|Linux"/>
    <n v="16.7"/>
    <x v="9"/>
    <x v="157"/>
    <n v="8.3000000000000007"/>
    <x v="1"/>
    <n v="6"/>
    <n v="1"/>
    <x v="1"/>
    <x v="0"/>
    <s v="Elite (&gt;$300k)"/>
  </r>
  <r>
    <x v="1096"/>
    <x v="11"/>
    <x v="0"/>
    <x v="3"/>
    <x v="4"/>
    <x v="2"/>
    <n v="141000"/>
    <n v="141000"/>
    <n v="270000"/>
    <s v="Beijing"/>
    <x v="6"/>
    <s v="On-site"/>
    <s v="Big Tech (FAANG+)"/>
    <x v="3"/>
    <s v="Python|CUDA|GPU Computing|Neural Networks|PyTorch|TensorFlow|Research"/>
    <n v="7.3"/>
    <x v="10"/>
    <x v="44"/>
    <n v="6.3"/>
    <x v="0"/>
    <n v="3"/>
    <n v="0"/>
    <x v="0"/>
    <x v="1"/>
    <s v="Mid ($100-150k)"/>
  </r>
  <r>
    <x v="1097"/>
    <x v="0"/>
    <x v="0"/>
    <x v="0"/>
    <x v="2"/>
    <x v="2"/>
    <n v="155000"/>
    <n v="155000"/>
    <n v="290000"/>
    <s v="London"/>
    <x v="1"/>
    <s v="On-site"/>
    <s v="Startup (1-50)"/>
    <x v="5"/>
    <s v="Python|LangChain|Tool Use|Linux|Leadership"/>
    <n v="13.9"/>
    <x v="0"/>
    <x v="490"/>
    <n v="8.4"/>
    <x v="0"/>
    <n v="2"/>
    <n v="1"/>
    <x v="0"/>
    <x v="0"/>
    <s v="Upper-Mid ($150-200k)"/>
  </r>
  <r>
    <x v="1098"/>
    <x v="13"/>
    <x v="5"/>
    <x v="0"/>
    <x v="6"/>
    <x v="1"/>
    <n v="188000"/>
    <n v="130000"/>
    <n v="260000"/>
    <s v="Chicago"/>
    <x v="0"/>
    <s v="Fully Remote"/>
    <s v="SME (51-500)"/>
    <x v="11"/>
    <s v="Python|MLflow|Kubernetes|Monitoring|Communication|SQL"/>
    <n v="17.899999999999999"/>
    <x v="12"/>
    <x v="491"/>
    <n v="9.6"/>
    <x v="1"/>
    <n v="5"/>
    <n v="1"/>
    <x v="1"/>
    <x v="1"/>
    <s v="Upper-Mid ($150-200k)"/>
  </r>
  <r>
    <x v="1099"/>
    <x v="16"/>
    <x v="7"/>
    <x v="3"/>
    <x v="3"/>
    <x v="2"/>
    <n v="125000"/>
    <n v="125000"/>
    <n v="240000"/>
    <s v="Beijing"/>
    <x v="6"/>
    <s v="Fully Remote"/>
    <s v="Enterprise (5000+)"/>
    <x v="7"/>
    <s v="Computer Vision|Control Systems|Python|ROS|C++|Statistics|Communication"/>
    <n v="12.5"/>
    <x v="15"/>
    <x v="251"/>
    <n v="6.4"/>
    <x v="0"/>
    <n v="3"/>
    <n v="0"/>
    <x v="1"/>
    <x v="1"/>
    <s v="Mid ($100-150k)"/>
  </r>
  <r>
    <x v="1100"/>
    <x v="4"/>
    <x v="2"/>
    <x v="0"/>
    <x v="10"/>
    <x v="1"/>
    <n v="207000"/>
    <n v="140000"/>
    <n v="260000"/>
    <s v="Remote"/>
    <x v="3"/>
    <s v="On-site"/>
    <s v="SME (51-500)"/>
    <x v="7"/>
    <s v="Agile|Stakeholder Mgmt|Product Strategy|Data Analysis|Communication|Git"/>
    <n v="14.6"/>
    <x v="4"/>
    <x v="272"/>
    <n v="7.5"/>
    <x v="1"/>
    <n v="8"/>
    <n v="1"/>
    <x v="0"/>
    <x v="1"/>
    <s v="Senior ($200-300k)"/>
  </r>
  <r>
    <x v="1101"/>
    <x v="18"/>
    <x v="9"/>
    <x v="3"/>
    <x v="9"/>
    <x v="1"/>
    <n v="135000"/>
    <n v="110000"/>
    <n v="210000"/>
    <s v="Remote"/>
    <x v="3"/>
    <s v="Hybrid"/>
    <s v="SME (51-500)"/>
    <x v="8"/>
    <s v="Risk Assessment|Communication|AI Policy|Linux|SQL|Problem Solving"/>
    <n v="14.2"/>
    <x v="16"/>
    <x v="492"/>
    <n v="8.3000000000000007"/>
    <x v="1"/>
    <n v="4"/>
    <n v="0"/>
    <x v="1"/>
    <x v="1"/>
    <s v="Mid ($100-150k)"/>
  </r>
  <r>
    <x v="1102"/>
    <x v="5"/>
    <x v="3"/>
    <x v="3"/>
    <x v="0"/>
    <x v="3"/>
    <n v="140000"/>
    <n v="140000"/>
    <n v="260000"/>
    <s v="Remote"/>
    <x v="3"/>
    <s v="Hybrid"/>
    <s v="SME (51-500)"/>
    <x v="6"/>
    <s v="ML Security|Python|Risk Analysis|Red Teaming|Cybersecurity|Leadership|SQL"/>
    <n v="8.3000000000000007"/>
    <x v="5"/>
    <x v="44"/>
    <n v="8"/>
    <x v="0"/>
    <n v="1"/>
    <n v="0"/>
    <x v="1"/>
    <x v="1"/>
    <s v="Mid ($100-150k)"/>
  </r>
  <r>
    <x v="1103"/>
    <x v="4"/>
    <x v="2"/>
    <x v="1"/>
    <x v="10"/>
    <x v="3"/>
    <n v="235000"/>
    <n v="140000"/>
    <n v="260000"/>
    <s v="Seattle"/>
    <x v="0"/>
    <s v="On-site"/>
    <s v="Startup (1-50)"/>
    <x v="8"/>
    <s v="Product Strategy|Agile|Stakeholder Mgmt|Data Analysis|AI Literacy|Research"/>
    <n v="14.6"/>
    <x v="4"/>
    <x v="222"/>
    <n v="8.3000000000000007"/>
    <x v="1"/>
    <n v="6"/>
    <n v="1"/>
    <x v="0"/>
    <x v="1"/>
    <s v="Senior ($200-300k)"/>
  </r>
  <r>
    <x v="1104"/>
    <x v="2"/>
    <x v="0"/>
    <x v="2"/>
    <x v="8"/>
    <x v="2"/>
    <n v="167000"/>
    <n v="160000"/>
    <n v="300000"/>
    <s v="Los Angeles"/>
    <x v="0"/>
    <s v="Hybrid"/>
    <s v="Mid-size (501-5000)"/>
    <x v="6"/>
    <s v="Prompt Engineering|Python|Fine-tuning|LLM APIs|Vector DBs|Git|Statistics|Research"/>
    <n v="8.6"/>
    <x v="2"/>
    <x v="493"/>
    <n v="7.4"/>
    <x v="0"/>
    <n v="1"/>
    <n v="0"/>
    <x v="1"/>
    <x v="0"/>
    <s v="Upper-Mid ($150-200k)"/>
  </r>
  <r>
    <x v="1105"/>
    <x v="2"/>
    <x v="0"/>
    <x v="1"/>
    <x v="1"/>
    <x v="1"/>
    <n v="360000"/>
    <n v="160000"/>
    <n v="300000"/>
    <s v="New York"/>
    <x v="0"/>
    <s v="Fully Remote"/>
    <s v="Enterprise (5000+)"/>
    <x v="6"/>
    <s v="Python|Fine-tuning|Prompt Engineering|LLM APIs|Leadership"/>
    <n v="10"/>
    <x v="2"/>
    <x v="494"/>
    <n v="9.5"/>
    <x v="0"/>
    <n v="1"/>
    <n v="1"/>
    <x v="1"/>
    <x v="0"/>
    <s v="Elite (&gt;$300k)"/>
  </r>
  <r>
    <x v="1106"/>
    <x v="24"/>
    <x v="11"/>
    <x v="2"/>
    <x v="10"/>
    <x v="0"/>
    <n v="222000"/>
    <n v="115000"/>
    <n v="280000"/>
    <s v="Seattle"/>
    <x v="0"/>
    <s v="Hybrid"/>
    <s v="Big Tech (FAANG+)"/>
    <x v="3"/>
    <s v="Publishing|Python|PyTorch|Research|Leadership|Problem Solving"/>
    <n v="10.8"/>
    <x v="3"/>
    <x v="228"/>
    <n v="8.8000000000000007"/>
    <x v="0"/>
    <n v="3"/>
    <n v="0"/>
    <x v="1"/>
    <x v="1"/>
    <s v="Senior ($200-300k)"/>
  </r>
  <r>
    <x v="1107"/>
    <x v="16"/>
    <x v="7"/>
    <x v="1"/>
    <x v="6"/>
    <x v="4"/>
    <n v="288000"/>
    <n v="125000"/>
    <n v="240000"/>
    <s v="San Francisco"/>
    <x v="0"/>
    <s v="On-site"/>
    <s v="SME (51-500)"/>
    <x v="8"/>
    <s v="Computer Vision|C++|Simulation|Problem Solving|Communication|Leadership"/>
    <n v="15.2"/>
    <x v="15"/>
    <x v="289"/>
    <n v="6.2"/>
    <x v="1"/>
    <n v="8"/>
    <n v="1"/>
    <x v="0"/>
    <x v="1"/>
    <s v="Senior ($200-300k)"/>
  </r>
  <r>
    <x v="1108"/>
    <x v="13"/>
    <x v="5"/>
    <x v="2"/>
    <x v="0"/>
    <x v="3"/>
    <n v="130000"/>
    <n v="130000"/>
    <n v="260000"/>
    <s v="Berlin"/>
    <x v="12"/>
    <s v="On-site"/>
    <s v="Startup (1-50)"/>
    <x v="0"/>
    <s v="MLflow|CI/CD|Python|Kubernetes|Cloud|Docker|Monitoring|Agile|Communication|Git"/>
    <n v="16.600000000000001"/>
    <x v="12"/>
    <x v="211"/>
    <n v="7.5"/>
    <x v="1"/>
    <n v="6"/>
    <n v="0"/>
    <x v="0"/>
    <x v="1"/>
    <s v="Mid ($100-150k)"/>
  </r>
  <r>
    <x v="1109"/>
    <x v="16"/>
    <x v="7"/>
    <x v="0"/>
    <x v="4"/>
    <x v="2"/>
    <n v="166000"/>
    <n v="125000"/>
    <n v="240000"/>
    <s v="Berlin"/>
    <x v="12"/>
    <s v="On-site"/>
    <s v="Big Tech (FAANG+)"/>
    <x v="9"/>
    <s v="Python|Simulation|ROS|Computer Vision|Control Systems|C++|Research|Linux"/>
    <n v="10.3"/>
    <x v="15"/>
    <x v="145"/>
    <n v="8.6"/>
    <x v="0"/>
    <n v="2"/>
    <n v="1"/>
    <x v="0"/>
    <x v="1"/>
    <s v="Upper-Mid ($150-200k)"/>
  </r>
  <r>
    <x v="1110"/>
    <x v="3"/>
    <x v="1"/>
    <x v="1"/>
    <x v="0"/>
    <x v="1"/>
    <n v="196000"/>
    <n v="130000"/>
    <n v="220000"/>
    <s v="Berlin"/>
    <x v="12"/>
    <s v="Fully Remote"/>
    <s v="Mid-size (501-5000)"/>
    <x v="3"/>
    <s v="Feature Stores|Spark|Python|Airflow|Agile"/>
    <n v="16.2"/>
    <x v="3"/>
    <x v="108"/>
    <n v="8.8000000000000007"/>
    <x v="0"/>
    <n v="2"/>
    <n v="1"/>
    <x v="1"/>
    <x v="1"/>
    <s v="Upper-Mid ($150-200k)"/>
  </r>
  <r>
    <x v="1111"/>
    <x v="18"/>
    <x v="9"/>
    <x v="3"/>
    <x v="9"/>
    <x v="3"/>
    <n v="111000"/>
    <n v="110000"/>
    <n v="210000"/>
    <s v="Sydney"/>
    <x v="11"/>
    <s v="Hybrid"/>
    <s v="Enterprise (5000+)"/>
    <x v="8"/>
    <s v="Research|Communication|AI Policy|Risk Assessment|Ethics Frameworks|Linux"/>
    <n v="15.4"/>
    <x v="16"/>
    <x v="208"/>
    <n v="6.5"/>
    <x v="0"/>
    <n v="3"/>
    <n v="0"/>
    <x v="1"/>
    <x v="1"/>
    <s v="Mid ($100-150k)"/>
  </r>
  <r>
    <x v="1112"/>
    <x v="8"/>
    <x v="4"/>
    <x v="1"/>
    <x v="11"/>
    <x v="2"/>
    <n v="366000"/>
    <n v="180000"/>
    <n v="320000"/>
    <s v="San Francisco"/>
    <x v="0"/>
    <s v="Fully Remote"/>
    <s v="SME (51-500)"/>
    <x v="3"/>
    <s v="Python|Cloud|System Design|Cloud|Communication"/>
    <n v="11.7"/>
    <x v="7"/>
    <x v="30"/>
    <n v="8"/>
    <x v="0"/>
    <n v="3"/>
    <n v="1"/>
    <x v="1"/>
    <x v="1"/>
    <s v="Elite (&gt;$300k)"/>
  </r>
  <r>
    <x v="1113"/>
    <x v="0"/>
    <x v="0"/>
    <x v="2"/>
    <x v="1"/>
    <x v="2"/>
    <n v="155000"/>
    <n v="155000"/>
    <n v="290000"/>
    <s v="Amsterdam"/>
    <x v="9"/>
    <s v="On-site"/>
    <s v="Mid-size (501-5000)"/>
    <x v="8"/>
    <s v="LangChain|Planning Systems|Python|Git|Linux|SQL"/>
    <n v="8.3000000000000007"/>
    <x v="0"/>
    <x v="495"/>
    <n v="6.1"/>
    <x v="1"/>
    <n v="3"/>
    <n v="0"/>
    <x v="0"/>
    <x v="0"/>
    <s v="Upper-Mid ($150-200k)"/>
  </r>
  <r>
    <x v="1114"/>
    <x v="19"/>
    <x v="10"/>
    <x v="0"/>
    <x v="0"/>
    <x v="2"/>
    <n v="241000"/>
    <n v="140000"/>
    <n v="270000"/>
    <s v="Los Angeles"/>
    <x v="0"/>
    <s v="Hybrid"/>
    <s v="Enterprise (5000+)"/>
    <x v="8"/>
    <s v="Kubernetes|Cloud|Networking|Distributed Systems|Storage|Problem Solving"/>
    <n v="8.4"/>
    <x v="4"/>
    <x v="222"/>
    <n v="7.8"/>
    <x v="0"/>
    <n v="2"/>
    <n v="1"/>
    <x v="1"/>
    <x v="1"/>
    <s v="Senior ($200-300k)"/>
  </r>
  <r>
    <x v="1115"/>
    <x v="13"/>
    <x v="5"/>
    <x v="0"/>
    <x v="3"/>
    <x v="2"/>
    <n v="170000"/>
    <n v="130000"/>
    <n v="260000"/>
    <s v="Toronto"/>
    <x v="7"/>
    <s v="On-site"/>
    <s v="Mid-size (501-5000)"/>
    <x v="10"/>
    <s v="Docker|Monitoring|MLflow|Cloud|CI/CD|Statistics|Communication"/>
    <n v="13.6"/>
    <x v="12"/>
    <x v="496"/>
    <n v="6.5"/>
    <x v="0"/>
    <n v="2"/>
    <n v="1"/>
    <x v="0"/>
    <x v="1"/>
    <s v="Upper-Mid ($150-200k)"/>
  </r>
  <r>
    <x v="1116"/>
    <x v="3"/>
    <x v="1"/>
    <x v="3"/>
    <x v="6"/>
    <x v="4"/>
    <n v="233000"/>
    <n v="130000"/>
    <n v="220000"/>
    <s v="Singapore"/>
    <x v="2"/>
    <s v="Hybrid"/>
    <s v="Big Tech (FAANG+)"/>
    <x v="7"/>
    <s v="ETL|SQL|Airflow|dbt|Python|Problem Solving"/>
    <n v="9.1999999999999993"/>
    <x v="3"/>
    <x v="172"/>
    <n v="6.2"/>
    <x v="0"/>
    <n v="2"/>
    <n v="0"/>
    <x v="1"/>
    <x v="1"/>
    <s v="Senior ($200-300k)"/>
  </r>
  <r>
    <x v="1117"/>
    <x v="20"/>
    <x v="0"/>
    <x v="2"/>
    <x v="2"/>
    <x v="3"/>
    <n v="107000"/>
    <n v="100000"/>
    <n v="250000"/>
    <s v="London"/>
    <x v="1"/>
    <s v="On-site"/>
    <s v="Enterprise (5000+)"/>
    <x v="3"/>
    <s v="PyTorch|Python|LLM Integration|Docker|Cloud (AWS/GCP/Azure)|Linux|Cloud"/>
    <n v="10"/>
    <x v="9"/>
    <x v="497"/>
    <n v="6.2"/>
    <x v="0"/>
    <n v="1"/>
    <n v="0"/>
    <x v="0"/>
    <x v="1"/>
    <s v="Mid ($100-150k)"/>
  </r>
  <r>
    <x v="1118"/>
    <x v="6"/>
    <x v="0"/>
    <x v="2"/>
    <x v="8"/>
    <x v="1"/>
    <n v="180000"/>
    <n v="180000"/>
    <n v="312000"/>
    <s v="Singapore"/>
    <x v="2"/>
    <s v="On-site"/>
    <s v="SME (51-500)"/>
    <x v="9"/>
    <s v="MLOps|Python|System Design|PyTorch|LLM Fine-tuning|Distributed Systems|Research|SQL|Statistics"/>
    <n v="11"/>
    <x v="0"/>
    <x v="498"/>
    <n v="8.1999999999999993"/>
    <x v="1"/>
    <n v="10"/>
    <n v="0"/>
    <x v="0"/>
    <x v="1"/>
    <s v="Upper-Mid ($150-200k)"/>
  </r>
  <r>
    <x v="1119"/>
    <x v="22"/>
    <x v="0"/>
    <x v="0"/>
    <x v="6"/>
    <x v="4"/>
    <n v="325000"/>
    <n v="145000"/>
    <n v="280000"/>
    <s v="New York"/>
    <x v="0"/>
    <s v="Fully Remote"/>
    <s v="Enterprise (5000+)"/>
    <x v="3"/>
    <s v="Image Processing|Python|PyTorch|CNNs|OpenCV|CUDA|Git|Leadership|Cloud"/>
    <n v="9.6"/>
    <x v="18"/>
    <x v="368"/>
    <n v="7.5"/>
    <x v="1"/>
    <n v="6"/>
    <n v="1"/>
    <x v="1"/>
    <x v="1"/>
    <s v="Elite (&gt;$300k)"/>
  </r>
  <r>
    <x v="1120"/>
    <x v="2"/>
    <x v="0"/>
    <x v="3"/>
    <x v="0"/>
    <x v="0"/>
    <n v="354000"/>
    <n v="160000"/>
    <n v="300000"/>
    <s v="Boston"/>
    <x v="0"/>
    <s v="Fully Remote"/>
    <s v="Big Tech (FAANG+)"/>
    <x v="2"/>
    <s v="Fine-tuning|Prompt Engineering|RAG|LLM APIs|Python|Vector DBs|Research|SQL|Linux"/>
    <n v="7.9"/>
    <x v="2"/>
    <x v="96"/>
    <n v="9"/>
    <x v="1"/>
    <n v="5"/>
    <n v="0"/>
    <x v="1"/>
    <x v="0"/>
    <s v="Elite (&gt;$300k)"/>
  </r>
  <r>
    <x v="1121"/>
    <x v="7"/>
    <x v="0"/>
    <x v="3"/>
    <x v="6"/>
    <x v="0"/>
    <n v="208000"/>
    <n v="145000"/>
    <n v="290000"/>
    <s v="San Francisco"/>
    <x v="0"/>
    <s v="Hybrid"/>
    <s v="Startup (1-50)"/>
    <x v="2"/>
    <s v="LLMs|Transformers|Hugging Face|Python|BERT|Text Processing|Linux"/>
    <n v="9"/>
    <x v="6"/>
    <x v="499"/>
    <n v="6.2"/>
    <x v="0"/>
    <n v="1"/>
    <n v="0"/>
    <x v="1"/>
    <x v="1"/>
    <s v="Senior ($200-300k)"/>
  </r>
  <r>
    <x v="1122"/>
    <x v="4"/>
    <x v="2"/>
    <x v="1"/>
    <x v="10"/>
    <x v="3"/>
    <n v="191000"/>
    <n v="140000"/>
    <n v="260000"/>
    <s v="London"/>
    <x v="1"/>
    <s v="On-site"/>
    <s v="SME (51-500)"/>
    <x v="8"/>
    <s v="AI Literacy|Stakeholder Mgmt|Product Strategy|Data Analysis|Agile|Problem Solving"/>
    <n v="15.2"/>
    <x v="4"/>
    <x v="38"/>
    <n v="8.5"/>
    <x v="1"/>
    <n v="4"/>
    <n v="1"/>
    <x v="0"/>
    <x v="1"/>
    <s v="Upper-Mid ($150-200k)"/>
  </r>
  <r>
    <x v="1123"/>
    <x v="12"/>
    <x v="0"/>
    <x v="2"/>
    <x v="3"/>
    <x v="4"/>
    <n v="167000"/>
    <n v="160000"/>
    <n v="300000"/>
    <s v="Chicago"/>
    <x v="0"/>
    <s v="Hybrid"/>
    <s v="Startup (1-50)"/>
    <x v="6"/>
    <s v="APIs|Vision-Language Models|Python|Leadership"/>
    <n v="10.1"/>
    <x v="11"/>
    <x v="18"/>
    <n v="8.5"/>
    <x v="0"/>
    <n v="3"/>
    <n v="0"/>
    <x v="1"/>
    <x v="1"/>
    <s v="Upper-Mid ($150-200k)"/>
  </r>
  <r>
    <x v="1124"/>
    <x v="17"/>
    <x v="8"/>
    <x v="1"/>
    <x v="8"/>
    <x v="4"/>
    <n v="157000"/>
    <n v="157000"/>
    <n v="218000"/>
    <s v="Beijing"/>
    <x v="6"/>
    <s v="Hybrid"/>
    <s v="Startup (1-50)"/>
    <x v="11"/>
    <s v="Causal Inference|Leadership|Advanced Statistics|ML|Python|Statistics|Cloud"/>
    <n v="7.4"/>
    <x v="11"/>
    <x v="101"/>
    <n v="9.6"/>
    <x v="1"/>
    <n v="1"/>
    <n v="1"/>
    <x v="1"/>
    <x v="1"/>
    <s v="Upper-Mid ($150-200k)"/>
  </r>
  <r>
    <x v="1125"/>
    <x v="19"/>
    <x v="10"/>
    <x v="3"/>
    <x v="2"/>
    <x v="0"/>
    <n v="168000"/>
    <n v="140000"/>
    <n v="270000"/>
    <s v="Sydney"/>
    <x v="11"/>
    <s v="Hybrid"/>
    <s v="Mid-size (501-5000)"/>
    <x v="0"/>
    <s v="Networking|Kubernetes|Storage|Distributed Systems|CUDA|Cloud|Communication|Problem Solving"/>
    <n v="15.3"/>
    <x v="4"/>
    <x v="50"/>
    <n v="6.1"/>
    <x v="1"/>
    <n v="5"/>
    <n v="0"/>
    <x v="1"/>
    <x v="1"/>
    <s v="Upper-Mid ($150-200k)"/>
  </r>
  <r>
    <x v="1126"/>
    <x v="10"/>
    <x v="0"/>
    <x v="1"/>
    <x v="2"/>
    <x v="1"/>
    <n v="253000"/>
    <n v="150000"/>
    <n v="295000"/>
    <s v="Remote"/>
    <x v="3"/>
    <s v="Hybrid"/>
    <s v="Startup (1-50)"/>
    <x v="9"/>
    <s v="GenAI APIs|Diffusion Models|Python|Problem Solving|Statistics"/>
    <n v="16"/>
    <x v="9"/>
    <x v="59"/>
    <n v="7.1"/>
    <x v="0"/>
    <n v="1"/>
    <n v="1"/>
    <x v="1"/>
    <x v="0"/>
    <s v="Senior ($200-300k)"/>
  </r>
  <r>
    <x v="1127"/>
    <x v="0"/>
    <x v="0"/>
    <x v="2"/>
    <x v="2"/>
    <x v="0"/>
    <n v="191000"/>
    <n v="155000"/>
    <n v="290000"/>
    <s v="Remote"/>
    <x v="3"/>
    <s v="Hybrid"/>
    <s v="Mid-size (501-5000)"/>
    <x v="3"/>
    <s v="APIs|Tool Use|Planning Systems|Leadership|Linux"/>
    <n v="9.4"/>
    <x v="0"/>
    <x v="500"/>
    <n v="6"/>
    <x v="0"/>
    <n v="1"/>
    <n v="0"/>
    <x v="1"/>
    <x v="0"/>
    <s v="Upper-Mid ($150-200k)"/>
  </r>
  <r>
    <x v="1128"/>
    <x v="20"/>
    <x v="0"/>
    <x v="1"/>
    <x v="0"/>
    <x v="0"/>
    <n v="296000"/>
    <n v="100000"/>
    <n v="250000"/>
    <s v="New York"/>
    <x v="0"/>
    <s v="Hybrid"/>
    <s v="SME (51-500)"/>
    <x v="6"/>
    <s v="PyTorch|Cloud (AWS/GCP/Azure)|LLM Integration|Python|Problem Solving|Research"/>
    <n v="12.9"/>
    <x v="9"/>
    <x v="430"/>
    <n v="6.4"/>
    <x v="0"/>
    <n v="3"/>
    <n v="1"/>
    <x v="1"/>
    <x v="1"/>
    <s v="Senior ($200-300k)"/>
  </r>
  <r>
    <x v="1129"/>
    <x v="19"/>
    <x v="10"/>
    <x v="0"/>
    <x v="4"/>
    <x v="2"/>
    <n v="140000"/>
    <n v="140000"/>
    <n v="270000"/>
    <s v="Bangalore"/>
    <x v="4"/>
    <s v="Hybrid"/>
    <s v="Enterprise (5000+)"/>
    <x v="3"/>
    <s v="Cloud|Storage|CUDA|Kubernetes|Networking|Distributed Systems|Communication|Linux|Cloud"/>
    <n v="9.3000000000000007"/>
    <x v="4"/>
    <x v="349"/>
    <n v="9.6999999999999993"/>
    <x v="1"/>
    <n v="7"/>
    <n v="1"/>
    <x v="1"/>
    <x v="1"/>
    <s v="Mid ($100-150k)"/>
  </r>
  <r>
    <x v="1130"/>
    <x v="21"/>
    <x v="8"/>
    <x v="3"/>
    <x v="8"/>
    <x v="2"/>
    <n v="138000"/>
    <n v="138000"/>
    <n v="195000"/>
    <s v="Austin"/>
    <x v="0"/>
    <s v="Hybrid"/>
    <s v="Startup (1-50)"/>
    <x v="2"/>
    <s v="ML Algorithms|Python|SQL|Agile|Leadership|Statistics"/>
    <n v="3"/>
    <x v="17"/>
    <x v="313"/>
    <n v="8.6"/>
    <x v="0"/>
    <n v="3"/>
    <n v="0"/>
    <x v="1"/>
    <x v="1"/>
    <s v="Mid ($100-150k)"/>
  </r>
  <r>
    <x v="1131"/>
    <x v="24"/>
    <x v="11"/>
    <x v="0"/>
    <x v="8"/>
    <x v="3"/>
    <n v="180000"/>
    <n v="115000"/>
    <n v="280000"/>
    <s v="Austin"/>
    <x v="0"/>
    <s v="Hybrid"/>
    <s v="SME (51-500)"/>
    <x v="5"/>
    <s v="Deep Learning|Publishing|Mathematics|Python|Research|Communication"/>
    <n v="13.5"/>
    <x v="3"/>
    <x v="146"/>
    <n v="7.3"/>
    <x v="0"/>
    <n v="2"/>
    <n v="1"/>
    <x v="1"/>
    <x v="1"/>
    <s v="Upper-Mid ($150-200k)"/>
  </r>
  <r>
    <x v="1132"/>
    <x v="6"/>
    <x v="0"/>
    <x v="2"/>
    <x v="6"/>
    <x v="3"/>
    <n v="190000"/>
    <n v="180000"/>
    <n v="312000"/>
    <s v="Sydney"/>
    <x v="11"/>
    <s v="On-site"/>
    <s v="Big Tech (FAANG+)"/>
    <x v="3"/>
    <s v="LLM Fine-tuning|System Design|MLOps|PyTorch|Distributed Systems|Problem Solving|Leadership|Agile"/>
    <n v="14.8"/>
    <x v="0"/>
    <x v="66"/>
    <n v="8.6"/>
    <x v="0"/>
    <n v="3"/>
    <n v="0"/>
    <x v="0"/>
    <x v="1"/>
    <s v="Upper-Mid ($150-200k)"/>
  </r>
  <r>
    <x v="1133"/>
    <x v="23"/>
    <x v="9"/>
    <x v="3"/>
    <x v="10"/>
    <x v="1"/>
    <n v="113000"/>
    <n v="100000"/>
    <n v="200000"/>
    <s v="Sydney"/>
    <x v="11"/>
    <s v="Hybrid"/>
    <s v="SME (51-500)"/>
    <x v="1"/>
    <s v="Risk Management|Legal Knowledge|EU AI Act|Leadership"/>
    <n v="9.4"/>
    <x v="19"/>
    <x v="282"/>
    <n v="7.5"/>
    <x v="1"/>
    <n v="7"/>
    <n v="0"/>
    <x v="1"/>
    <x v="1"/>
    <s v="Mid ($100-150k)"/>
  </r>
  <r>
    <x v="1134"/>
    <x v="4"/>
    <x v="2"/>
    <x v="1"/>
    <x v="8"/>
    <x v="2"/>
    <n v="211000"/>
    <n v="140000"/>
    <n v="260000"/>
    <s v="Singapore"/>
    <x v="2"/>
    <s v="Fully Remote"/>
    <s v="Mid-size (501-5000)"/>
    <x v="0"/>
    <s v="Agile|Data Analysis|AI Literacy|Stakeholder Mgmt|Research|Statistics"/>
    <n v="9.6999999999999993"/>
    <x v="4"/>
    <x v="356"/>
    <n v="7"/>
    <x v="1"/>
    <n v="7"/>
    <n v="1"/>
    <x v="1"/>
    <x v="1"/>
    <s v="Senior ($200-300k)"/>
  </r>
  <r>
    <x v="1135"/>
    <x v="5"/>
    <x v="3"/>
    <x v="1"/>
    <x v="0"/>
    <x v="2"/>
    <n v="241000"/>
    <n v="140000"/>
    <n v="260000"/>
    <s v="Zurich"/>
    <x v="13"/>
    <s v="On-site"/>
    <s v="Mid-size (501-5000)"/>
    <x v="0"/>
    <s v="Cybersecurity|Python|Risk Analysis|ML Security|Red Teaming|Agile|Statistics"/>
    <n v="16.899999999999999"/>
    <x v="5"/>
    <x v="137"/>
    <n v="7"/>
    <x v="0"/>
    <n v="3"/>
    <n v="1"/>
    <x v="0"/>
    <x v="1"/>
    <s v="Senior ($200-300k)"/>
  </r>
  <r>
    <x v="1136"/>
    <x v="15"/>
    <x v="0"/>
    <x v="2"/>
    <x v="3"/>
    <x v="0"/>
    <n v="179000"/>
    <n v="145000"/>
    <n v="280000"/>
    <s v="Remote"/>
    <x v="3"/>
    <s v="Fully Remote"/>
    <s v="Mid-size (501-5000)"/>
    <x v="1"/>
    <s v="Search Systems|Embeddings|LangChain|Python|Communication|Statistics|Research"/>
    <n v="6.2"/>
    <x v="14"/>
    <x v="501"/>
    <n v="7.6"/>
    <x v="1"/>
    <n v="10"/>
    <n v="0"/>
    <x v="1"/>
    <x v="0"/>
    <s v="Upper-Mid ($150-200k)"/>
  </r>
  <r>
    <x v="1137"/>
    <x v="13"/>
    <x v="5"/>
    <x v="3"/>
    <x v="3"/>
    <x v="2"/>
    <n v="130000"/>
    <n v="130000"/>
    <n v="260000"/>
    <s v="Berlin"/>
    <x v="12"/>
    <s v="Fully Remote"/>
    <s v="SME (51-500)"/>
    <x v="1"/>
    <s v="Python|Monitoring|Docker|Cloud|Problem Solving|Leadership|Communication"/>
    <n v="15.8"/>
    <x v="12"/>
    <x v="210"/>
    <n v="6.3"/>
    <x v="1"/>
    <n v="10"/>
    <n v="0"/>
    <x v="1"/>
    <x v="1"/>
    <s v="Mid ($100-150k)"/>
  </r>
  <r>
    <x v="1138"/>
    <x v="20"/>
    <x v="0"/>
    <x v="2"/>
    <x v="4"/>
    <x v="2"/>
    <n v="100000"/>
    <n v="100000"/>
    <n v="250000"/>
    <s v="Bangalore"/>
    <x v="4"/>
    <s v="Hybrid"/>
    <s v="Enterprise (5000+)"/>
    <x v="4"/>
    <s v="PyTorch|LLM Integration|Docker|Cloud (AWS/GCP/Azure)|Python|Agile|Git|Communication"/>
    <n v="10.7"/>
    <x v="9"/>
    <x v="218"/>
    <n v="7.2"/>
    <x v="1"/>
    <n v="4"/>
    <n v="0"/>
    <x v="1"/>
    <x v="1"/>
    <s v="Entry (&lt;$100k)"/>
  </r>
  <r>
    <x v="1139"/>
    <x v="3"/>
    <x v="1"/>
    <x v="0"/>
    <x v="1"/>
    <x v="2"/>
    <n v="174000"/>
    <n v="130000"/>
    <n v="220000"/>
    <s v="Sydney"/>
    <x v="11"/>
    <s v="Fully Remote"/>
    <s v="Enterprise (5000+)"/>
    <x v="7"/>
    <s v="SQL|Airflow|Spark|ETL|Feature Stores|Python|dbt|Leadership|SQL|Linux"/>
    <n v="8"/>
    <x v="3"/>
    <x v="171"/>
    <n v="7"/>
    <x v="1"/>
    <n v="1"/>
    <n v="1"/>
    <x v="1"/>
    <x v="1"/>
    <s v="Upper-Mid ($150-200k)"/>
  </r>
  <r>
    <x v="1140"/>
    <x v="7"/>
    <x v="0"/>
    <x v="3"/>
    <x v="3"/>
    <x v="4"/>
    <n v="258000"/>
    <n v="145000"/>
    <n v="290000"/>
    <s v="Seattle"/>
    <x v="0"/>
    <s v="Hybrid"/>
    <s v="Mid-size (501-5000)"/>
    <x v="6"/>
    <s v="Transformers|BERT|Text Processing|Python|Hugging Face|LLMs|Research|Problem Solving|Leadership"/>
    <n v="6.2"/>
    <x v="6"/>
    <x v="344"/>
    <n v="9.6"/>
    <x v="1"/>
    <n v="5"/>
    <n v="0"/>
    <x v="1"/>
    <x v="1"/>
    <s v="Senior ($200-300k)"/>
  </r>
  <r>
    <x v="1141"/>
    <x v="6"/>
    <x v="0"/>
    <x v="0"/>
    <x v="6"/>
    <x v="2"/>
    <n v="253000"/>
    <n v="180000"/>
    <n v="312000"/>
    <s v="Dubai"/>
    <x v="8"/>
    <s v="Hybrid"/>
    <s v="Enterprise (5000+)"/>
    <x v="8"/>
    <s v="LLM Fine-tuning|Distributed Systems|PyTorch|Statistics|Leadership|Cloud"/>
    <n v="17.399999999999999"/>
    <x v="0"/>
    <x v="502"/>
    <n v="7.6"/>
    <x v="1"/>
    <n v="4"/>
    <n v="1"/>
    <x v="1"/>
    <x v="1"/>
    <s v="Senior ($200-300k)"/>
  </r>
  <r>
    <x v="1142"/>
    <x v="24"/>
    <x v="11"/>
    <x v="0"/>
    <x v="6"/>
    <x v="2"/>
    <n v="128000"/>
    <n v="115000"/>
    <n v="280000"/>
    <s v="Amsterdam"/>
    <x v="9"/>
    <s v="Hybrid"/>
    <s v="Startup (1-50)"/>
    <x v="2"/>
    <s v="Deep Learning|Publishing|Mathematics|PyTorch|Communication|Git|Research"/>
    <n v="11.8"/>
    <x v="3"/>
    <x v="40"/>
    <n v="8.1999999999999993"/>
    <x v="0"/>
    <n v="3"/>
    <n v="1"/>
    <x v="1"/>
    <x v="1"/>
    <s v="Mid ($100-150k)"/>
  </r>
  <r>
    <x v="1143"/>
    <x v="12"/>
    <x v="0"/>
    <x v="2"/>
    <x v="9"/>
    <x v="2"/>
    <n v="178000"/>
    <n v="160000"/>
    <n v="300000"/>
    <s v="Seattle"/>
    <x v="0"/>
    <s v="Fully Remote"/>
    <s v="Mid-size (501-5000)"/>
    <x v="4"/>
    <s v="APIs|Vision-Language Models|Fine-tuning|Cloud"/>
    <n v="13.6"/>
    <x v="11"/>
    <x v="152"/>
    <n v="8.1"/>
    <x v="0"/>
    <n v="2"/>
    <n v="0"/>
    <x v="1"/>
    <x v="1"/>
    <s v="Upper-Mid ($150-200k)"/>
  </r>
  <r>
    <x v="1144"/>
    <x v="17"/>
    <x v="8"/>
    <x v="1"/>
    <x v="12"/>
    <x v="0"/>
    <n v="201000"/>
    <n v="157000"/>
    <n v="218000"/>
    <s v="London"/>
    <x v="1"/>
    <s v="Hybrid"/>
    <s v="SME (51-500)"/>
    <x v="2"/>
    <s v="ML|Deep Learning|Python|Linux"/>
    <n v="8.8000000000000007"/>
    <x v="11"/>
    <x v="286"/>
    <n v="8.6999999999999993"/>
    <x v="0"/>
    <n v="2"/>
    <n v="1"/>
    <x v="1"/>
    <x v="1"/>
    <s v="Senior ($200-300k)"/>
  </r>
  <r>
    <x v="1145"/>
    <x v="4"/>
    <x v="2"/>
    <x v="1"/>
    <x v="6"/>
    <x v="1"/>
    <n v="299000"/>
    <n v="140000"/>
    <n v="260000"/>
    <s v="Berlin"/>
    <x v="12"/>
    <s v="Hybrid"/>
    <s v="Big Tech (FAANG+)"/>
    <x v="3"/>
    <s v="Agile|Data Analysis|Stakeholder Mgmt|AI Literacy|Agile|Git|Research"/>
    <n v="11.1"/>
    <x v="4"/>
    <x v="24"/>
    <n v="6.3"/>
    <x v="0"/>
    <n v="3"/>
    <n v="1"/>
    <x v="1"/>
    <x v="1"/>
    <s v="Senior ($200-300k)"/>
  </r>
  <r>
    <x v="1146"/>
    <x v="16"/>
    <x v="7"/>
    <x v="1"/>
    <x v="2"/>
    <x v="0"/>
    <n v="125000"/>
    <n v="125000"/>
    <n v="240000"/>
    <s v="Beijing"/>
    <x v="6"/>
    <s v="Fully Remote"/>
    <s v="Startup (1-50)"/>
    <x v="10"/>
    <s v="Control Systems|ROS|C++|Python|Simulation|Problem Solving|Agile|Statistics"/>
    <n v="15.6"/>
    <x v="15"/>
    <x v="503"/>
    <n v="6.6"/>
    <x v="0"/>
    <n v="1"/>
    <n v="1"/>
    <x v="1"/>
    <x v="1"/>
    <s v="Mid ($100-150k)"/>
  </r>
  <r>
    <x v="1147"/>
    <x v="5"/>
    <x v="3"/>
    <x v="1"/>
    <x v="3"/>
    <x v="3"/>
    <n v="239000"/>
    <n v="140000"/>
    <n v="260000"/>
    <s v="Berlin"/>
    <x v="12"/>
    <s v="Hybrid"/>
    <s v="Big Tech (FAANG+)"/>
    <x v="2"/>
    <s v="Cybersecurity|Red Teaming|ML Security|Linux"/>
    <n v="14.8"/>
    <x v="5"/>
    <x v="40"/>
    <n v="9.6"/>
    <x v="0"/>
    <n v="3"/>
    <n v="1"/>
    <x v="1"/>
    <x v="1"/>
    <s v="Senior ($200-300k)"/>
  </r>
  <r>
    <x v="1148"/>
    <x v="20"/>
    <x v="0"/>
    <x v="2"/>
    <x v="0"/>
    <x v="0"/>
    <n v="100000"/>
    <n v="100000"/>
    <n v="250000"/>
    <s v="Toronto"/>
    <x v="7"/>
    <s v="Fully Remote"/>
    <s v="Startup (1-50)"/>
    <x v="1"/>
    <s v="Docker|PyTorch|Cloud (AWS/GCP/Azure)|Python|LLM Integration|Research"/>
    <n v="11.9"/>
    <x v="9"/>
    <x v="419"/>
    <n v="9.6999999999999993"/>
    <x v="1"/>
    <n v="2"/>
    <n v="0"/>
    <x v="1"/>
    <x v="1"/>
    <s v="Entry (&lt;$100k)"/>
  </r>
  <r>
    <x v="1149"/>
    <x v="9"/>
    <x v="0"/>
    <x v="3"/>
    <x v="4"/>
    <x v="0"/>
    <n v="242000"/>
    <n v="120000"/>
    <n v="280000"/>
    <s v="Zurich"/>
    <x v="13"/>
    <s v="Hybrid"/>
    <s v="Big Tech (FAANG+)"/>
    <x v="7"/>
    <s v="MLOps|Kubernetes|PyTorch|Python|Leadership|Cloud"/>
    <n v="17"/>
    <x v="8"/>
    <x v="243"/>
    <n v="6.9"/>
    <x v="1"/>
    <n v="7"/>
    <n v="0"/>
    <x v="1"/>
    <x v="1"/>
    <s v="Senior ($200-300k)"/>
  </r>
  <r>
    <x v="1150"/>
    <x v="18"/>
    <x v="9"/>
    <x v="1"/>
    <x v="0"/>
    <x v="2"/>
    <n v="184000"/>
    <n v="110000"/>
    <n v="210000"/>
    <s v="Toronto"/>
    <x v="7"/>
    <s v="On-site"/>
    <s v="Enterprise (5000+)"/>
    <x v="5"/>
    <s v="Ethics Frameworks|Research|Communication|SQL|Research"/>
    <n v="9"/>
    <x v="16"/>
    <x v="131"/>
    <n v="9.1"/>
    <x v="0"/>
    <n v="1"/>
    <n v="1"/>
    <x v="0"/>
    <x v="1"/>
    <s v="Upper-Mid ($150-200k)"/>
  </r>
  <r>
    <x v="1151"/>
    <x v="21"/>
    <x v="8"/>
    <x v="0"/>
    <x v="6"/>
    <x v="1"/>
    <n v="159000"/>
    <n v="138000"/>
    <n v="195000"/>
    <s v="Toronto"/>
    <x v="7"/>
    <s v="Fully Remote"/>
    <s v="Mid-size (501-5000)"/>
    <x v="8"/>
    <s v="Scikit-learn|Python|SQL|Data Visualization|ML Algorithms|Research|Communication|Agile"/>
    <n v="4.8"/>
    <x v="17"/>
    <x v="504"/>
    <n v="9.6999999999999993"/>
    <x v="0"/>
    <n v="1"/>
    <n v="1"/>
    <x v="1"/>
    <x v="1"/>
    <s v="Upper-Mid ($150-200k)"/>
  </r>
  <r>
    <x v="1152"/>
    <x v="6"/>
    <x v="0"/>
    <x v="0"/>
    <x v="8"/>
    <x v="3"/>
    <n v="195000"/>
    <n v="180000"/>
    <n v="312000"/>
    <s v="Paris"/>
    <x v="10"/>
    <s v="Hybrid"/>
    <s v="Startup (1-50)"/>
    <x v="0"/>
    <s v="PyTorch|System Design|Python|MLOps|Leadership|Research"/>
    <n v="15.5"/>
    <x v="0"/>
    <x v="462"/>
    <n v="9"/>
    <x v="0"/>
    <n v="3"/>
    <n v="1"/>
    <x v="1"/>
    <x v="1"/>
    <s v="Upper-Mid ($150-200k)"/>
  </r>
  <r>
    <x v="1153"/>
    <x v="9"/>
    <x v="0"/>
    <x v="1"/>
    <x v="3"/>
    <x v="2"/>
    <n v="120000"/>
    <n v="120000"/>
    <n v="280000"/>
    <s v="Bangalore"/>
    <x v="4"/>
    <s v="Hybrid"/>
    <s v="Enterprise (5000+)"/>
    <x v="6"/>
    <s v="PyTorch|TensorFlow|Kubernetes|SQL|Leadership|Agile"/>
    <n v="12.7"/>
    <x v="8"/>
    <x v="505"/>
    <n v="6.1"/>
    <x v="0"/>
    <n v="1"/>
    <n v="1"/>
    <x v="1"/>
    <x v="1"/>
    <s v="Mid ($100-150k)"/>
  </r>
  <r>
    <x v="1154"/>
    <x v="23"/>
    <x v="9"/>
    <x v="0"/>
    <x v="8"/>
    <x v="1"/>
    <n v="139000"/>
    <n v="100000"/>
    <n v="200000"/>
    <s v="Amsterdam"/>
    <x v="9"/>
    <s v="Hybrid"/>
    <s v="Enterprise (5000+)"/>
    <x v="10"/>
    <s v="Auditing|Documentation|Risk Management|Research"/>
    <n v="16.7"/>
    <x v="19"/>
    <x v="381"/>
    <n v="9.6"/>
    <x v="1"/>
    <n v="12"/>
    <n v="1"/>
    <x v="1"/>
    <x v="1"/>
    <s v="Mid ($100-150k)"/>
  </r>
  <r>
    <x v="1155"/>
    <x v="24"/>
    <x v="11"/>
    <x v="1"/>
    <x v="10"/>
    <x v="0"/>
    <n v="115000"/>
    <n v="115000"/>
    <n v="280000"/>
    <s v="Beijing"/>
    <x v="6"/>
    <s v="Hybrid"/>
    <s v="SME (51-500)"/>
    <x v="10"/>
    <s v="Publishing|Python|PyTorch|Research|Statistics"/>
    <n v="15.1"/>
    <x v="3"/>
    <x v="123"/>
    <n v="6.6"/>
    <x v="0"/>
    <n v="1"/>
    <n v="1"/>
    <x v="1"/>
    <x v="1"/>
    <s v="Mid ($100-150k)"/>
  </r>
  <r>
    <x v="1156"/>
    <x v="24"/>
    <x v="11"/>
    <x v="1"/>
    <x v="9"/>
    <x v="4"/>
    <n v="186000"/>
    <n v="115000"/>
    <n v="280000"/>
    <s v="Paris"/>
    <x v="10"/>
    <s v="Fully Remote"/>
    <s v="Startup (1-50)"/>
    <x v="6"/>
    <s v="Mathematics|PyTorch|Deep Learning|Publishing|Python|Communication|Agile"/>
    <n v="16.5"/>
    <x v="3"/>
    <x v="502"/>
    <n v="7.5"/>
    <x v="0"/>
    <n v="2"/>
    <n v="1"/>
    <x v="1"/>
    <x v="1"/>
    <s v="Upper-Mid ($150-200k)"/>
  </r>
  <r>
    <x v="1157"/>
    <x v="10"/>
    <x v="0"/>
    <x v="0"/>
    <x v="4"/>
    <x v="1"/>
    <n v="150000"/>
    <n v="150000"/>
    <n v="295000"/>
    <s v="Bangalore"/>
    <x v="4"/>
    <s v="Fully Remote"/>
    <s v="Mid-size (501-5000)"/>
    <x v="1"/>
    <s v="Deployment|LLMs|Python|GenAI APIs|Diffusion Models|SQL|Statistics"/>
    <n v="17"/>
    <x v="9"/>
    <x v="91"/>
    <n v="8.5"/>
    <x v="0"/>
    <n v="3"/>
    <n v="1"/>
    <x v="1"/>
    <x v="0"/>
    <s v="Mid ($100-150k)"/>
  </r>
  <r>
    <x v="1158"/>
    <x v="6"/>
    <x v="0"/>
    <x v="3"/>
    <x v="12"/>
    <x v="4"/>
    <n v="191000"/>
    <n v="180000"/>
    <n v="312000"/>
    <s v="Paris"/>
    <x v="10"/>
    <s v="Fully Remote"/>
    <s v="Startup (1-50)"/>
    <x v="8"/>
    <s v="Distributed Systems|Python|System Design|MLOps|LLM Fine-tuning|PyTorch|Agile|SQL"/>
    <n v="13.9"/>
    <x v="0"/>
    <x v="506"/>
    <n v="6.5"/>
    <x v="0"/>
    <n v="3"/>
    <n v="0"/>
    <x v="1"/>
    <x v="1"/>
    <s v="Upper-Mid ($150-200k)"/>
  </r>
  <r>
    <x v="1159"/>
    <x v="0"/>
    <x v="0"/>
    <x v="2"/>
    <x v="0"/>
    <x v="0"/>
    <n v="155000"/>
    <n v="155000"/>
    <n v="290000"/>
    <s v="London"/>
    <x v="1"/>
    <s v="Hybrid"/>
    <s v="SME (51-500)"/>
    <x v="2"/>
    <s v="APIs|Python|Tool Use|AutoGen|Planning Systems|Leadership"/>
    <n v="12.5"/>
    <x v="0"/>
    <x v="367"/>
    <n v="8.8000000000000007"/>
    <x v="0"/>
    <n v="2"/>
    <n v="0"/>
    <x v="1"/>
    <x v="0"/>
    <s v="Upper-Mid ($150-200k)"/>
  </r>
  <r>
    <x v="1160"/>
    <x v="1"/>
    <x v="0"/>
    <x v="3"/>
    <x v="1"/>
    <x v="4"/>
    <n v="159000"/>
    <n v="90000"/>
    <n v="200000"/>
    <s v="Seattle"/>
    <x v="0"/>
    <s v="Fully Remote"/>
    <s v="Startup (1-50)"/>
    <x v="0"/>
    <s v="LLM APIs|Prompt Design|Documentation|Testing|Python|Communication|Agile|SQL"/>
    <n v="4.5"/>
    <x v="1"/>
    <x v="17"/>
    <n v="7.6"/>
    <x v="1"/>
    <n v="7"/>
    <n v="0"/>
    <x v="1"/>
    <x v="0"/>
    <s v="Upper-Mid ($150-200k)"/>
  </r>
  <r>
    <x v="1161"/>
    <x v="18"/>
    <x v="9"/>
    <x v="2"/>
    <x v="11"/>
    <x v="1"/>
    <n v="131000"/>
    <n v="110000"/>
    <n v="210000"/>
    <s v="Singapore"/>
    <x v="2"/>
    <s v="On-site"/>
    <s v="Big Tech (FAANG+)"/>
    <x v="6"/>
    <s v="AI Policy|Ethics Frameworks|Research|Risk Assessment|Communication|Git|Agile"/>
    <n v="9.6"/>
    <x v="16"/>
    <x v="27"/>
    <n v="9.3000000000000007"/>
    <x v="1"/>
    <n v="5"/>
    <n v="0"/>
    <x v="0"/>
    <x v="1"/>
    <s v="Mid ($100-150k)"/>
  </r>
  <r>
    <x v="1162"/>
    <x v="2"/>
    <x v="0"/>
    <x v="0"/>
    <x v="4"/>
    <x v="0"/>
    <n v="301000"/>
    <n v="160000"/>
    <n v="300000"/>
    <s v="Singapore"/>
    <x v="2"/>
    <s v="Hybrid"/>
    <s v="Enterprise (5000+)"/>
    <x v="9"/>
    <s v="Python|Prompt Engineering|RAG|Research"/>
    <n v="3.5"/>
    <x v="2"/>
    <x v="194"/>
    <n v="8.9"/>
    <x v="0"/>
    <n v="3"/>
    <n v="1"/>
    <x v="1"/>
    <x v="0"/>
    <s v="Elite (&gt;$300k)"/>
  </r>
  <r>
    <x v="1163"/>
    <x v="2"/>
    <x v="0"/>
    <x v="0"/>
    <x v="0"/>
    <x v="2"/>
    <n v="160000"/>
    <n v="160000"/>
    <n v="300000"/>
    <s v="Beijing"/>
    <x v="6"/>
    <s v="On-site"/>
    <s v="Mid-size (501-5000)"/>
    <x v="11"/>
    <s v="RAG|Vector DBs|Prompt Engineering|LLM APIs|Agile"/>
    <n v="4.5"/>
    <x v="2"/>
    <x v="425"/>
    <n v="9"/>
    <x v="0"/>
    <n v="2"/>
    <n v="1"/>
    <x v="0"/>
    <x v="0"/>
    <s v="Upper-Mid ($150-200k)"/>
  </r>
  <r>
    <x v="1164"/>
    <x v="20"/>
    <x v="0"/>
    <x v="0"/>
    <x v="3"/>
    <x v="1"/>
    <n v="200000"/>
    <n v="100000"/>
    <n v="250000"/>
    <s v="Chicago"/>
    <x v="0"/>
    <s v="Fully Remote"/>
    <s v="Mid-size (501-5000)"/>
    <x v="10"/>
    <s v="Cloud (AWS/GCP/Azure)|Docker|PyTorch|LLM Integration|Linux|Problem Solving"/>
    <n v="10.3"/>
    <x v="9"/>
    <x v="36"/>
    <n v="7.8"/>
    <x v="1"/>
    <n v="4"/>
    <n v="1"/>
    <x v="1"/>
    <x v="1"/>
    <s v="Upper-Mid ($150-200k)"/>
  </r>
  <r>
    <x v="1165"/>
    <x v="6"/>
    <x v="0"/>
    <x v="0"/>
    <x v="8"/>
    <x v="3"/>
    <n v="213000"/>
    <n v="180000"/>
    <n v="312000"/>
    <s v="Berlin"/>
    <x v="12"/>
    <s v="On-site"/>
    <s v="Mid-size (501-5000)"/>
    <x v="0"/>
    <s v="Distributed Systems|MLOps|System Design|LLM Fine-tuning|Python|Statistics"/>
    <n v="15"/>
    <x v="0"/>
    <x v="507"/>
    <n v="8"/>
    <x v="0"/>
    <n v="2"/>
    <n v="1"/>
    <x v="0"/>
    <x v="1"/>
    <s v="Senior ($200-300k)"/>
  </r>
  <r>
    <x v="1166"/>
    <x v="11"/>
    <x v="0"/>
    <x v="2"/>
    <x v="6"/>
    <x v="4"/>
    <n v="153000"/>
    <n v="141000"/>
    <n v="270000"/>
    <s v="Seattle"/>
    <x v="0"/>
    <s v="On-site"/>
    <s v="SME (51-500)"/>
    <x v="2"/>
    <s v="PyTorch|Neural Networks|GPU Computing|TensorFlow|CUDA|Git|Leadership"/>
    <n v="6.7"/>
    <x v="10"/>
    <x v="305"/>
    <n v="6.2"/>
    <x v="1"/>
    <n v="12"/>
    <n v="0"/>
    <x v="0"/>
    <x v="1"/>
    <s v="Upper-Mid ($150-200k)"/>
  </r>
  <r>
    <x v="1167"/>
    <x v="16"/>
    <x v="7"/>
    <x v="2"/>
    <x v="2"/>
    <x v="4"/>
    <n v="130000"/>
    <n v="125000"/>
    <n v="240000"/>
    <s v="Remote"/>
    <x v="3"/>
    <s v="Hybrid"/>
    <s v="SME (51-500)"/>
    <x v="9"/>
    <s v="ROS|Simulation|C++|Control Systems|Python|Leadership|Cloud"/>
    <n v="17.5"/>
    <x v="15"/>
    <x v="363"/>
    <n v="9"/>
    <x v="1"/>
    <n v="8"/>
    <n v="0"/>
    <x v="1"/>
    <x v="1"/>
    <s v="Mid ($100-150k)"/>
  </r>
  <r>
    <x v="1168"/>
    <x v="21"/>
    <x v="8"/>
    <x v="1"/>
    <x v="2"/>
    <x v="2"/>
    <n v="234000"/>
    <n v="138000"/>
    <n v="195000"/>
    <s v="New York"/>
    <x v="0"/>
    <s v="Fully Remote"/>
    <s v="Big Tech (FAANG+)"/>
    <x v="3"/>
    <s v="SQL|Scikit-learn|Python|Statistics|Leadership|SQL|Linux"/>
    <n v="7.6"/>
    <x v="17"/>
    <x v="508"/>
    <n v="9.1"/>
    <x v="1"/>
    <n v="5"/>
    <n v="1"/>
    <x v="1"/>
    <x v="1"/>
    <s v="Senior ($200-300k)"/>
  </r>
  <r>
    <x v="1169"/>
    <x v="24"/>
    <x v="11"/>
    <x v="1"/>
    <x v="0"/>
    <x v="1"/>
    <n v="220000"/>
    <n v="115000"/>
    <n v="280000"/>
    <s v="Los Angeles"/>
    <x v="0"/>
    <s v="Hybrid"/>
    <s v="Startup (1-50)"/>
    <x v="7"/>
    <s v="PyTorch|Mathematics|Deep Learning|Statistics|SQL"/>
    <n v="16.3"/>
    <x v="3"/>
    <x v="239"/>
    <n v="8.8000000000000007"/>
    <x v="1"/>
    <n v="3"/>
    <n v="1"/>
    <x v="1"/>
    <x v="1"/>
    <s v="Senior ($200-300k)"/>
  </r>
  <r>
    <x v="1170"/>
    <x v="20"/>
    <x v="0"/>
    <x v="1"/>
    <x v="1"/>
    <x v="1"/>
    <n v="195000"/>
    <n v="100000"/>
    <n v="250000"/>
    <s v="Sydney"/>
    <x v="11"/>
    <s v="Fully Remote"/>
    <s v="Enterprise (5000+)"/>
    <x v="2"/>
    <s v="Cloud (AWS/GCP/Azure)|LLM Integration|Python|Docker|Cloud|Communication"/>
    <n v="13.2"/>
    <x v="9"/>
    <x v="214"/>
    <n v="9.1999999999999993"/>
    <x v="1"/>
    <n v="1"/>
    <n v="1"/>
    <x v="1"/>
    <x v="1"/>
    <s v="Upper-Mid ($150-200k)"/>
  </r>
  <r>
    <x v="1171"/>
    <x v="4"/>
    <x v="2"/>
    <x v="3"/>
    <x v="2"/>
    <x v="0"/>
    <n v="226000"/>
    <n v="140000"/>
    <n v="260000"/>
    <s v="London"/>
    <x v="1"/>
    <s v="Fully Remote"/>
    <s v="Big Tech (FAANG+)"/>
    <x v="1"/>
    <s v="Agile|AI Literacy|Stakeholder Mgmt|Product Strategy|Problem Solving"/>
    <n v="9.1"/>
    <x v="4"/>
    <x v="399"/>
    <n v="8"/>
    <x v="1"/>
    <n v="10"/>
    <n v="0"/>
    <x v="1"/>
    <x v="1"/>
    <s v="Senior ($200-300k)"/>
  </r>
  <r>
    <x v="1172"/>
    <x v="21"/>
    <x v="8"/>
    <x v="3"/>
    <x v="4"/>
    <x v="4"/>
    <n v="164000"/>
    <n v="138000"/>
    <n v="195000"/>
    <s v="Los Angeles"/>
    <x v="0"/>
    <s v="Hybrid"/>
    <s v="SME (51-500)"/>
    <x v="3"/>
    <s v="Statistics|ML Algorithms|Data Visualization|Problem Solving|Agile|Statistics"/>
    <n v="5.3"/>
    <x v="17"/>
    <x v="411"/>
    <n v="6.7"/>
    <x v="1"/>
    <n v="5"/>
    <n v="0"/>
    <x v="1"/>
    <x v="1"/>
    <s v="Upper-Mid ($150-200k)"/>
  </r>
  <r>
    <x v="1173"/>
    <x v="15"/>
    <x v="0"/>
    <x v="2"/>
    <x v="8"/>
    <x v="0"/>
    <n v="156000"/>
    <n v="145000"/>
    <n v="280000"/>
    <s v="Zurich"/>
    <x v="13"/>
    <s v="Hybrid"/>
    <s v="Enterprise (5000+)"/>
    <x v="5"/>
    <s v="Embeddings|Vector DBs|LLMs|Python|LangChain|Search Systems|Cloud"/>
    <n v="6.3"/>
    <x v="14"/>
    <x v="509"/>
    <n v="9.1"/>
    <x v="1"/>
    <n v="10"/>
    <n v="0"/>
    <x v="1"/>
    <x v="0"/>
    <s v="Upper-Mid ($150-200k)"/>
  </r>
  <r>
    <x v="1174"/>
    <x v="16"/>
    <x v="7"/>
    <x v="1"/>
    <x v="2"/>
    <x v="0"/>
    <n v="212000"/>
    <n v="125000"/>
    <n v="240000"/>
    <s v="Singapore"/>
    <x v="2"/>
    <s v="Hybrid"/>
    <s v="SME (51-500)"/>
    <x v="6"/>
    <s v="Simulation|Python|Computer Vision|Control Systems|C++|Problem Solving|Git"/>
    <n v="17"/>
    <x v="15"/>
    <x v="111"/>
    <n v="7.4"/>
    <x v="1"/>
    <n v="11"/>
    <n v="1"/>
    <x v="1"/>
    <x v="1"/>
    <s v="Senior ($200-300k)"/>
  </r>
  <r>
    <x v="1175"/>
    <x v="5"/>
    <x v="3"/>
    <x v="1"/>
    <x v="0"/>
    <x v="3"/>
    <n v="312000"/>
    <n v="140000"/>
    <n v="260000"/>
    <s v="New York"/>
    <x v="0"/>
    <s v="Fully Remote"/>
    <s v="Big Tech (FAANG+)"/>
    <x v="5"/>
    <s v="Python|ML Security|Cybersecurity|Red Teaming|Statistics|Linux|Agile"/>
    <n v="17.5"/>
    <x v="5"/>
    <x v="223"/>
    <n v="7.5"/>
    <x v="0"/>
    <n v="3"/>
    <n v="1"/>
    <x v="1"/>
    <x v="1"/>
    <s v="Elite (&gt;$300k)"/>
  </r>
  <r>
    <x v="1176"/>
    <x v="7"/>
    <x v="0"/>
    <x v="1"/>
    <x v="6"/>
    <x v="0"/>
    <n v="255000"/>
    <n v="145000"/>
    <n v="290000"/>
    <s v="Toronto"/>
    <x v="7"/>
    <s v="On-site"/>
    <s v="SME (51-500)"/>
    <x v="6"/>
    <s v="Transformers|BERT|Text Processing|Hugging Face|Research|Linux"/>
    <n v="6.3"/>
    <x v="6"/>
    <x v="46"/>
    <n v="7.7"/>
    <x v="0"/>
    <n v="2"/>
    <n v="1"/>
    <x v="0"/>
    <x v="1"/>
    <s v="Senior ($200-300k)"/>
  </r>
  <r>
    <x v="1177"/>
    <x v="11"/>
    <x v="0"/>
    <x v="0"/>
    <x v="0"/>
    <x v="4"/>
    <n v="184000"/>
    <n v="141000"/>
    <n v="270000"/>
    <s v="Tokyo"/>
    <x v="5"/>
    <s v="Hybrid"/>
    <s v="SME (51-500)"/>
    <x v="8"/>
    <s v="GPU Computing|TensorFlow|Neural Networks|Python|CUDA|PyTorch|Cloud"/>
    <n v="5.0999999999999996"/>
    <x v="10"/>
    <x v="356"/>
    <n v="8.4"/>
    <x v="0"/>
    <n v="3"/>
    <n v="1"/>
    <x v="1"/>
    <x v="1"/>
    <s v="Upper-Mid ($150-200k)"/>
  </r>
  <r>
    <x v="1178"/>
    <x v="12"/>
    <x v="0"/>
    <x v="2"/>
    <x v="6"/>
    <x v="4"/>
    <n v="259000"/>
    <n v="160000"/>
    <n v="300000"/>
    <s v="Seattle"/>
    <x v="0"/>
    <s v="On-site"/>
    <s v="Enterprise (5000+)"/>
    <x v="2"/>
    <s v="Python|Fine-tuning|Vision-Language Models|APIs|PyTorch|SQL"/>
    <n v="16.100000000000001"/>
    <x v="11"/>
    <x v="356"/>
    <n v="7.4"/>
    <x v="0"/>
    <n v="1"/>
    <n v="0"/>
    <x v="0"/>
    <x v="1"/>
    <s v="Senior ($200-300k)"/>
  </r>
  <r>
    <x v="1179"/>
    <x v="23"/>
    <x v="9"/>
    <x v="0"/>
    <x v="10"/>
    <x v="2"/>
    <n v="177000"/>
    <n v="100000"/>
    <n v="200000"/>
    <s v="San Francisco"/>
    <x v="0"/>
    <s v="Fully Remote"/>
    <s v="Startup (1-50)"/>
    <x v="0"/>
    <s v="EU AI Act|Risk Management|Legal Knowledge|Documentation|Auditing|Linux"/>
    <n v="12"/>
    <x v="19"/>
    <x v="365"/>
    <n v="8.9"/>
    <x v="0"/>
    <n v="2"/>
    <n v="1"/>
    <x v="1"/>
    <x v="1"/>
    <s v="Upper-Mid ($150-200k)"/>
  </r>
  <r>
    <x v="1180"/>
    <x v="2"/>
    <x v="0"/>
    <x v="0"/>
    <x v="6"/>
    <x v="0"/>
    <n v="296000"/>
    <n v="160000"/>
    <n v="300000"/>
    <s v="Chicago"/>
    <x v="0"/>
    <s v="On-site"/>
    <s v="Mid-size (501-5000)"/>
    <x v="11"/>
    <s v="RAG|Fine-tuning|Prompt Engineering|LLM APIs|Communication"/>
    <n v="4"/>
    <x v="2"/>
    <x v="510"/>
    <n v="9.3000000000000007"/>
    <x v="0"/>
    <n v="2"/>
    <n v="1"/>
    <x v="0"/>
    <x v="0"/>
    <s v="Senior ($200-300k)"/>
  </r>
  <r>
    <x v="1181"/>
    <x v="20"/>
    <x v="0"/>
    <x v="0"/>
    <x v="1"/>
    <x v="2"/>
    <n v="223000"/>
    <n v="100000"/>
    <n v="250000"/>
    <s v="Los Angeles"/>
    <x v="0"/>
    <s v="Hybrid"/>
    <s v="Enterprise (5000+)"/>
    <x v="11"/>
    <s v="Python|LLM Integration|Cloud (AWS/GCP/Azure)|PyTorch|Docker|Agile|Research|Git"/>
    <n v="17.899999999999999"/>
    <x v="9"/>
    <x v="0"/>
    <n v="8.6"/>
    <x v="0"/>
    <n v="1"/>
    <n v="1"/>
    <x v="1"/>
    <x v="1"/>
    <s v="Senior ($200-300k)"/>
  </r>
  <r>
    <x v="1182"/>
    <x v="4"/>
    <x v="2"/>
    <x v="2"/>
    <x v="0"/>
    <x v="1"/>
    <n v="142000"/>
    <n v="140000"/>
    <n v="260000"/>
    <s v="London"/>
    <x v="1"/>
    <s v="Fully Remote"/>
    <s v="Big Tech (FAANG+)"/>
    <x v="3"/>
    <s v="AI Literacy|Stakeholder Mgmt|Agile|Git"/>
    <n v="10.5"/>
    <x v="4"/>
    <x v="250"/>
    <n v="8.8000000000000007"/>
    <x v="1"/>
    <n v="2"/>
    <n v="0"/>
    <x v="1"/>
    <x v="1"/>
    <s v="Mid ($100-150k)"/>
  </r>
  <r>
    <x v="1183"/>
    <x v="11"/>
    <x v="0"/>
    <x v="0"/>
    <x v="9"/>
    <x v="4"/>
    <n v="196000"/>
    <n v="141000"/>
    <n v="270000"/>
    <s v="London"/>
    <x v="1"/>
    <s v="Fully Remote"/>
    <s v="SME (51-500)"/>
    <x v="10"/>
    <s v="CUDA|PyTorch|TensorFlow|Neural Networks|Python|GPU Computing|Problem Solving"/>
    <n v="4.9000000000000004"/>
    <x v="10"/>
    <x v="198"/>
    <n v="9.6"/>
    <x v="0"/>
    <n v="2"/>
    <n v="1"/>
    <x v="1"/>
    <x v="1"/>
    <s v="Upper-Mid ($150-200k)"/>
  </r>
  <r>
    <x v="1184"/>
    <x v="15"/>
    <x v="0"/>
    <x v="2"/>
    <x v="1"/>
    <x v="4"/>
    <n v="181000"/>
    <n v="145000"/>
    <n v="280000"/>
    <s v="Los Angeles"/>
    <x v="0"/>
    <s v="Fully Remote"/>
    <s v="Startup (1-50)"/>
    <x v="1"/>
    <s v="Embeddings|Python|LLMs|Problem Solving|Git|SQL"/>
    <n v="7.6"/>
    <x v="14"/>
    <x v="511"/>
    <n v="9.4"/>
    <x v="1"/>
    <n v="9"/>
    <n v="0"/>
    <x v="1"/>
    <x v="0"/>
    <s v="Upper-Mid ($150-200k)"/>
  </r>
  <r>
    <x v="1185"/>
    <x v="16"/>
    <x v="7"/>
    <x v="2"/>
    <x v="3"/>
    <x v="3"/>
    <n v="125000"/>
    <n v="125000"/>
    <n v="240000"/>
    <s v="Amsterdam"/>
    <x v="9"/>
    <s v="On-site"/>
    <s v="Enterprise (5000+)"/>
    <x v="9"/>
    <s v="Control Systems|Simulation|ROS|Agile"/>
    <n v="16.5"/>
    <x v="15"/>
    <x v="101"/>
    <n v="7.9"/>
    <x v="0"/>
    <n v="2"/>
    <n v="0"/>
    <x v="0"/>
    <x v="1"/>
    <s v="Mid ($100-150k)"/>
  </r>
  <r>
    <x v="1186"/>
    <x v="13"/>
    <x v="5"/>
    <x v="3"/>
    <x v="2"/>
    <x v="1"/>
    <n v="130000"/>
    <n v="130000"/>
    <n v="260000"/>
    <s v="Tokyo"/>
    <x v="5"/>
    <s v="Fully Remote"/>
    <s v="Mid-size (501-5000)"/>
    <x v="2"/>
    <s v="CI/CD|Python|Cloud|Git|Research|Problem Solving"/>
    <n v="11.8"/>
    <x v="12"/>
    <x v="328"/>
    <n v="9"/>
    <x v="1"/>
    <n v="12"/>
    <n v="0"/>
    <x v="1"/>
    <x v="1"/>
    <s v="Mid ($100-150k)"/>
  </r>
  <r>
    <x v="1187"/>
    <x v="6"/>
    <x v="0"/>
    <x v="3"/>
    <x v="8"/>
    <x v="0"/>
    <n v="227000"/>
    <n v="180000"/>
    <n v="312000"/>
    <s v="Remote"/>
    <x v="3"/>
    <s v="Fully Remote"/>
    <s v="Startup (1-50)"/>
    <x v="10"/>
    <s v="Python|PyTorch|System Design|LLM Fine-tuning|Distributed Systems|Leadership"/>
    <n v="8.9"/>
    <x v="0"/>
    <x v="301"/>
    <n v="6.5"/>
    <x v="0"/>
    <n v="3"/>
    <n v="0"/>
    <x v="1"/>
    <x v="1"/>
    <s v="Senior ($200-300k)"/>
  </r>
  <r>
    <x v="1188"/>
    <x v="13"/>
    <x v="5"/>
    <x v="1"/>
    <x v="0"/>
    <x v="1"/>
    <n v="208000"/>
    <n v="130000"/>
    <n v="260000"/>
    <s v="Toronto"/>
    <x v="7"/>
    <s v="On-site"/>
    <s v="SME (51-500)"/>
    <x v="3"/>
    <s v="CI/CD|Cloud|MLflow|Docker|Cloud|Agile"/>
    <n v="8.6999999999999993"/>
    <x v="12"/>
    <x v="242"/>
    <n v="9.6999999999999993"/>
    <x v="1"/>
    <n v="11"/>
    <n v="1"/>
    <x v="0"/>
    <x v="1"/>
    <s v="Senior ($200-300k)"/>
  </r>
  <r>
    <x v="1189"/>
    <x v="18"/>
    <x v="9"/>
    <x v="2"/>
    <x v="6"/>
    <x v="3"/>
    <n v="110000"/>
    <n v="110000"/>
    <n v="210000"/>
    <s v="Paris"/>
    <x v="10"/>
    <s v="Fully Remote"/>
    <s v="Big Tech (FAANG+)"/>
    <x v="0"/>
    <s v="Risk Assessment|Research|AI Policy|Agile|SQL"/>
    <n v="8.8000000000000007"/>
    <x v="16"/>
    <x v="74"/>
    <n v="7.3"/>
    <x v="0"/>
    <n v="3"/>
    <n v="0"/>
    <x v="1"/>
    <x v="1"/>
    <s v="Mid ($100-150k)"/>
  </r>
  <r>
    <x v="1190"/>
    <x v="1"/>
    <x v="0"/>
    <x v="2"/>
    <x v="3"/>
    <x v="3"/>
    <n v="104000"/>
    <n v="90000"/>
    <n v="200000"/>
    <s v="Chicago"/>
    <x v="0"/>
    <s v="Hybrid"/>
    <s v="Enterprise (5000+)"/>
    <x v="9"/>
    <s v="LLM APIs|Python|Documentation|Testing|NLP|Agile|Git|SQL"/>
    <n v="5"/>
    <x v="1"/>
    <x v="81"/>
    <n v="6.2"/>
    <x v="0"/>
    <n v="3"/>
    <n v="0"/>
    <x v="1"/>
    <x v="0"/>
    <s v="Mid ($100-150k)"/>
  </r>
  <r>
    <x v="1191"/>
    <x v="16"/>
    <x v="7"/>
    <x v="0"/>
    <x v="6"/>
    <x v="2"/>
    <n v="125000"/>
    <n v="125000"/>
    <n v="240000"/>
    <s v="Beijing"/>
    <x v="6"/>
    <s v="Hybrid"/>
    <s v="Big Tech (FAANG+)"/>
    <x v="0"/>
    <s v="Computer Vision|Control Systems|C++|Simulation|ROS|Python|Statistics"/>
    <n v="14.3"/>
    <x v="15"/>
    <x v="105"/>
    <n v="7.6"/>
    <x v="1"/>
    <n v="11"/>
    <n v="1"/>
    <x v="1"/>
    <x v="1"/>
    <s v="Mid ($100-150k)"/>
  </r>
  <r>
    <x v="1192"/>
    <x v="2"/>
    <x v="0"/>
    <x v="0"/>
    <x v="3"/>
    <x v="2"/>
    <n v="243000"/>
    <n v="160000"/>
    <n v="300000"/>
    <s v="Los Angeles"/>
    <x v="0"/>
    <s v="Hybrid"/>
    <s v="Mid-size (501-5000)"/>
    <x v="7"/>
    <s v="RAG|Python|Vector DBs|Prompt Engineering|Cloud|Linux"/>
    <n v="5.6"/>
    <x v="2"/>
    <x v="512"/>
    <n v="9.3000000000000007"/>
    <x v="0"/>
    <n v="3"/>
    <n v="1"/>
    <x v="1"/>
    <x v="0"/>
    <s v="Senior ($200-300k)"/>
  </r>
  <r>
    <x v="1193"/>
    <x v="9"/>
    <x v="0"/>
    <x v="0"/>
    <x v="3"/>
    <x v="1"/>
    <n v="279000"/>
    <n v="120000"/>
    <n v="280000"/>
    <s v="Seattle"/>
    <x v="0"/>
    <s v="Fully Remote"/>
    <s v="Mid-size (501-5000)"/>
    <x v="1"/>
    <s v="Kubernetes|MLOps|PyTorch|SQL|Python|TensorFlow|SQL"/>
    <n v="17.8"/>
    <x v="8"/>
    <x v="403"/>
    <n v="8.1"/>
    <x v="1"/>
    <n v="5"/>
    <n v="1"/>
    <x v="1"/>
    <x v="1"/>
    <s v="Senior ($200-300k)"/>
  </r>
  <r>
    <x v="1194"/>
    <x v="23"/>
    <x v="9"/>
    <x v="3"/>
    <x v="10"/>
    <x v="2"/>
    <n v="130000"/>
    <n v="100000"/>
    <n v="200000"/>
    <s v="Boston"/>
    <x v="0"/>
    <s v="On-site"/>
    <s v="Enterprise (5000+)"/>
    <x v="7"/>
    <s v="Risk Management|Auditing|Documentation|EU AI Act|Statistics"/>
    <n v="10.3"/>
    <x v="19"/>
    <x v="336"/>
    <n v="6.7"/>
    <x v="0"/>
    <n v="2"/>
    <n v="0"/>
    <x v="0"/>
    <x v="1"/>
    <s v="Mid ($100-150k)"/>
  </r>
  <r>
    <x v="1195"/>
    <x v="20"/>
    <x v="0"/>
    <x v="1"/>
    <x v="8"/>
    <x v="4"/>
    <n v="237000"/>
    <n v="100000"/>
    <n v="250000"/>
    <s v="Tokyo"/>
    <x v="5"/>
    <s v="On-site"/>
    <s v="Mid-size (501-5000)"/>
    <x v="0"/>
    <s v="Cloud (AWS/GCP/Azure)|Docker|Python|Agile"/>
    <n v="15.5"/>
    <x v="9"/>
    <x v="415"/>
    <n v="8.3000000000000007"/>
    <x v="1"/>
    <n v="6"/>
    <n v="1"/>
    <x v="0"/>
    <x v="1"/>
    <s v="Senior ($200-300k)"/>
  </r>
  <r>
    <x v="1196"/>
    <x v="21"/>
    <x v="8"/>
    <x v="0"/>
    <x v="6"/>
    <x v="1"/>
    <n v="203000"/>
    <n v="138000"/>
    <n v="195000"/>
    <s v="Boston"/>
    <x v="0"/>
    <s v="Hybrid"/>
    <s v="SME (51-500)"/>
    <x v="3"/>
    <s v="Statistics|SQL|Scikit-learn|Python|Data Visualization|Leadership|Linux|SQL"/>
    <n v="7.5"/>
    <x v="17"/>
    <x v="513"/>
    <n v="7.4"/>
    <x v="0"/>
    <n v="1"/>
    <n v="1"/>
    <x v="1"/>
    <x v="1"/>
    <s v="Senior ($200-300k)"/>
  </r>
  <r>
    <x v="1197"/>
    <x v="15"/>
    <x v="0"/>
    <x v="3"/>
    <x v="8"/>
    <x v="1"/>
    <n v="221000"/>
    <n v="145000"/>
    <n v="280000"/>
    <s v="Zurich"/>
    <x v="13"/>
    <s v="Fully Remote"/>
    <s v="Big Tech (FAANG+)"/>
    <x v="6"/>
    <s v="Python|LangChain|LLMs|Problem Solving"/>
    <n v="8"/>
    <x v="14"/>
    <x v="256"/>
    <n v="7.1"/>
    <x v="0"/>
    <n v="1"/>
    <n v="0"/>
    <x v="1"/>
    <x v="0"/>
    <s v="Senior ($200-300k)"/>
  </r>
  <r>
    <x v="1198"/>
    <x v="23"/>
    <x v="9"/>
    <x v="0"/>
    <x v="9"/>
    <x v="4"/>
    <n v="149000"/>
    <n v="100000"/>
    <n v="200000"/>
    <s v="Dubai"/>
    <x v="8"/>
    <s v="Hybrid"/>
    <s v="Startup (1-50)"/>
    <x v="7"/>
    <s v="Documentation|Risk Management|Auditing|EU AI Act|Git"/>
    <n v="13.6"/>
    <x v="19"/>
    <x v="313"/>
    <n v="6.1"/>
    <x v="1"/>
    <n v="6"/>
    <n v="1"/>
    <x v="1"/>
    <x v="1"/>
    <s v="Mid ($100-150k)"/>
  </r>
  <r>
    <x v="1199"/>
    <x v="18"/>
    <x v="9"/>
    <x v="3"/>
    <x v="4"/>
    <x v="3"/>
    <n v="110000"/>
    <n v="110000"/>
    <n v="210000"/>
    <s v="Tokyo"/>
    <x v="5"/>
    <s v="Hybrid"/>
    <s v="Startup (1-50)"/>
    <x v="11"/>
    <s v="Risk Assessment|AI Policy|Communication|Research|Ethics Frameworks|Cloud"/>
    <n v="11.2"/>
    <x v="16"/>
    <x v="335"/>
    <n v="7.2"/>
    <x v="1"/>
    <n v="8"/>
    <n v="0"/>
    <x v="1"/>
    <x v="1"/>
    <s v="Mid ($100-150k)"/>
  </r>
  <r>
    <x v="1200"/>
    <x v="3"/>
    <x v="1"/>
    <x v="0"/>
    <x v="2"/>
    <x v="1"/>
    <n v="130000"/>
    <n v="130000"/>
    <n v="220000"/>
    <s v="Bangalore"/>
    <x v="4"/>
    <s v="Fully Remote"/>
    <s v="Big Tech (FAANG+)"/>
    <x v="4"/>
    <s v="dbt|Feature Stores|Python|Airflow|Cloud|SQL|Agile"/>
    <n v="13.2"/>
    <x v="3"/>
    <x v="57"/>
    <n v="7.6"/>
    <x v="1"/>
    <n v="12"/>
    <n v="1"/>
    <x v="1"/>
    <x v="1"/>
    <s v="Mid ($100-150k)"/>
  </r>
  <r>
    <x v="1201"/>
    <x v="9"/>
    <x v="0"/>
    <x v="1"/>
    <x v="10"/>
    <x v="3"/>
    <n v="200000"/>
    <n v="120000"/>
    <n v="280000"/>
    <s v="Sydney"/>
    <x v="11"/>
    <s v="On-site"/>
    <s v="Mid-size (501-5000)"/>
    <x v="3"/>
    <s v="TensorFlow|MLOps|Python|Kubernetes|PyTorch|Linux|Research"/>
    <n v="10.199999999999999"/>
    <x v="8"/>
    <x v="514"/>
    <n v="6.3"/>
    <x v="0"/>
    <n v="3"/>
    <n v="1"/>
    <x v="0"/>
    <x v="1"/>
    <s v="Upper-Mid ($150-200k)"/>
  </r>
  <r>
    <x v="1202"/>
    <x v="9"/>
    <x v="0"/>
    <x v="3"/>
    <x v="8"/>
    <x v="1"/>
    <n v="185000"/>
    <n v="120000"/>
    <n v="280000"/>
    <s v="Austin"/>
    <x v="0"/>
    <s v="Fully Remote"/>
    <s v="Mid-size (501-5000)"/>
    <x v="5"/>
    <s v="SQL|MLOps|PyTorch|TensorFlow|Kubernetes|Python|Agile|Research"/>
    <n v="9.8000000000000007"/>
    <x v="8"/>
    <x v="426"/>
    <n v="9.1"/>
    <x v="0"/>
    <n v="3"/>
    <n v="0"/>
    <x v="1"/>
    <x v="1"/>
    <s v="Upper-Mid ($150-200k)"/>
  </r>
  <r>
    <x v="1203"/>
    <x v="24"/>
    <x v="11"/>
    <x v="0"/>
    <x v="12"/>
    <x v="0"/>
    <n v="167000"/>
    <n v="115000"/>
    <n v="280000"/>
    <s v="London"/>
    <x v="1"/>
    <s v="Fully Remote"/>
    <s v="SME (51-500)"/>
    <x v="0"/>
    <s v="Python|Research|Publishing|Linux|Agile"/>
    <n v="11.4"/>
    <x v="3"/>
    <x v="100"/>
    <n v="7.5"/>
    <x v="1"/>
    <n v="9"/>
    <n v="1"/>
    <x v="1"/>
    <x v="1"/>
    <s v="Upper-Mid ($150-200k)"/>
  </r>
  <r>
    <x v="1204"/>
    <x v="4"/>
    <x v="2"/>
    <x v="0"/>
    <x v="0"/>
    <x v="2"/>
    <n v="196000"/>
    <n v="140000"/>
    <n v="260000"/>
    <s v="Toronto"/>
    <x v="7"/>
    <s v="Hybrid"/>
    <s v="Enterprise (5000+)"/>
    <x v="9"/>
    <s v="Agile|Data Analysis|Product Strategy|Agile"/>
    <n v="8.6"/>
    <x v="4"/>
    <x v="45"/>
    <n v="6.8"/>
    <x v="0"/>
    <n v="3"/>
    <n v="1"/>
    <x v="1"/>
    <x v="1"/>
    <s v="Upper-Mid ($150-200k)"/>
  </r>
  <r>
    <x v="1205"/>
    <x v="4"/>
    <x v="2"/>
    <x v="0"/>
    <x v="10"/>
    <x v="0"/>
    <n v="140000"/>
    <n v="140000"/>
    <n v="260000"/>
    <s v="Beijing"/>
    <x v="6"/>
    <s v="On-site"/>
    <s v="Mid-size (501-5000)"/>
    <x v="6"/>
    <s v="Stakeholder Mgmt|AI Literacy|Data Analysis|Communication|SQL"/>
    <n v="16.3"/>
    <x v="4"/>
    <x v="163"/>
    <n v="7.5"/>
    <x v="0"/>
    <n v="3"/>
    <n v="1"/>
    <x v="0"/>
    <x v="1"/>
    <s v="Mid ($100-150k)"/>
  </r>
  <r>
    <x v="1206"/>
    <x v="15"/>
    <x v="0"/>
    <x v="1"/>
    <x v="2"/>
    <x v="0"/>
    <n v="145000"/>
    <n v="145000"/>
    <n v="280000"/>
    <s v="Beijing"/>
    <x v="6"/>
    <s v="Hybrid"/>
    <s v="Startup (1-50)"/>
    <x v="5"/>
    <s v="Search Systems|Vector DBs|LangChain|Python|Git|Cloud"/>
    <n v="8.4"/>
    <x v="14"/>
    <x v="509"/>
    <n v="7.4"/>
    <x v="1"/>
    <n v="3"/>
    <n v="1"/>
    <x v="1"/>
    <x v="0"/>
    <s v="Mid ($100-150k)"/>
  </r>
  <r>
    <x v="1207"/>
    <x v="2"/>
    <x v="0"/>
    <x v="3"/>
    <x v="6"/>
    <x v="3"/>
    <n v="232000"/>
    <n v="160000"/>
    <n v="300000"/>
    <s v="Sydney"/>
    <x v="11"/>
    <s v="Fully Remote"/>
    <s v="Big Tech (FAANG+)"/>
    <x v="0"/>
    <s v="RAG|LLM APIs|Prompt Engineering|SQL|Communication"/>
    <n v="7.1"/>
    <x v="2"/>
    <x v="409"/>
    <n v="7.1"/>
    <x v="0"/>
    <n v="2"/>
    <n v="0"/>
    <x v="1"/>
    <x v="0"/>
    <s v="Senior ($200-300k)"/>
  </r>
  <r>
    <x v="1208"/>
    <x v="20"/>
    <x v="0"/>
    <x v="2"/>
    <x v="8"/>
    <x v="3"/>
    <n v="100000"/>
    <n v="100000"/>
    <n v="250000"/>
    <s v="Chicago"/>
    <x v="0"/>
    <s v="Hybrid"/>
    <s v="SME (51-500)"/>
    <x v="4"/>
    <s v="Python|LLM Integration|Cloud (AWS/GCP/Azure)|Communication"/>
    <n v="12.9"/>
    <x v="9"/>
    <x v="515"/>
    <n v="8.3000000000000007"/>
    <x v="1"/>
    <n v="11"/>
    <n v="0"/>
    <x v="1"/>
    <x v="1"/>
    <s v="Entry (&lt;$100k)"/>
  </r>
  <r>
    <x v="1209"/>
    <x v="20"/>
    <x v="0"/>
    <x v="0"/>
    <x v="3"/>
    <x v="3"/>
    <n v="213000"/>
    <n v="100000"/>
    <n v="250000"/>
    <s v="Chicago"/>
    <x v="0"/>
    <s v="Fully Remote"/>
    <s v="Big Tech (FAANG+)"/>
    <x v="10"/>
    <s v="Cloud (AWS/GCP/Azure)|PyTorch|Docker|Agile|Research|Git"/>
    <n v="11.5"/>
    <x v="9"/>
    <x v="266"/>
    <n v="6"/>
    <x v="0"/>
    <n v="3"/>
    <n v="1"/>
    <x v="1"/>
    <x v="1"/>
    <s v="Senior ($200-300k)"/>
  </r>
  <r>
    <x v="1210"/>
    <x v="17"/>
    <x v="8"/>
    <x v="0"/>
    <x v="6"/>
    <x v="4"/>
    <n v="188000"/>
    <n v="157000"/>
    <n v="218000"/>
    <s v="London"/>
    <x v="1"/>
    <s v="Hybrid"/>
    <s v="Startup (1-50)"/>
    <x v="6"/>
    <s v="Leadership|Advanced Statistics|Python|Deep Learning|Research|Problem Solving|Git"/>
    <n v="5"/>
    <x v="11"/>
    <x v="105"/>
    <n v="9.1999999999999993"/>
    <x v="0"/>
    <n v="3"/>
    <n v="1"/>
    <x v="1"/>
    <x v="1"/>
    <s v="Upper-Mid ($150-200k)"/>
  </r>
  <r>
    <x v="1211"/>
    <x v="21"/>
    <x v="8"/>
    <x v="0"/>
    <x v="0"/>
    <x v="0"/>
    <n v="138000"/>
    <n v="138000"/>
    <n v="195000"/>
    <s v="Beijing"/>
    <x v="6"/>
    <s v="On-site"/>
    <s v="Mid-size (501-5000)"/>
    <x v="4"/>
    <s v="Python|Scikit-learn|Data Visualization|Cloud|Problem Solving"/>
    <n v="4.2"/>
    <x v="17"/>
    <x v="464"/>
    <n v="9.4"/>
    <x v="0"/>
    <n v="1"/>
    <n v="1"/>
    <x v="0"/>
    <x v="1"/>
    <s v="Mid ($100-150k)"/>
  </r>
  <r>
    <x v="1212"/>
    <x v="20"/>
    <x v="0"/>
    <x v="2"/>
    <x v="1"/>
    <x v="4"/>
    <n v="100000"/>
    <n v="100000"/>
    <n v="250000"/>
    <s v="Bangalore"/>
    <x v="4"/>
    <s v="On-site"/>
    <s v="SME (51-500)"/>
    <x v="7"/>
    <s v="Python|Docker|PyTorch|Cloud (AWS/GCP/Azure)|Git"/>
    <n v="12.8"/>
    <x v="9"/>
    <x v="516"/>
    <n v="9.5"/>
    <x v="1"/>
    <n v="11"/>
    <n v="0"/>
    <x v="0"/>
    <x v="1"/>
    <s v="Entry (&lt;$100k)"/>
  </r>
  <r>
    <x v="1213"/>
    <x v="18"/>
    <x v="9"/>
    <x v="0"/>
    <x v="0"/>
    <x v="0"/>
    <n v="134000"/>
    <n v="110000"/>
    <n v="210000"/>
    <s v="Amsterdam"/>
    <x v="9"/>
    <s v="Fully Remote"/>
    <s v="SME (51-500)"/>
    <x v="3"/>
    <s v="Communication|AI Policy|Ethics Frameworks|Risk Assessment|Research|Linux"/>
    <n v="13.2"/>
    <x v="16"/>
    <x v="517"/>
    <n v="7.9"/>
    <x v="0"/>
    <n v="2"/>
    <n v="1"/>
    <x v="1"/>
    <x v="1"/>
    <s v="Mid ($100-150k)"/>
  </r>
  <r>
    <x v="1214"/>
    <x v="6"/>
    <x v="0"/>
    <x v="3"/>
    <x v="4"/>
    <x v="2"/>
    <n v="213000"/>
    <n v="180000"/>
    <n v="312000"/>
    <s v="Seattle"/>
    <x v="0"/>
    <s v="Fully Remote"/>
    <s v="Mid-size (501-5000)"/>
    <x v="11"/>
    <s v="Python|PyTorch|MLOps|Communication|Leadership"/>
    <n v="9.5"/>
    <x v="0"/>
    <x v="508"/>
    <n v="8.6"/>
    <x v="1"/>
    <n v="5"/>
    <n v="0"/>
    <x v="1"/>
    <x v="1"/>
    <s v="Senior ($200-300k)"/>
  </r>
  <r>
    <x v="1215"/>
    <x v="1"/>
    <x v="0"/>
    <x v="1"/>
    <x v="1"/>
    <x v="3"/>
    <n v="233000"/>
    <n v="90000"/>
    <n v="200000"/>
    <s v="Singapore"/>
    <x v="2"/>
    <s v="Fully Remote"/>
    <s v="Big Tech (FAANG+)"/>
    <x v="4"/>
    <s v="Testing|Python|Prompt Design|LLM APIs|NLP|Documentation|Statistics|Git"/>
    <n v="9.4"/>
    <x v="1"/>
    <x v="191"/>
    <n v="6.4"/>
    <x v="0"/>
    <n v="3"/>
    <n v="1"/>
    <x v="1"/>
    <x v="0"/>
    <s v="Senior ($200-300k)"/>
  </r>
  <r>
    <x v="1216"/>
    <x v="20"/>
    <x v="0"/>
    <x v="3"/>
    <x v="3"/>
    <x v="3"/>
    <n v="113000"/>
    <n v="100000"/>
    <n v="250000"/>
    <s v="Sydney"/>
    <x v="11"/>
    <s v="Fully Remote"/>
    <s v="Mid-size (501-5000)"/>
    <x v="9"/>
    <s v="PyTorch|LLM Integration|Docker|Python|Research"/>
    <n v="11.2"/>
    <x v="9"/>
    <x v="518"/>
    <n v="9.6999999999999993"/>
    <x v="0"/>
    <n v="2"/>
    <n v="0"/>
    <x v="1"/>
    <x v="1"/>
    <s v="Mid ($100-150k)"/>
  </r>
  <r>
    <x v="1217"/>
    <x v="3"/>
    <x v="1"/>
    <x v="1"/>
    <x v="4"/>
    <x v="2"/>
    <n v="172000"/>
    <n v="130000"/>
    <n v="220000"/>
    <s v="Sydney"/>
    <x v="11"/>
    <s v="Fully Remote"/>
    <s v="Mid-size (501-5000)"/>
    <x v="6"/>
    <s v="dbt|Airflow|ETL|SQL|Feature Stores|Linux|Problem Solving"/>
    <n v="13.8"/>
    <x v="3"/>
    <x v="502"/>
    <n v="9.1999999999999993"/>
    <x v="1"/>
    <n v="7"/>
    <n v="1"/>
    <x v="1"/>
    <x v="1"/>
    <s v="Upper-Mid ($150-200k)"/>
  </r>
  <r>
    <x v="1218"/>
    <x v="0"/>
    <x v="0"/>
    <x v="2"/>
    <x v="8"/>
    <x v="3"/>
    <n v="155000"/>
    <n v="155000"/>
    <n v="290000"/>
    <s v="Austin"/>
    <x v="0"/>
    <s v="Fully Remote"/>
    <s v="Mid-size (501-5000)"/>
    <x v="3"/>
    <s v="AutoGen|Tool Use|APIs|Python|Planning Systems|LangChain|Linux|Research"/>
    <n v="9.8000000000000007"/>
    <x v="0"/>
    <x v="488"/>
    <n v="8.8000000000000007"/>
    <x v="0"/>
    <n v="3"/>
    <n v="0"/>
    <x v="1"/>
    <x v="0"/>
    <s v="Upper-Mid ($150-200k)"/>
  </r>
  <r>
    <x v="1219"/>
    <x v="8"/>
    <x v="4"/>
    <x v="0"/>
    <x v="0"/>
    <x v="4"/>
    <n v="180000"/>
    <n v="180000"/>
    <n v="320000"/>
    <s v="Bangalore"/>
    <x v="4"/>
    <s v="Fully Remote"/>
    <s v="SME (51-500)"/>
    <x v="9"/>
    <s v="Leadership|System Design|ML|Cloud|Statistics|SQL|Linux"/>
    <n v="10.9"/>
    <x v="7"/>
    <x v="4"/>
    <n v="8.1"/>
    <x v="0"/>
    <n v="3"/>
    <n v="1"/>
    <x v="1"/>
    <x v="1"/>
    <s v="Upper-Mid ($150-200k)"/>
  </r>
  <r>
    <x v="1220"/>
    <x v="12"/>
    <x v="0"/>
    <x v="0"/>
    <x v="8"/>
    <x v="3"/>
    <n v="343000"/>
    <n v="160000"/>
    <n v="300000"/>
    <s v="San Francisco"/>
    <x v="0"/>
    <s v="On-site"/>
    <s v="Mid-size (501-5000)"/>
    <x v="1"/>
    <s v="PyTorch|Python|Fine-tuning|SQL|Research"/>
    <n v="14.5"/>
    <x v="11"/>
    <x v="260"/>
    <n v="6.4"/>
    <x v="0"/>
    <n v="3"/>
    <n v="1"/>
    <x v="0"/>
    <x v="1"/>
    <s v="Elite (&gt;$300k)"/>
  </r>
  <r>
    <x v="1221"/>
    <x v="17"/>
    <x v="8"/>
    <x v="1"/>
    <x v="9"/>
    <x v="0"/>
    <n v="225000"/>
    <n v="157000"/>
    <n v="218000"/>
    <s v="London"/>
    <x v="1"/>
    <s v="Hybrid"/>
    <s v="SME (51-500)"/>
    <x v="2"/>
    <s v="Python|ML|Deep Learning|Advanced Statistics|Causal Inference|Cloud"/>
    <n v="4.5"/>
    <x v="11"/>
    <x v="191"/>
    <n v="9.3000000000000007"/>
    <x v="0"/>
    <n v="3"/>
    <n v="1"/>
    <x v="1"/>
    <x v="1"/>
    <s v="Senior ($200-300k)"/>
  </r>
  <r>
    <x v="1222"/>
    <x v="1"/>
    <x v="0"/>
    <x v="2"/>
    <x v="1"/>
    <x v="1"/>
    <n v="108000"/>
    <n v="90000"/>
    <n v="200000"/>
    <s v="Los Angeles"/>
    <x v="0"/>
    <s v="Fully Remote"/>
    <s v="Startup (1-50)"/>
    <x v="6"/>
    <s v="Prompt Design|Testing|Python|Agile|Linux|Cloud"/>
    <n v="9.1"/>
    <x v="1"/>
    <x v="465"/>
    <n v="9.8000000000000007"/>
    <x v="1"/>
    <n v="8"/>
    <n v="0"/>
    <x v="1"/>
    <x v="0"/>
    <s v="Mid ($100-150k)"/>
  </r>
  <r>
    <x v="1223"/>
    <x v="12"/>
    <x v="0"/>
    <x v="2"/>
    <x v="6"/>
    <x v="2"/>
    <n v="160000"/>
    <n v="160000"/>
    <n v="300000"/>
    <s v="Bangalore"/>
    <x v="4"/>
    <s v="Hybrid"/>
    <s v="Enterprise (5000+)"/>
    <x v="7"/>
    <s v="Fine-tuning|APIs|Vision-Language Models|Python|PyTorch|SQL|Statistics"/>
    <n v="14.1"/>
    <x v="11"/>
    <x v="519"/>
    <n v="7.7"/>
    <x v="0"/>
    <n v="1"/>
    <n v="0"/>
    <x v="1"/>
    <x v="1"/>
    <s v="Upper-Mid ($150-200k)"/>
  </r>
  <r>
    <x v="1224"/>
    <x v="20"/>
    <x v="0"/>
    <x v="1"/>
    <x v="6"/>
    <x v="4"/>
    <n v="222000"/>
    <n v="100000"/>
    <n v="250000"/>
    <s v="Tokyo"/>
    <x v="5"/>
    <s v="Fully Remote"/>
    <s v="Mid-size (501-5000)"/>
    <x v="0"/>
    <s v="Python|LLM Integration|Docker|Problem Solving|Statistics"/>
    <n v="17.3"/>
    <x v="9"/>
    <x v="520"/>
    <n v="9.1"/>
    <x v="0"/>
    <n v="1"/>
    <n v="1"/>
    <x v="1"/>
    <x v="1"/>
    <s v="Senior ($200-300k)"/>
  </r>
  <r>
    <x v="1225"/>
    <x v="6"/>
    <x v="0"/>
    <x v="0"/>
    <x v="10"/>
    <x v="3"/>
    <n v="258000"/>
    <n v="180000"/>
    <n v="312000"/>
    <s v="Boston"/>
    <x v="0"/>
    <s v="Hybrid"/>
    <s v="Mid-size (501-5000)"/>
    <x v="6"/>
    <s v="LLM Fine-tuning|Python|PyTorch|Leadership|SQL|Agile"/>
    <n v="8.6"/>
    <x v="0"/>
    <x v="360"/>
    <n v="6.9"/>
    <x v="1"/>
    <n v="7"/>
    <n v="1"/>
    <x v="1"/>
    <x v="1"/>
    <s v="Senior ($200-300k)"/>
  </r>
  <r>
    <x v="1226"/>
    <x v="5"/>
    <x v="3"/>
    <x v="3"/>
    <x v="2"/>
    <x v="4"/>
    <n v="140000"/>
    <n v="140000"/>
    <n v="260000"/>
    <s v="Toronto"/>
    <x v="7"/>
    <s v="On-site"/>
    <s v="Startup (1-50)"/>
    <x v="10"/>
    <s v="Risk Analysis|ML Security|Red Teaming|Python|Statistics|Problem Solving"/>
    <n v="8.4"/>
    <x v="5"/>
    <x v="362"/>
    <n v="6.4"/>
    <x v="0"/>
    <n v="2"/>
    <n v="0"/>
    <x v="0"/>
    <x v="1"/>
    <s v="Mid ($100-150k)"/>
  </r>
  <r>
    <x v="1227"/>
    <x v="2"/>
    <x v="0"/>
    <x v="2"/>
    <x v="4"/>
    <x v="3"/>
    <n v="160000"/>
    <n v="160000"/>
    <n v="300000"/>
    <s v="Paris"/>
    <x v="10"/>
    <s v="Fully Remote"/>
    <s v="Enterprise (5000+)"/>
    <x v="5"/>
    <s v="Python|Vector DBs|Prompt Engineering|RAG|LLM APIs|Git|Cloud|Communication"/>
    <n v="6.1"/>
    <x v="2"/>
    <x v="278"/>
    <n v="8"/>
    <x v="1"/>
    <n v="9"/>
    <n v="0"/>
    <x v="1"/>
    <x v="0"/>
    <s v="Upper-Mid ($150-200k)"/>
  </r>
  <r>
    <x v="1228"/>
    <x v="1"/>
    <x v="0"/>
    <x v="1"/>
    <x v="4"/>
    <x v="3"/>
    <n v="172000"/>
    <n v="90000"/>
    <n v="200000"/>
    <s v="Boston"/>
    <x v="0"/>
    <s v="Fully Remote"/>
    <s v="Startup (1-50)"/>
    <x v="1"/>
    <s v="Documentation|LLM APIs|Testing|NLP|Research"/>
    <n v="9.1"/>
    <x v="1"/>
    <x v="335"/>
    <n v="9.6999999999999993"/>
    <x v="1"/>
    <n v="4"/>
    <n v="1"/>
    <x v="1"/>
    <x v="0"/>
    <s v="Upper-Mid ($150-200k)"/>
  </r>
  <r>
    <x v="1229"/>
    <x v="22"/>
    <x v="0"/>
    <x v="2"/>
    <x v="6"/>
    <x v="2"/>
    <n v="145000"/>
    <n v="145000"/>
    <n v="280000"/>
    <s v="Singapore"/>
    <x v="2"/>
    <s v="Hybrid"/>
    <s v="Big Tech (FAANG+)"/>
    <x v="7"/>
    <s v="CUDA|OpenCV|PyTorch|Python|Image Processing|CNNs|Problem Solving"/>
    <n v="8.3000000000000007"/>
    <x v="18"/>
    <x v="117"/>
    <n v="6.6"/>
    <x v="0"/>
    <n v="1"/>
    <n v="0"/>
    <x v="1"/>
    <x v="1"/>
    <s v="Mid ($100-150k)"/>
  </r>
  <r>
    <x v="1230"/>
    <x v="21"/>
    <x v="8"/>
    <x v="0"/>
    <x v="0"/>
    <x v="2"/>
    <n v="153000"/>
    <n v="138000"/>
    <n v="195000"/>
    <s v="Zurich"/>
    <x v="13"/>
    <s v="On-site"/>
    <s v="Enterprise (5000+)"/>
    <x v="1"/>
    <s v="Data Visualization|SQL|Scikit-learn|Statistics|ML Algorithms|Communication|SQL|Problem Solving"/>
    <n v="6.6"/>
    <x v="17"/>
    <x v="45"/>
    <n v="9.4"/>
    <x v="0"/>
    <n v="2"/>
    <n v="1"/>
    <x v="0"/>
    <x v="1"/>
    <s v="Upper-Mid ($150-200k)"/>
  </r>
  <r>
    <x v="1231"/>
    <x v="23"/>
    <x v="9"/>
    <x v="3"/>
    <x v="6"/>
    <x v="4"/>
    <n v="140000"/>
    <n v="100000"/>
    <n v="200000"/>
    <s v="Sydney"/>
    <x v="11"/>
    <s v="On-site"/>
    <s v="Enterprise (5000+)"/>
    <x v="2"/>
    <s v="EU AI Act|Risk Management|Legal Knowledge|Auditing|Documentation|Cloud|Git"/>
    <n v="13.4"/>
    <x v="19"/>
    <x v="521"/>
    <n v="9.6"/>
    <x v="1"/>
    <n v="10"/>
    <n v="0"/>
    <x v="0"/>
    <x v="1"/>
    <s v="Mid ($100-150k)"/>
  </r>
  <r>
    <x v="1232"/>
    <x v="18"/>
    <x v="9"/>
    <x v="1"/>
    <x v="8"/>
    <x v="0"/>
    <n v="212000"/>
    <n v="110000"/>
    <n v="210000"/>
    <s v="Austin"/>
    <x v="0"/>
    <s v="On-site"/>
    <s v="Startup (1-50)"/>
    <x v="6"/>
    <s v="Communication|Research|Risk Assessment|AI Policy|Leadership"/>
    <n v="9.3000000000000007"/>
    <x v="16"/>
    <x v="105"/>
    <n v="8.5"/>
    <x v="0"/>
    <n v="1"/>
    <n v="1"/>
    <x v="0"/>
    <x v="1"/>
    <s v="Senior ($200-300k)"/>
  </r>
  <r>
    <x v="1233"/>
    <x v="20"/>
    <x v="0"/>
    <x v="2"/>
    <x v="3"/>
    <x v="3"/>
    <n v="100000"/>
    <n v="100000"/>
    <n v="250000"/>
    <s v="Beijing"/>
    <x v="6"/>
    <s v="Hybrid"/>
    <s v="Startup (1-50)"/>
    <x v="6"/>
    <s v="Python|LLM Integration|Cloud (AWS/GCP/Azure)|Linux|Communication"/>
    <n v="12.9"/>
    <x v="9"/>
    <x v="466"/>
    <n v="9.6999999999999993"/>
    <x v="1"/>
    <n v="11"/>
    <n v="0"/>
    <x v="1"/>
    <x v="1"/>
    <s v="Entry (&lt;$100k)"/>
  </r>
  <r>
    <x v="1234"/>
    <x v="18"/>
    <x v="9"/>
    <x v="2"/>
    <x v="10"/>
    <x v="2"/>
    <n v="110000"/>
    <n v="110000"/>
    <n v="210000"/>
    <s v="Zurich"/>
    <x v="13"/>
    <s v="Fully Remote"/>
    <s v="Enterprise (5000+)"/>
    <x v="4"/>
    <s v="Research|Communication|AI Policy|Statistics|Cloud"/>
    <n v="12"/>
    <x v="16"/>
    <x v="21"/>
    <n v="7.1"/>
    <x v="0"/>
    <n v="3"/>
    <n v="0"/>
    <x v="1"/>
    <x v="1"/>
    <s v="Mid ($100-150k)"/>
  </r>
  <r>
    <x v="1235"/>
    <x v="12"/>
    <x v="0"/>
    <x v="3"/>
    <x v="4"/>
    <x v="0"/>
    <n v="241000"/>
    <n v="160000"/>
    <n v="300000"/>
    <s v="Sydney"/>
    <x v="11"/>
    <s v="Fully Remote"/>
    <s v="Big Tech (FAANG+)"/>
    <x v="9"/>
    <s v="Python|PyTorch|Fine-tuning|Agile"/>
    <n v="11.8"/>
    <x v="11"/>
    <x v="278"/>
    <n v="6.7"/>
    <x v="0"/>
    <n v="1"/>
    <n v="0"/>
    <x v="1"/>
    <x v="1"/>
    <s v="Senior ($200-300k)"/>
  </r>
  <r>
    <x v="1236"/>
    <x v="19"/>
    <x v="10"/>
    <x v="2"/>
    <x v="4"/>
    <x v="2"/>
    <n v="140000"/>
    <n v="140000"/>
    <n v="270000"/>
    <s v="Chicago"/>
    <x v="0"/>
    <s v="On-site"/>
    <s v="SME (51-500)"/>
    <x v="7"/>
    <s v="Storage|Cloud|Distributed Systems|Networking|Agile|Research"/>
    <n v="8.5"/>
    <x v="4"/>
    <x v="86"/>
    <n v="7.9"/>
    <x v="0"/>
    <n v="1"/>
    <n v="0"/>
    <x v="0"/>
    <x v="1"/>
    <s v="Mid ($100-150k)"/>
  </r>
  <r>
    <x v="1237"/>
    <x v="6"/>
    <x v="0"/>
    <x v="2"/>
    <x v="0"/>
    <x v="1"/>
    <n v="180000"/>
    <n v="180000"/>
    <n v="312000"/>
    <s v="Toronto"/>
    <x v="7"/>
    <s v="Fully Remote"/>
    <s v="Startup (1-50)"/>
    <x v="5"/>
    <s v="Python|Distributed Systems|LLM Fine-tuning|MLOps|PyTorch|System Design|Problem Solving|Communication|Agile"/>
    <n v="14"/>
    <x v="0"/>
    <x v="522"/>
    <n v="9.5"/>
    <x v="1"/>
    <n v="6"/>
    <n v="0"/>
    <x v="1"/>
    <x v="1"/>
    <s v="Upper-Mid ($150-200k)"/>
  </r>
  <r>
    <x v="1238"/>
    <x v="13"/>
    <x v="5"/>
    <x v="3"/>
    <x v="3"/>
    <x v="4"/>
    <n v="233000"/>
    <n v="130000"/>
    <n v="260000"/>
    <s v="Dubai"/>
    <x v="8"/>
    <s v="Fully Remote"/>
    <s v="Big Tech (FAANG+)"/>
    <x v="3"/>
    <s v="Kubernetes|Python|Docker|CI/CD|Cloud|Monitoring|MLflow|Communication|Leadership"/>
    <n v="11.9"/>
    <x v="12"/>
    <x v="279"/>
    <n v="9.1999999999999993"/>
    <x v="0"/>
    <n v="1"/>
    <n v="0"/>
    <x v="1"/>
    <x v="1"/>
    <s v="Senior ($200-300k)"/>
  </r>
  <r>
    <x v="1239"/>
    <x v="11"/>
    <x v="0"/>
    <x v="3"/>
    <x v="4"/>
    <x v="3"/>
    <n v="204000"/>
    <n v="141000"/>
    <n v="270000"/>
    <s v="Seattle"/>
    <x v="0"/>
    <s v="On-site"/>
    <s v="Enterprise (5000+)"/>
    <x v="6"/>
    <s v="TensorFlow|Neural Networks|CUDA|PyTorch|Linux|Research|Problem Solving"/>
    <n v="8.6999999999999993"/>
    <x v="10"/>
    <x v="31"/>
    <n v="8.8000000000000007"/>
    <x v="0"/>
    <n v="1"/>
    <n v="0"/>
    <x v="0"/>
    <x v="1"/>
    <s v="Senior ($200-300k)"/>
  </r>
  <r>
    <x v="1240"/>
    <x v="16"/>
    <x v="7"/>
    <x v="2"/>
    <x v="9"/>
    <x v="4"/>
    <n v="125000"/>
    <n v="125000"/>
    <n v="240000"/>
    <s v="Sydney"/>
    <x v="11"/>
    <s v="Hybrid"/>
    <s v="Startup (1-50)"/>
    <x v="9"/>
    <s v="C++|ROS|Control Systems|Statistics|Agile|Communication"/>
    <n v="9.1"/>
    <x v="15"/>
    <x v="42"/>
    <n v="6.8"/>
    <x v="1"/>
    <n v="11"/>
    <n v="0"/>
    <x v="1"/>
    <x v="1"/>
    <s v="Mid ($100-150k)"/>
  </r>
  <r>
    <x v="1241"/>
    <x v="19"/>
    <x v="10"/>
    <x v="0"/>
    <x v="2"/>
    <x v="3"/>
    <n v="230000"/>
    <n v="140000"/>
    <n v="270000"/>
    <s v="Los Angeles"/>
    <x v="0"/>
    <s v="Hybrid"/>
    <s v="SME (51-500)"/>
    <x v="0"/>
    <s v="Storage|Kubernetes|Cloud|Distributed Systems|CUDA|Networking|SQL|Problem Solving|Communication"/>
    <n v="13.2"/>
    <x v="4"/>
    <x v="198"/>
    <n v="9.1"/>
    <x v="1"/>
    <n v="9"/>
    <n v="1"/>
    <x v="1"/>
    <x v="1"/>
    <s v="Senior ($200-300k)"/>
  </r>
  <r>
    <x v="1242"/>
    <x v="9"/>
    <x v="0"/>
    <x v="3"/>
    <x v="0"/>
    <x v="4"/>
    <n v="293000"/>
    <n v="120000"/>
    <n v="280000"/>
    <s v="Chicago"/>
    <x v="0"/>
    <s v="Fully Remote"/>
    <s v="Big Tech (FAANG+)"/>
    <x v="6"/>
    <s v="TensorFlow|Kubernetes|PyTorch|SQL|Communication|Problem Solving"/>
    <n v="14.3"/>
    <x v="8"/>
    <x v="523"/>
    <n v="6.3"/>
    <x v="0"/>
    <n v="2"/>
    <n v="0"/>
    <x v="1"/>
    <x v="1"/>
    <s v="Senior ($200-300k)"/>
  </r>
  <r>
    <x v="1243"/>
    <x v="24"/>
    <x v="11"/>
    <x v="2"/>
    <x v="10"/>
    <x v="0"/>
    <n v="115000"/>
    <n v="115000"/>
    <n v="280000"/>
    <s v="Tokyo"/>
    <x v="5"/>
    <s v="Fully Remote"/>
    <s v="Startup (1-50)"/>
    <x v="1"/>
    <s v="Research|Mathematics|Publishing|Agile|Research"/>
    <n v="17.100000000000001"/>
    <x v="3"/>
    <x v="129"/>
    <n v="9.8000000000000007"/>
    <x v="0"/>
    <n v="1"/>
    <n v="0"/>
    <x v="1"/>
    <x v="1"/>
    <s v="Mid ($100-150k)"/>
  </r>
  <r>
    <x v="1244"/>
    <x v="9"/>
    <x v="0"/>
    <x v="3"/>
    <x v="9"/>
    <x v="0"/>
    <n v="203000"/>
    <n v="120000"/>
    <n v="280000"/>
    <s v="Singapore"/>
    <x v="2"/>
    <s v="Fully Remote"/>
    <s v="Big Tech (FAANG+)"/>
    <x v="11"/>
    <s v="PyTorch|Kubernetes|MLOps|TensorFlow|SQL|Python|Leadership"/>
    <n v="15.5"/>
    <x v="8"/>
    <x v="90"/>
    <n v="7.6"/>
    <x v="1"/>
    <n v="7"/>
    <n v="0"/>
    <x v="1"/>
    <x v="1"/>
    <s v="Senior ($200-300k)"/>
  </r>
  <r>
    <x v="1245"/>
    <x v="10"/>
    <x v="0"/>
    <x v="2"/>
    <x v="4"/>
    <x v="3"/>
    <n v="150000"/>
    <n v="150000"/>
    <n v="295000"/>
    <s v="Singapore"/>
    <x v="2"/>
    <s v="Fully Remote"/>
    <s v="Startup (1-50)"/>
    <x v="3"/>
    <s v="Deployment|Python|Diffusion Models|GenAI APIs|Fine-tuning|LLMs|Leadership|Problem Solving|Communication"/>
    <n v="12.3"/>
    <x v="9"/>
    <x v="524"/>
    <n v="8.5"/>
    <x v="1"/>
    <n v="2"/>
    <n v="0"/>
    <x v="1"/>
    <x v="0"/>
    <s v="Mid ($100-150k)"/>
  </r>
  <r>
    <x v="1246"/>
    <x v="10"/>
    <x v="0"/>
    <x v="1"/>
    <x v="3"/>
    <x v="3"/>
    <n v="202000"/>
    <n v="150000"/>
    <n v="295000"/>
    <s v="Sydney"/>
    <x v="11"/>
    <s v="Hybrid"/>
    <s v="SME (51-500)"/>
    <x v="5"/>
    <s v="Diffusion Models|Deployment|LLMs|GenAI APIs|Leadership|SQL|Communication"/>
    <n v="8.9"/>
    <x v="9"/>
    <x v="525"/>
    <n v="9.1"/>
    <x v="1"/>
    <n v="9"/>
    <n v="1"/>
    <x v="1"/>
    <x v="0"/>
    <s v="Senior ($200-300k)"/>
  </r>
  <r>
    <x v="1247"/>
    <x v="0"/>
    <x v="0"/>
    <x v="2"/>
    <x v="8"/>
    <x v="3"/>
    <n v="155000"/>
    <n v="155000"/>
    <n v="290000"/>
    <s v="Beijing"/>
    <x v="6"/>
    <s v="Hybrid"/>
    <s v="Big Tech (FAANG+)"/>
    <x v="5"/>
    <s v="AutoGen|Planning Systems|Python|Tool Use|Statistics|Research"/>
    <n v="12.3"/>
    <x v="0"/>
    <x v="206"/>
    <n v="9.1999999999999993"/>
    <x v="1"/>
    <n v="1"/>
    <n v="0"/>
    <x v="1"/>
    <x v="0"/>
    <s v="Upper-Mid ($150-200k)"/>
  </r>
  <r>
    <x v="1248"/>
    <x v="16"/>
    <x v="7"/>
    <x v="0"/>
    <x v="3"/>
    <x v="2"/>
    <n v="237000"/>
    <n v="125000"/>
    <n v="240000"/>
    <s v="Los Angeles"/>
    <x v="0"/>
    <s v="Hybrid"/>
    <s v="Big Tech (FAANG+)"/>
    <x v="4"/>
    <s v="Simulation|C++|ROS|Git|Cloud"/>
    <n v="13.8"/>
    <x v="15"/>
    <x v="108"/>
    <n v="9.6"/>
    <x v="1"/>
    <n v="6"/>
    <n v="1"/>
    <x v="1"/>
    <x v="1"/>
    <s v="Senior ($200-300k)"/>
  </r>
  <r>
    <x v="1249"/>
    <x v="2"/>
    <x v="0"/>
    <x v="1"/>
    <x v="6"/>
    <x v="1"/>
    <n v="250000"/>
    <n v="160000"/>
    <n v="300000"/>
    <s v="Singapore"/>
    <x v="2"/>
    <s v="Hybrid"/>
    <s v="Startup (1-50)"/>
    <x v="8"/>
    <s v="Prompt Engineering|RAG|Python|Vector DBs|LLM APIs|SQL"/>
    <n v="4.8"/>
    <x v="2"/>
    <x v="431"/>
    <n v="8.4"/>
    <x v="0"/>
    <n v="2"/>
    <n v="1"/>
    <x v="1"/>
    <x v="0"/>
    <s v="Senior ($200-300k)"/>
  </r>
  <r>
    <x v="1250"/>
    <x v="16"/>
    <x v="7"/>
    <x v="1"/>
    <x v="3"/>
    <x v="1"/>
    <n v="265000"/>
    <n v="125000"/>
    <n v="240000"/>
    <s v="Remote"/>
    <x v="3"/>
    <s v="Hybrid"/>
    <s v="Mid-size (501-5000)"/>
    <x v="4"/>
    <s v="Control Systems|Python|ROS|Computer Vision|Linux"/>
    <n v="8.6"/>
    <x v="15"/>
    <x v="52"/>
    <n v="9.1999999999999993"/>
    <x v="1"/>
    <n v="5"/>
    <n v="1"/>
    <x v="1"/>
    <x v="1"/>
    <s v="Senior ($200-300k)"/>
  </r>
  <r>
    <x v="1251"/>
    <x v="24"/>
    <x v="11"/>
    <x v="1"/>
    <x v="8"/>
    <x v="2"/>
    <n v="115000"/>
    <n v="115000"/>
    <n v="280000"/>
    <s v="Bangalore"/>
    <x v="4"/>
    <s v="Hybrid"/>
    <s v="Startup (1-50)"/>
    <x v="7"/>
    <s v="PyTorch|Publishing|Deep Learning|Research|Git"/>
    <n v="11.8"/>
    <x v="3"/>
    <x v="330"/>
    <n v="6.1"/>
    <x v="0"/>
    <n v="3"/>
    <n v="1"/>
    <x v="1"/>
    <x v="1"/>
    <s v="Mid ($100-150k)"/>
  </r>
  <r>
    <x v="1252"/>
    <x v="11"/>
    <x v="0"/>
    <x v="0"/>
    <x v="9"/>
    <x v="0"/>
    <n v="324000"/>
    <n v="141000"/>
    <n v="270000"/>
    <s v="San Francisco"/>
    <x v="0"/>
    <s v="Hybrid"/>
    <s v="SME (51-500)"/>
    <x v="8"/>
    <s v="TensorFlow|GPU Computing|Neural Networks|PyTorch|Research"/>
    <n v="10"/>
    <x v="10"/>
    <x v="339"/>
    <n v="7.2"/>
    <x v="0"/>
    <n v="3"/>
    <n v="1"/>
    <x v="1"/>
    <x v="1"/>
    <s v="Elite (&gt;$300k)"/>
  </r>
  <r>
    <x v="1253"/>
    <x v="6"/>
    <x v="0"/>
    <x v="1"/>
    <x v="11"/>
    <x v="2"/>
    <n v="228000"/>
    <n v="180000"/>
    <n v="312000"/>
    <s v="Berlin"/>
    <x v="12"/>
    <s v="On-site"/>
    <s v="Mid-size (501-5000)"/>
    <x v="4"/>
    <s v="System Design|Python|MLOps|Distributed Systems|PyTorch|LLM Fine-tuning|Agile|Problem Solving"/>
    <n v="11.3"/>
    <x v="0"/>
    <x v="24"/>
    <n v="7.4"/>
    <x v="0"/>
    <n v="3"/>
    <n v="1"/>
    <x v="0"/>
    <x v="1"/>
    <s v="Senior ($200-300k)"/>
  </r>
  <r>
    <x v="1254"/>
    <x v="16"/>
    <x v="7"/>
    <x v="3"/>
    <x v="0"/>
    <x v="4"/>
    <n v="155000"/>
    <n v="125000"/>
    <n v="240000"/>
    <s v="Amsterdam"/>
    <x v="9"/>
    <s v="On-site"/>
    <s v="Mid-size (501-5000)"/>
    <x v="5"/>
    <s v="Simulation|C++|Computer Vision|Control Systems|Cloud"/>
    <n v="17.8"/>
    <x v="15"/>
    <x v="320"/>
    <n v="8"/>
    <x v="1"/>
    <n v="1"/>
    <n v="0"/>
    <x v="0"/>
    <x v="1"/>
    <s v="Upper-Mid ($150-200k)"/>
  </r>
  <r>
    <x v="1255"/>
    <x v="12"/>
    <x v="0"/>
    <x v="0"/>
    <x v="0"/>
    <x v="2"/>
    <n v="239000"/>
    <n v="160000"/>
    <n v="300000"/>
    <s v="Zurich"/>
    <x v="13"/>
    <s v="Hybrid"/>
    <s v="Enterprise (5000+)"/>
    <x v="8"/>
    <s v="PyTorch|Vision-Language Models|Python|APIs|Fine-tuning|Agile|Problem Solving|Communication"/>
    <n v="14"/>
    <x v="11"/>
    <x v="74"/>
    <n v="8"/>
    <x v="1"/>
    <n v="12"/>
    <n v="1"/>
    <x v="1"/>
    <x v="1"/>
    <s v="Senior ($200-300k)"/>
  </r>
  <r>
    <x v="1256"/>
    <x v="13"/>
    <x v="5"/>
    <x v="0"/>
    <x v="0"/>
    <x v="1"/>
    <n v="152000"/>
    <n v="130000"/>
    <n v="260000"/>
    <s v="Toronto"/>
    <x v="7"/>
    <s v="Fully Remote"/>
    <s v="Startup (1-50)"/>
    <x v="9"/>
    <s v="CI/CD|Cloud|Kubernetes|Python|Monitoring|Communication|Agile"/>
    <n v="15.6"/>
    <x v="12"/>
    <x v="359"/>
    <n v="8.1999999999999993"/>
    <x v="0"/>
    <n v="2"/>
    <n v="1"/>
    <x v="1"/>
    <x v="1"/>
    <s v="Upper-Mid ($150-200k)"/>
  </r>
  <r>
    <x v="1257"/>
    <x v="7"/>
    <x v="0"/>
    <x v="0"/>
    <x v="6"/>
    <x v="4"/>
    <n v="284000"/>
    <n v="145000"/>
    <n v="290000"/>
    <s v="Remote"/>
    <x v="3"/>
    <s v="Hybrid"/>
    <s v="SME (51-500)"/>
    <x v="9"/>
    <s v="Transformers|Hugging Face|Python|Cloud"/>
    <n v="9.9"/>
    <x v="6"/>
    <x v="81"/>
    <n v="6.1"/>
    <x v="1"/>
    <n v="12"/>
    <n v="1"/>
    <x v="1"/>
    <x v="1"/>
    <s v="Senior ($200-300k)"/>
  </r>
  <r>
    <x v="1258"/>
    <x v="0"/>
    <x v="0"/>
    <x v="0"/>
    <x v="8"/>
    <x v="1"/>
    <n v="348000"/>
    <n v="155000"/>
    <n v="290000"/>
    <s v="San Francisco"/>
    <x v="0"/>
    <s v="Fully Remote"/>
    <s v="Mid-size (501-5000)"/>
    <x v="9"/>
    <s v="AutoGen|LangChain|APIs|Git"/>
    <n v="14"/>
    <x v="0"/>
    <x v="526"/>
    <n v="8.6"/>
    <x v="0"/>
    <n v="1"/>
    <n v="1"/>
    <x v="1"/>
    <x v="0"/>
    <s v="Elite (&gt;$300k)"/>
  </r>
  <r>
    <x v="1259"/>
    <x v="23"/>
    <x v="9"/>
    <x v="0"/>
    <x v="2"/>
    <x v="0"/>
    <n v="234000"/>
    <n v="100000"/>
    <n v="200000"/>
    <s v="Remote"/>
    <x v="3"/>
    <s v="Fully Remote"/>
    <s v="Big Tech (FAANG+)"/>
    <x v="6"/>
    <s v="Risk Management|Auditing|Documentation|Problem Solving|SQL"/>
    <n v="9.6999999999999993"/>
    <x v="19"/>
    <x v="381"/>
    <n v="9.4"/>
    <x v="0"/>
    <n v="1"/>
    <n v="1"/>
    <x v="1"/>
    <x v="1"/>
    <s v="Senior ($200-300k)"/>
  </r>
  <r>
    <x v="1260"/>
    <x v="16"/>
    <x v="7"/>
    <x v="3"/>
    <x v="3"/>
    <x v="4"/>
    <n v="154000"/>
    <n v="125000"/>
    <n v="240000"/>
    <s v="Amsterdam"/>
    <x v="9"/>
    <s v="Hybrid"/>
    <s v="Enterprise (5000+)"/>
    <x v="0"/>
    <s v="Computer Vision|Python|Control Systems|C++|Simulation|Agile|Statistics"/>
    <n v="15.6"/>
    <x v="15"/>
    <x v="261"/>
    <n v="9"/>
    <x v="0"/>
    <n v="3"/>
    <n v="0"/>
    <x v="1"/>
    <x v="1"/>
    <s v="Upper-Mid ($150-200k)"/>
  </r>
  <r>
    <x v="1261"/>
    <x v="6"/>
    <x v="0"/>
    <x v="0"/>
    <x v="9"/>
    <x v="1"/>
    <n v="180000"/>
    <n v="180000"/>
    <n v="312000"/>
    <s v="Bangalore"/>
    <x v="4"/>
    <s v="On-site"/>
    <s v="SME (51-500)"/>
    <x v="5"/>
    <s v="System Design|Distributed Systems|PyTorch|LLM Fine-tuning|MLOps|SQL|Cloud|Linux"/>
    <n v="16.5"/>
    <x v="0"/>
    <x v="527"/>
    <n v="6.8"/>
    <x v="0"/>
    <n v="2"/>
    <n v="1"/>
    <x v="0"/>
    <x v="1"/>
    <s v="Upper-Mid ($150-200k)"/>
  </r>
  <r>
    <x v="1262"/>
    <x v="21"/>
    <x v="8"/>
    <x v="0"/>
    <x v="4"/>
    <x v="3"/>
    <n v="148000"/>
    <n v="138000"/>
    <n v="195000"/>
    <s v="Austin"/>
    <x v="0"/>
    <s v="Hybrid"/>
    <s v="Startup (1-50)"/>
    <x v="6"/>
    <s v="Scikit-learn|SQL|Python|ML Algorithms|SQL|Leadership"/>
    <n v="6.6"/>
    <x v="17"/>
    <x v="114"/>
    <n v="7.7"/>
    <x v="1"/>
    <n v="10"/>
    <n v="1"/>
    <x v="1"/>
    <x v="1"/>
    <s v="Mid ($100-150k)"/>
  </r>
  <r>
    <x v="1263"/>
    <x v="15"/>
    <x v="0"/>
    <x v="3"/>
    <x v="4"/>
    <x v="1"/>
    <n v="256000"/>
    <n v="145000"/>
    <n v="280000"/>
    <s v="New York"/>
    <x v="0"/>
    <s v="Hybrid"/>
    <s v="Enterprise (5000+)"/>
    <x v="6"/>
    <s v="Python|Vector DBs|LLMs|LangChain|Research|SQL"/>
    <n v="8"/>
    <x v="14"/>
    <x v="528"/>
    <n v="9.1"/>
    <x v="0"/>
    <n v="1"/>
    <n v="0"/>
    <x v="1"/>
    <x v="0"/>
    <s v="Senior ($200-300k)"/>
  </r>
  <r>
    <x v="1264"/>
    <x v="12"/>
    <x v="0"/>
    <x v="3"/>
    <x v="9"/>
    <x v="1"/>
    <n v="207000"/>
    <n v="160000"/>
    <n v="300000"/>
    <s v="Amsterdam"/>
    <x v="9"/>
    <s v="Hybrid"/>
    <s v="Enterprise (5000+)"/>
    <x v="10"/>
    <s v="PyTorch|Vision-Language Models|Fine-tuning|Leadership|SQL|Agile"/>
    <n v="17.399999999999999"/>
    <x v="11"/>
    <x v="529"/>
    <n v="8.5"/>
    <x v="1"/>
    <n v="6"/>
    <n v="0"/>
    <x v="1"/>
    <x v="1"/>
    <s v="Senior ($200-300k)"/>
  </r>
  <r>
    <x v="1265"/>
    <x v="15"/>
    <x v="0"/>
    <x v="0"/>
    <x v="0"/>
    <x v="4"/>
    <n v="237000"/>
    <n v="145000"/>
    <n v="280000"/>
    <s v="London"/>
    <x v="1"/>
    <s v="Hybrid"/>
    <s v="Enterprise (5000+)"/>
    <x v="9"/>
    <s v="Search Systems|Vector DBs|LangChain|Python|Agile"/>
    <n v="8.4"/>
    <x v="14"/>
    <x v="203"/>
    <n v="7.8"/>
    <x v="0"/>
    <n v="1"/>
    <n v="1"/>
    <x v="1"/>
    <x v="0"/>
    <s v="Senior ($200-300k)"/>
  </r>
  <r>
    <x v="1266"/>
    <x v="21"/>
    <x v="8"/>
    <x v="2"/>
    <x v="3"/>
    <x v="4"/>
    <n v="138000"/>
    <n v="138000"/>
    <n v="195000"/>
    <s v="Toronto"/>
    <x v="7"/>
    <s v="Hybrid"/>
    <s v="Mid-size (501-5000)"/>
    <x v="11"/>
    <s v="Data Visualization|Statistics|SQL|Cloud"/>
    <n v="9.4"/>
    <x v="17"/>
    <x v="28"/>
    <n v="6.1"/>
    <x v="0"/>
    <n v="1"/>
    <n v="0"/>
    <x v="1"/>
    <x v="1"/>
    <s v="Mid ($100-150k)"/>
  </r>
  <r>
    <x v="1267"/>
    <x v="12"/>
    <x v="0"/>
    <x v="1"/>
    <x v="3"/>
    <x v="1"/>
    <n v="160000"/>
    <n v="160000"/>
    <n v="300000"/>
    <s v="Bangalore"/>
    <x v="4"/>
    <s v="Fully Remote"/>
    <s v="Enterprise (5000+)"/>
    <x v="4"/>
    <s v="Python|APIs|Fine-tuning|PyTorch|Research|Linux|Cloud"/>
    <n v="17.100000000000001"/>
    <x v="11"/>
    <x v="366"/>
    <n v="6.6"/>
    <x v="1"/>
    <n v="7"/>
    <n v="1"/>
    <x v="1"/>
    <x v="1"/>
    <s v="Upper-Mid ($150-200k)"/>
  </r>
  <r>
    <x v="1268"/>
    <x v="17"/>
    <x v="8"/>
    <x v="2"/>
    <x v="0"/>
    <x v="2"/>
    <n v="157000"/>
    <n v="157000"/>
    <n v="218000"/>
    <s v="Beijing"/>
    <x v="6"/>
    <s v="Hybrid"/>
    <s v="Startup (1-50)"/>
    <x v="2"/>
    <s v="Python|Deep Learning|Advanced Statistics|ML|Git|Statistics|Research"/>
    <n v="6"/>
    <x v="11"/>
    <x v="146"/>
    <n v="8.9"/>
    <x v="1"/>
    <n v="10"/>
    <n v="0"/>
    <x v="1"/>
    <x v="1"/>
    <s v="Upper-Mid ($150-200k)"/>
  </r>
  <r>
    <x v="1269"/>
    <x v="5"/>
    <x v="3"/>
    <x v="2"/>
    <x v="6"/>
    <x v="3"/>
    <n v="140000"/>
    <n v="140000"/>
    <n v="260000"/>
    <s v="Zurich"/>
    <x v="13"/>
    <s v="On-site"/>
    <s v="Enterprise (5000+)"/>
    <x v="1"/>
    <s v="Risk Analysis|Cybersecurity|ML Security|Red Teaming|Python|Agile|Statistics"/>
    <n v="17.899999999999999"/>
    <x v="5"/>
    <x v="334"/>
    <n v="8.9"/>
    <x v="1"/>
    <n v="9"/>
    <n v="0"/>
    <x v="0"/>
    <x v="1"/>
    <s v="Mid ($100-150k)"/>
  </r>
  <r>
    <x v="1270"/>
    <x v="7"/>
    <x v="0"/>
    <x v="2"/>
    <x v="0"/>
    <x v="0"/>
    <n v="148000"/>
    <n v="145000"/>
    <n v="290000"/>
    <s v="Tokyo"/>
    <x v="5"/>
    <s v="Hybrid"/>
    <s v="Enterprise (5000+)"/>
    <x v="2"/>
    <s v="Python|Transformers|BERT|LLMs|Hugging Face|Cloud|SQL"/>
    <n v="3.3"/>
    <x v="6"/>
    <x v="87"/>
    <n v="9"/>
    <x v="0"/>
    <n v="2"/>
    <n v="0"/>
    <x v="1"/>
    <x v="1"/>
    <s v="Mid ($100-150k)"/>
  </r>
  <r>
    <x v="1271"/>
    <x v="1"/>
    <x v="0"/>
    <x v="0"/>
    <x v="1"/>
    <x v="1"/>
    <n v="160000"/>
    <n v="90000"/>
    <n v="200000"/>
    <s v="Zurich"/>
    <x v="13"/>
    <s v="Hybrid"/>
    <s v="Mid-size (501-5000)"/>
    <x v="10"/>
    <s v="NLP|Testing|Prompt Design|Documentation|Communication"/>
    <n v="6.1"/>
    <x v="1"/>
    <x v="267"/>
    <n v="9.3000000000000007"/>
    <x v="1"/>
    <n v="4"/>
    <n v="1"/>
    <x v="1"/>
    <x v="0"/>
    <s v="Upper-Mid ($150-200k)"/>
  </r>
  <r>
    <x v="1272"/>
    <x v="7"/>
    <x v="0"/>
    <x v="2"/>
    <x v="4"/>
    <x v="1"/>
    <n v="145000"/>
    <n v="145000"/>
    <n v="290000"/>
    <s v="Berlin"/>
    <x v="12"/>
    <s v="On-site"/>
    <s v="Enterprise (5000+)"/>
    <x v="2"/>
    <s v="Python|Text Processing|Transformers|BERT|Leadership|Linux|Statistics"/>
    <n v="8.4"/>
    <x v="6"/>
    <x v="530"/>
    <n v="8.6"/>
    <x v="1"/>
    <n v="11"/>
    <n v="0"/>
    <x v="0"/>
    <x v="1"/>
    <s v="Mid ($100-150k)"/>
  </r>
  <r>
    <x v="1273"/>
    <x v="2"/>
    <x v="0"/>
    <x v="1"/>
    <x v="1"/>
    <x v="0"/>
    <n v="249000"/>
    <n v="160000"/>
    <n v="300000"/>
    <s v="Dubai"/>
    <x v="8"/>
    <s v="On-site"/>
    <s v="Startup (1-50)"/>
    <x v="11"/>
    <s v="Prompt Engineering|Vector DBs|Python|Fine-tuning|Research|Communication|Cloud"/>
    <n v="8.1999999999999993"/>
    <x v="2"/>
    <x v="468"/>
    <n v="7.2"/>
    <x v="0"/>
    <n v="2"/>
    <n v="1"/>
    <x v="0"/>
    <x v="0"/>
    <s v="Senior ($200-300k)"/>
  </r>
  <r>
    <x v="1274"/>
    <x v="24"/>
    <x v="11"/>
    <x v="2"/>
    <x v="6"/>
    <x v="4"/>
    <n v="142000"/>
    <n v="115000"/>
    <n v="280000"/>
    <s v="New York"/>
    <x v="0"/>
    <s v="Hybrid"/>
    <s v="Startup (1-50)"/>
    <x v="2"/>
    <s v="Python|Deep Learning|Publishing|Git|Cloud"/>
    <n v="11.7"/>
    <x v="3"/>
    <x v="59"/>
    <n v="9"/>
    <x v="0"/>
    <n v="3"/>
    <n v="0"/>
    <x v="1"/>
    <x v="1"/>
    <s v="Mid ($100-150k)"/>
  </r>
  <r>
    <x v="1275"/>
    <x v="4"/>
    <x v="2"/>
    <x v="3"/>
    <x v="8"/>
    <x v="3"/>
    <n v="144000"/>
    <n v="140000"/>
    <n v="260000"/>
    <s v="Boston"/>
    <x v="0"/>
    <s v="Fully Remote"/>
    <s v="SME (51-500)"/>
    <x v="6"/>
    <s v="Product Strategy|Data Analysis|Stakeholder Mgmt|Agile|Statistics"/>
    <n v="12.2"/>
    <x v="4"/>
    <x v="356"/>
    <n v="8.3000000000000007"/>
    <x v="1"/>
    <n v="7"/>
    <n v="0"/>
    <x v="1"/>
    <x v="1"/>
    <s v="Mid ($100-150k)"/>
  </r>
  <r>
    <x v="1276"/>
    <x v="21"/>
    <x v="8"/>
    <x v="1"/>
    <x v="3"/>
    <x v="3"/>
    <n v="138000"/>
    <n v="138000"/>
    <n v="195000"/>
    <s v="Beijing"/>
    <x v="6"/>
    <s v="Fully Remote"/>
    <s v="SME (51-500)"/>
    <x v="9"/>
    <s v="Scikit-learn|Python|ML Algorithms|Data Visualization|Statistics|SQL|Statistics|Cloud|Git"/>
    <n v="8.4"/>
    <x v="17"/>
    <x v="531"/>
    <n v="9"/>
    <x v="0"/>
    <n v="1"/>
    <n v="1"/>
    <x v="1"/>
    <x v="1"/>
    <s v="Mid ($100-150k)"/>
  </r>
  <r>
    <x v="1277"/>
    <x v="3"/>
    <x v="1"/>
    <x v="3"/>
    <x v="8"/>
    <x v="3"/>
    <n v="130000"/>
    <n v="130000"/>
    <n v="220000"/>
    <s v="Singapore"/>
    <x v="2"/>
    <s v="Hybrid"/>
    <s v="Enterprise (5000+)"/>
    <x v="6"/>
    <s v="Airflow|Feature Stores|SQL|Python|ETL|dbt|Spark|Agile|Cloud|Git"/>
    <n v="11.9"/>
    <x v="3"/>
    <x v="433"/>
    <n v="7.9"/>
    <x v="1"/>
    <n v="4"/>
    <n v="0"/>
    <x v="1"/>
    <x v="1"/>
    <s v="Mid ($100-150k)"/>
  </r>
  <r>
    <x v="1278"/>
    <x v="20"/>
    <x v="0"/>
    <x v="2"/>
    <x v="1"/>
    <x v="3"/>
    <n v="100000"/>
    <n v="100000"/>
    <n v="250000"/>
    <s v="Paris"/>
    <x v="10"/>
    <s v="On-site"/>
    <s v="Startup (1-50)"/>
    <x v="10"/>
    <s v="Cloud (AWS/GCP/Azure)|LLM Integration|Docker|Python|PyTorch|Agile"/>
    <n v="14"/>
    <x v="9"/>
    <x v="532"/>
    <n v="8.8000000000000007"/>
    <x v="1"/>
    <n v="7"/>
    <n v="0"/>
    <x v="0"/>
    <x v="1"/>
    <s v="Entry (&lt;$100k)"/>
  </r>
  <r>
    <x v="1279"/>
    <x v="22"/>
    <x v="0"/>
    <x v="0"/>
    <x v="9"/>
    <x v="3"/>
    <n v="176000"/>
    <n v="145000"/>
    <n v="280000"/>
    <s v="Remote"/>
    <x v="3"/>
    <s v="On-site"/>
    <s v="Startup (1-50)"/>
    <x v="10"/>
    <s v="Python|OpenCV|CNNs|PyTorch|CUDA|Image Processing|Agile"/>
    <n v="7.8"/>
    <x v="18"/>
    <x v="340"/>
    <n v="6.9"/>
    <x v="0"/>
    <n v="3"/>
    <n v="1"/>
    <x v="0"/>
    <x v="1"/>
    <s v="Upper-Mid ($150-200k)"/>
  </r>
  <r>
    <x v="1280"/>
    <x v="6"/>
    <x v="0"/>
    <x v="3"/>
    <x v="8"/>
    <x v="0"/>
    <n v="309000"/>
    <n v="180000"/>
    <n v="312000"/>
    <s v="Singapore"/>
    <x v="2"/>
    <s v="Fully Remote"/>
    <s v="Big Tech (FAANG+)"/>
    <x v="1"/>
    <s v="MLOps|Python|Distributed Systems|PyTorch|Communication|Agile|Git"/>
    <n v="8.5"/>
    <x v="0"/>
    <x v="533"/>
    <n v="8.6"/>
    <x v="0"/>
    <n v="1"/>
    <n v="0"/>
    <x v="1"/>
    <x v="1"/>
    <s v="Elite (&gt;$300k)"/>
  </r>
  <r>
    <x v="1281"/>
    <x v="16"/>
    <x v="7"/>
    <x v="3"/>
    <x v="10"/>
    <x v="2"/>
    <n v="125000"/>
    <n v="125000"/>
    <n v="240000"/>
    <s v="Zurich"/>
    <x v="13"/>
    <s v="Hybrid"/>
    <s v="SME (51-500)"/>
    <x v="0"/>
    <s v="Control Systems|Python|ROS|Leadership"/>
    <n v="13.8"/>
    <x v="15"/>
    <x v="219"/>
    <n v="7.5"/>
    <x v="1"/>
    <n v="8"/>
    <n v="0"/>
    <x v="1"/>
    <x v="1"/>
    <s v="Mid ($100-150k)"/>
  </r>
  <r>
    <x v="1282"/>
    <x v="4"/>
    <x v="2"/>
    <x v="0"/>
    <x v="8"/>
    <x v="2"/>
    <n v="252000"/>
    <n v="140000"/>
    <n v="260000"/>
    <s v="Zurich"/>
    <x v="13"/>
    <s v="Hybrid"/>
    <s v="Big Tech (FAANG+)"/>
    <x v="0"/>
    <s v="Data Analysis|Agile|Stakeholder Mgmt|Product Strategy|AI Literacy|Linux"/>
    <n v="9.1"/>
    <x v="4"/>
    <x v="332"/>
    <n v="7.6"/>
    <x v="1"/>
    <n v="7"/>
    <n v="1"/>
    <x v="1"/>
    <x v="1"/>
    <s v="Senior ($200-300k)"/>
  </r>
  <r>
    <x v="1283"/>
    <x v="3"/>
    <x v="1"/>
    <x v="2"/>
    <x v="4"/>
    <x v="1"/>
    <n v="130000"/>
    <n v="130000"/>
    <n v="220000"/>
    <s v="Dubai"/>
    <x v="8"/>
    <s v="On-site"/>
    <s v="Startup (1-50)"/>
    <x v="3"/>
    <s v="Feature Stores|ETL|SQL|Airflow|Git"/>
    <n v="8.9"/>
    <x v="3"/>
    <x v="127"/>
    <n v="9.6999999999999993"/>
    <x v="1"/>
    <n v="6"/>
    <n v="0"/>
    <x v="0"/>
    <x v="1"/>
    <s v="Mid ($100-150k)"/>
  </r>
  <r>
    <x v="1284"/>
    <x v="8"/>
    <x v="4"/>
    <x v="2"/>
    <x v="7"/>
    <x v="3"/>
    <n v="180000"/>
    <n v="180000"/>
    <n v="320000"/>
    <s v="Chicago"/>
    <x v="0"/>
    <s v="On-site"/>
    <s v="Enterprise (5000+)"/>
    <x v="8"/>
    <s v="Cloud|Python|System Design|Leadership|ML|Enterprise Architecture|Leadership|Linux"/>
    <n v="15.6"/>
    <x v="7"/>
    <x v="164"/>
    <n v="6"/>
    <x v="1"/>
    <n v="8"/>
    <n v="0"/>
    <x v="0"/>
    <x v="1"/>
    <s v="Upper-Mid ($150-200k)"/>
  </r>
  <r>
    <x v="1285"/>
    <x v="3"/>
    <x v="1"/>
    <x v="2"/>
    <x v="0"/>
    <x v="3"/>
    <n v="130000"/>
    <n v="130000"/>
    <n v="220000"/>
    <s v="Los Angeles"/>
    <x v="0"/>
    <s v="Hybrid"/>
    <s v="SME (51-500)"/>
    <x v="4"/>
    <s v="Airflow|Python|Spark|Feature Stores|Problem Solving|Leadership"/>
    <n v="8.4"/>
    <x v="3"/>
    <x v="368"/>
    <n v="7.2"/>
    <x v="0"/>
    <n v="1"/>
    <n v="0"/>
    <x v="1"/>
    <x v="1"/>
    <s v="Mid ($100-150k)"/>
  </r>
  <r>
    <x v="1286"/>
    <x v="7"/>
    <x v="0"/>
    <x v="0"/>
    <x v="6"/>
    <x v="4"/>
    <n v="267000"/>
    <n v="145000"/>
    <n v="290000"/>
    <s v="Remote"/>
    <x v="3"/>
    <s v="Hybrid"/>
    <s v="SME (51-500)"/>
    <x v="9"/>
    <s v="BERT|LLMs|Transformers|Text Processing|Problem Solving|Leadership|Git"/>
    <n v="4.9000000000000004"/>
    <x v="6"/>
    <x v="534"/>
    <n v="8.3000000000000007"/>
    <x v="1"/>
    <n v="6"/>
    <n v="1"/>
    <x v="1"/>
    <x v="1"/>
    <s v="Senior ($200-300k)"/>
  </r>
  <r>
    <x v="1287"/>
    <x v="23"/>
    <x v="9"/>
    <x v="1"/>
    <x v="4"/>
    <x v="4"/>
    <n v="153000"/>
    <n v="100000"/>
    <n v="200000"/>
    <s v="Toronto"/>
    <x v="7"/>
    <s v="Fully Remote"/>
    <s v="Startup (1-50)"/>
    <x v="0"/>
    <s v="Auditing|EU AI Act|Documentation|Risk Management|Cloud|Linux"/>
    <n v="17.899999999999999"/>
    <x v="19"/>
    <x v="502"/>
    <n v="7.5"/>
    <x v="1"/>
    <n v="12"/>
    <n v="1"/>
    <x v="1"/>
    <x v="1"/>
    <s v="Upper-Mid ($150-200k)"/>
  </r>
  <r>
    <x v="1288"/>
    <x v="16"/>
    <x v="7"/>
    <x v="0"/>
    <x v="8"/>
    <x v="4"/>
    <n v="175000"/>
    <n v="125000"/>
    <n v="240000"/>
    <s v="Sydney"/>
    <x v="11"/>
    <s v="On-site"/>
    <s v="SME (51-500)"/>
    <x v="11"/>
    <s v="C++|Python|ROS|Control Systems|Simulation|SQL"/>
    <n v="16.899999999999999"/>
    <x v="15"/>
    <x v="57"/>
    <n v="8.3000000000000007"/>
    <x v="0"/>
    <n v="3"/>
    <n v="1"/>
    <x v="0"/>
    <x v="1"/>
    <s v="Upper-Mid ($150-200k)"/>
  </r>
  <r>
    <x v="1289"/>
    <x v="4"/>
    <x v="2"/>
    <x v="1"/>
    <x v="10"/>
    <x v="4"/>
    <n v="140000"/>
    <n v="140000"/>
    <n v="260000"/>
    <s v="Beijing"/>
    <x v="6"/>
    <s v="Hybrid"/>
    <s v="Startup (1-50)"/>
    <x v="5"/>
    <s v="Data Analysis|Agile|Product Strategy|AI Literacy|Stakeholder Mgmt|Problem Solving|Linux|Git"/>
    <n v="15.8"/>
    <x v="4"/>
    <x v="288"/>
    <n v="8.5"/>
    <x v="0"/>
    <n v="1"/>
    <n v="1"/>
    <x v="1"/>
    <x v="1"/>
    <s v="Mid ($100-150k)"/>
  </r>
  <r>
    <x v="1290"/>
    <x v="1"/>
    <x v="0"/>
    <x v="2"/>
    <x v="1"/>
    <x v="1"/>
    <n v="127000"/>
    <n v="90000"/>
    <n v="200000"/>
    <s v="Sydney"/>
    <x v="11"/>
    <s v="On-site"/>
    <s v="Big Tech (FAANG+)"/>
    <x v="7"/>
    <s v="LLM APIs|NLP|Testing|Prompt Design|Documentation|Python|Research"/>
    <n v="5.0999999999999996"/>
    <x v="1"/>
    <x v="135"/>
    <n v="9.5"/>
    <x v="1"/>
    <n v="11"/>
    <n v="0"/>
    <x v="0"/>
    <x v="0"/>
    <s v="Mid ($100-150k)"/>
  </r>
  <r>
    <x v="1291"/>
    <x v="24"/>
    <x v="11"/>
    <x v="2"/>
    <x v="0"/>
    <x v="2"/>
    <n v="115000"/>
    <n v="115000"/>
    <n v="280000"/>
    <s v="Chicago"/>
    <x v="0"/>
    <s v="Fully Remote"/>
    <s v="Mid-size (501-5000)"/>
    <x v="6"/>
    <s v="Deep Learning|PyTorch|Mathematics|Communication|Cloud|Statistics"/>
    <n v="8.9"/>
    <x v="3"/>
    <x v="71"/>
    <n v="8.5"/>
    <x v="1"/>
    <n v="5"/>
    <n v="0"/>
    <x v="1"/>
    <x v="1"/>
    <s v="Mid ($100-150k)"/>
  </r>
  <r>
    <x v="1292"/>
    <x v="24"/>
    <x v="11"/>
    <x v="0"/>
    <x v="2"/>
    <x v="0"/>
    <n v="258000"/>
    <n v="115000"/>
    <n v="280000"/>
    <s v="Paris"/>
    <x v="10"/>
    <s v="Hybrid"/>
    <s v="Big Tech (FAANG+)"/>
    <x v="6"/>
    <s v="Publishing|Research|PyTorch|Deep Learning|Problem Solving"/>
    <n v="11.5"/>
    <x v="3"/>
    <x v="68"/>
    <n v="6.3"/>
    <x v="0"/>
    <n v="3"/>
    <n v="1"/>
    <x v="1"/>
    <x v="1"/>
    <s v="Senior ($200-300k)"/>
  </r>
  <r>
    <x v="1293"/>
    <x v="1"/>
    <x v="0"/>
    <x v="1"/>
    <x v="4"/>
    <x v="4"/>
    <n v="240000"/>
    <n v="90000"/>
    <n v="200000"/>
    <s v="Seattle"/>
    <x v="0"/>
    <s v="On-site"/>
    <s v="Mid-size (501-5000)"/>
    <x v="5"/>
    <s v="Prompt Design|Python|NLP|LLM APIs|Documentation|Leadership|Git|Communication"/>
    <n v="5.2"/>
    <x v="1"/>
    <x v="32"/>
    <n v="7.1"/>
    <x v="1"/>
    <n v="2"/>
    <n v="1"/>
    <x v="0"/>
    <x v="0"/>
    <s v="Senior ($200-300k)"/>
  </r>
  <r>
    <x v="1294"/>
    <x v="12"/>
    <x v="0"/>
    <x v="3"/>
    <x v="6"/>
    <x v="3"/>
    <n v="160000"/>
    <n v="160000"/>
    <n v="300000"/>
    <s v="Beijing"/>
    <x v="6"/>
    <s v="Fully Remote"/>
    <s v="Startup (1-50)"/>
    <x v="9"/>
    <s v="Python|Vision-Language Models|APIs|Statistics|Agile"/>
    <n v="13.9"/>
    <x v="11"/>
    <x v="311"/>
    <n v="8.4"/>
    <x v="1"/>
    <n v="8"/>
    <n v="0"/>
    <x v="1"/>
    <x v="1"/>
    <s v="Upper-Mid ($150-200k)"/>
  </r>
  <r>
    <x v="1295"/>
    <x v="2"/>
    <x v="0"/>
    <x v="1"/>
    <x v="3"/>
    <x v="2"/>
    <n v="239000"/>
    <n v="160000"/>
    <n v="300000"/>
    <s v="Sydney"/>
    <x v="11"/>
    <s v="Fully Remote"/>
    <s v="Enterprise (5000+)"/>
    <x v="7"/>
    <s v="LLM APIs|Vector DBs|RAG|Python|Prompt Engineering|Git"/>
    <n v="8.5"/>
    <x v="2"/>
    <x v="111"/>
    <n v="8.6"/>
    <x v="0"/>
    <n v="1"/>
    <n v="1"/>
    <x v="1"/>
    <x v="0"/>
    <s v="Senior ($200-300k)"/>
  </r>
  <r>
    <x v="1296"/>
    <x v="13"/>
    <x v="5"/>
    <x v="3"/>
    <x v="8"/>
    <x v="4"/>
    <n v="182000"/>
    <n v="130000"/>
    <n v="260000"/>
    <s v="Austin"/>
    <x v="0"/>
    <s v="Hybrid"/>
    <s v="Mid-size (501-5000)"/>
    <x v="6"/>
    <s v="MLflow|Monitoring|Kubernetes|Docker|Communication|Problem Solving"/>
    <n v="13.4"/>
    <x v="12"/>
    <x v="220"/>
    <n v="6.9"/>
    <x v="1"/>
    <n v="6"/>
    <n v="0"/>
    <x v="1"/>
    <x v="1"/>
    <s v="Upper-Mid ($150-200k)"/>
  </r>
  <r>
    <x v="1297"/>
    <x v="21"/>
    <x v="8"/>
    <x v="1"/>
    <x v="1"/>
    <x v="2"/>
    <n v="182000"/>
    <n v="138000"/>
    <n v="195000"/>
    <s v="Dubai"/>
    <x v="8"/>
    <s v="Hybrid"/>
    <s v="Enterprise (5000+)"/>
    <x v="10"/>
    <s v="SQL|ML Algorithms|Statistics|Scikit-learn|Python|Data Visualization|Problem Solving|Linux"/>
    <n v="3.1"/>
    <x v="17"/>
    <x v="415"/>
    <n v="7.3"/>
    <x v="0"/>
    <n v="3"/>
    <n v="1"/>
    <x v="1"/>
    <x v="1"/>
    <s v="Upper-Mid ($150-200k)"/>
  </r>
  <r>
    <x v="1298"/>
    <x v="3"/>
    <x v="1"/>
    <x v="0"/>
    <x v="4"/>
    <x v="2"/>
    <n v="213000"/>
    <n v="130000"/>
    <n v="220000"/>
    <s v="Chicago"/>
    <x v="0"/>
    <s v="Hybrid"/>
    <s v="Big Tech (FAANG+)"/>
    <x v="2"/>
    <s v="Spark|dbt|Airflow|Cloud|Agile|Statistics"/>
    <n v="9"/>
    <x v="3"/>
    <x v="137"/>
    <n v="7.5"/>
    <x v="1"/>
    <n v="8"/>
    <n v="1"/>
    <x v="1"/>
    <x v="1"/>
    <s v="Senior ($200-300k)"/>
  </r>
  <r>
    <x v="1299"/>
    <x v="21"/>
    <x v="8"/>
    <x v="3"/>
    <x v="8"/>
    <x v="1"/>
    <n v="140000"/>
    <n v="138000"/>
    <n v="195000"/>
    <s v="Tokyo"/>
    <x v="5"/>
    <s v="Hybrid"/>
    <s v="Big Tech (FAANG+)"/>
    <x v="7"/>
    <s v="SQL|Statistics|Scikit-learn|Python|Data Visualization|Problem Solving|Cloud"/>
    <n v="9.6999999999999993"/>
    <x v="17"/>
    <x v="535"/>
    <n v="8.1999999999999993"/>
    <x v="0"/>
    <n v="2"/>
    <n v="0"/>
    <x v="1"/>
    <x v="1"/>
    <s v="Mid ($100-150k)"/>
  </r>
  <r>
    <x v="1300"/>
    <x v="8"/>
    <x v="4"/>
    <x v="2"/>
    <x v="8"/>
    <x v="3"/>
    <n v="246000"/>
    <n v="180000"/>
    <n v="320000"/>
    <s v="San Francisco"/>
    <x v="0"/>
    <s v="Fully Remote"/>
    <s v="Enterprise (5000+)"/>
    <x v="2"/>
    <s v="Leadership|System Design|Enterprise Architecture|Cloud|ML|Python|SQL"/>
    <n v="10.6"/>
    <x v="7"/>
    <x v="25"/>
    <n v="8.6999999999999993"/>
    <x v="0"/>
    <n v="1"/>
    <n v="0"/>
    <x v="1"/>
    <x v="1"/>
    <s v="Senior ($200-300k)"/>
  </r>
  <r>
    <x v="1301"/>
    <x v="4"/>
    <x v="2"/>
    <x v="0"/>
    <x v="8"/>
    <x v="3"/>
    <n v="190000"/>
    <n v="140000"/>
    <n v="260000"/>
    <s v="Sydney"/>
    <x v="11"/>
    <s v="On-site"/>
    <s v="Enterprise (5000+)"/>
    <x v="7"/>
    <s v="Stakeholder Mgmt|Product Strategy|Data Analysis|Leadership|Cloud|SQL"/>
    <n v="12.9"/>
    <x v="4"/>
    <x v="245"/>
    <n v="8.1"/>
    <x v="0"/>
    <n v="1"/>
    <n v="1"/>
    <x v="0"/>
    <x v="1"/>
    <s v="Upper-Mid ($150-200k)"/>
  </r>
  <r>
    <x v="1302"/>
    <x v="11"/>
    <x v="0"/>
    <x v="0"/>
    <x v="9"/>
    <x v="2"/>
    <n v="161000"/>
    <n v="141000"/>
    <n v="270000"/>
    <s v="Paris"/>
    <x v="10"/>
    <s v="Hybrid"/>
    <s v="SME (51-500)"/>
    <x v="5"/>
    <s v="Python|TensorFlow|GPU Computing|CUDA|PyTorch|Cloud|Communication"/>
    <n v="3.3"/>
    <x v="10"/>
    <x v="211"/>
    <n v="8.8000000000000007"/>
    <x v="1"/>
    <n v="3"/>
    <n v="1"/>
    <x v="1"/>
    <x v="1"/>
    <s v="Upper-Mid ($150-200k)"/>
  </r>
  <r>
    <x v="1303"/>
    <x v="16"/>
    <x v="7"/>
    <x v="1"/>
    <x v="6"/>
    <x v="2"/>
    <n v="155000"/>
    <n v="125000"/>
    <n v="240000"/>
    <s v="Amsterdam"/>
    <x v="9"/>
    <s v="Fully Remote"/>
    <s v="Startup (1-50)"/>
    <x v="8"/>
    <s v="ROS|C++|Simulation|Computer Vision|Python|Control Systems|Communication|Leadership|Statistics"/>
    <n v="12.3"/>
    <x v="15"/>
    <x v="131"/>
    <n v="7.4"/>
    <x v="0"/>
    <n v="3"/>
    <n v="1"/>
    <x v="1"/>
    <x v="1"/>
    <s v="Upper-Mid ($150-200k)"/>
  </r>
  <r>
    <x v="1304"/>
    <x v="6"/>
    <x v="0"/>
    <x v="0"/>
    <x v="11"/>
    <x v="2"/>
    <n v="180000"/>
    <n v="180000"/>
    <n v="312000"/>
    <s v="Amsterdam"/>
    <x v="9"/>
    <s v="On-site"/>
    <s v="SME (51-500)"/>
    <x v="2"/>
    <s v="Distributed Systems|MLOps|PyTorch|Leadership|Statistics"/>
    <n v="16.399999999999999"/>
    <x v="0"/>
    <x v="225"/>
    <n v="6.3"/>
    <x v="0"/>
    <n v="2"/>
    <n v="1"/>
    <x v="0"/>
    <x v="1"/>
    <s v="Upper-Mid ($150-200k)"/>
  </r>
  <r>
    <x v="1305"/>
    <x v="16"/>
    <x v="7"/>
    <x v="0"/>
    <x v="8"/>
    <x v="1"/>
    <n v="125000"/>
    <n v="125000"/>
    <n v="240000"/>
    <s v="Bangalore"/>
    <x v="4"/>
    <s v="Hybrid"/>
    <s v="Enterprise (5000+)"/>
    <x v="5"/>
    <s v="C++|Control Systems|Simulation|Research"/>
    <n v="11.8"/>
    <x v="15"/>
    <x v="0"/>
    <n v="9.4"/>
    <x v="1"/>
    <n v="7"/>
    <n v="1"/>
    <x v="1"/>
    <x v="1"/>
    <s v="Mid ($100-150k)"/>
  </r>
  <r>
    <x v="1306"/>
    <x v="17"/>
    <x v="8"/>
    <x v="1"/>
    <x v="9"/>
    <x v="0"/>
    <n v="261600"/>
    <n v="157000"/>
    <n v="218000"/>
    <s v="New York"/>
    <x v="0"/>
    <s v="On-site"/>
    <s v="SME (51-500)"/>
    <x v="2"/>
    <s v="Leadership|Deep Learning|Causal Inference|Advanced Statistics|Problem Solving|Cloud|Communication"/>
    <n v="3.5"/>
    <x v="11"/>
    <x v="216"/>
    <n v="6.7"/>
    <x v="1"/>
    <n v="11"/>
    <n v="1"/>
    <x v="0"/>
    <x v="1"/>
    <s v="Senior ($200-300k)"/>
  </r>
  <r>
    <x v="1307"/>
    <x v="1"/>
    <x v="0"/>
    <x v="2"/>
    <x v="5"/>
    <x v="3"/>
    <n v="129000"/>
    <n v="90000"/>
    <n v="200000"/>
    <s v="Seattle"/>
    <x v="0"/>
    <s v="Hybrid"/>
    <s v="Enterprise (5000+)"/>
    <x v="9"/>
    <s v="Python|Documentation|Testing|LLM APIs|NLP|Prompt Design|Cloud"/>
    <n v="9.6"/>
    <x v="1"/>
    <x v="186"/>
    <n v="7.2"/>
    <x v="1"/>
    <n v="10"/>
    <n v="0"/>
    <x v="1"/>
    <x v="0"/>
    <s v="Mid ($100-150k)"/>
  </r>
  <r>
    <x v="1308"/>
    <x v="16"/>
    <x v="7"/>
    <x v="1"/>
    <x v="6"/>
    <x v="4"/>
    <n v="125000"/>
    <n v="125000"/>
    <n v="240000"/>
    <s v="Beijing"/>
    <x v="6"/>
    <s v="Fully Remote"/>
    <s v="Enterprise (5000+)"/>
    <x v="4"/>
    <s v="Simulation|C++|Python|Computer Vision|Control Systems|Problem Solving"/>
    <n v="12.5"/>
    <x v="15"/>
    <x v="167"/>
    <n v="7"/>
    <x v="0"/>
    <n v="1"/>
    <n v="1"/>
    <x v="1"/>
    <x v="1"/>
    <s v="Mid ($100-150k)"/>
  </r>
  <r>
    <x v="1309"/>
    <x v="23"/>
    <x v="9"/>
    <x v="1"/>
    <x v="10"/>
    <x v="3"/>
    <n v="175000"/>
    <n v="100000"/>
    <n v="200000"/>
    <s v="London"/>
    <x v="1"/>
    <s v="On-site"/>
    <s v="Enterprise (5000+)"/>
    <x v="4"/>
    <s v="EU AI Act|Documentation|Auditing|Legal Knowledge|Cloud|Research"/>
    <n v="14"/>
    <x v="19"/>
    <x v="209"/>
    <n v="7.1"/>
    <x v="1"/>
    <n v="8"/>
    <n v="1"/>
    <x v="0"/>
    <x v="1"/>
    <s v="Upper-Mid ($150-200k)"/>
  </r>
  <r>
    <x v="1310"/>
    <x v="23"/>
    <x v="9"/>
    <x v="2"/>
    <x v="3"/>
    <x v="2"/>
    <n v="100000"/>
    <n v="100000"/>
    <n v="200000"/>
    <s v="Los Angeles"/>
    <x v="0"/>
    <s v="Hybrid"/>
    <s v="SME (51-500)"/>
    <x v="8"/>
    <s v="EU AI Act|Documentation|Legal Knowledge|Auditing|Risk Management|Cloud|Statistics"/>
    <n v="10.4"/>
    <x v="19"/>
    <x v="245"/>
    <n v="7"/>
    <x v="1"/>
    <n v="6"/>
    <n v="0"/>
    <x v="1"/>
    <x v="1"/>
    <s v="Entry (&lt;$100k)"/>
  </r>
  <r>
    <x v="1311"/>
    <x v="0"/>
    <x v="0"/>
    <x v="3"/>
    <x v="3"/>
    <x v="4"/>
    <n v="215000"/>
    <n v="155000"/>
    <n v="290000"/>
    <s v="Amsterdam"/>
    <x v="9"/>
    <s v="On-site"/>
    <s v="Mid-size (501-5000)"/>
    <x v="5"/>
    <s v="Tool Use|APIs|Python|AutoGen|SQL|Problem Solving|Agile"/>
    <n v="18"/>
    <x v="0"/>
    <x v="15"/>
    <n v="6.3"/>
    <x v="0"/>
    <n v="2"/>
    <n v="0"/>
    <x v="0"/>
    <x v="0"/>
    <s v="Senior ($200-300k)"/>
  </r>
  <r>
    <x v="1312"/>
    <x v="14"/>
    <x v="6"/>
    <x v="2"/>
    <x v="6"/>
    <x v="1"/>
    <n v="96000"/>
    <n v="95000"/>
    <n v="180000"/>
    <s v="Singapore"/>
    <x v="2"/>
    <s v="Fully Remote"/>
    <s v="Enterprise (5000+)"/>
    <x v="8"/>
    <s v="Communication|Data Visualization|Python|SQL|Business Analysis|Git|Statistics|Communication"/>
    <n v="15.9"/>
    <x v="13"/>
    <x v="165"/>
    <n v="7.6"/>
    <x v="1"/>
    <n v="5"/>
    <n v="0"/>
    <x v="1"/>
    <x v="1"/>
    <s v="Entry (&lt;$100k)"/>
  </r>
  <r>
    <x v="1313"/>
    <x v="18"/>
    <x v="9"/>
    <x v="2"/>
    <x v="10"/>
    <x v="2"/>
    <n v="110000"/>
    <n v="110000"/>
    <n v="210000"/>
    <s v="Zurich"/>
    <x v="13"/>
    <s v="Fully Remote"/>
    <s v="Enterprise (5000+)"/>
    <x v="9"/>
    <s v="Communication|AI Policy|Risk Assessment|Ethics Frameworks|Research|Cloud|Leadership"/>
    <n v="8.1999999999999993"/>
    <x v="16"/>
    <x v="305"/>
    <n v="6.5"/>
    <x v="0"/>
    <n v="3"/>
    <n v="0"/>
    <x v="1"/>
    <x v="1"/>
    <s v="Mid ($100-150k)"/>
  </r>
  <r>
    <x v="1314"/>
    <x v="14"/>
    <x v="6"/>
    <x v="2"/>
    <x v="0"/>
    <x v="4"/>
    <n v="95000"/>
    <n v="95000"/>
    <n v="180000"/>
    <s v="Singapore"/>
    <x v="2"/>
    <s v="On-site"/>
    <s v="Startup (1-50)"/>
    <x v="8"/>
    <s v="Python|SQL|Business Analysis|Problem Solving"/>
    <n v="12.2"/>
    <x v="13"/>
    <x v="517"/>
    <n v="6.1"/>
    <x v="1"/>
    <n v="8"/>
    <n v="0"/>
    <x v="0"/>
    <x v="1"/>
    <s v="Entry (&lt;$100k)"/>
  </r>
  <r>
    <x v="1315"/>
    <x v="12"/>
    <x v="0"/>
    <x v="1"/>
    <x v="3"/>
    <x v="0"/>
    <n v="360000"/>
    <n v="160000"/>
    <n v="300000"/>
    <s v="London"/>
    <x v="1"/>
    <s v="Hybrid"/>
    <s v="Big Tech (FAANG+)"/>
    <x v="3"/>
    <s v="Python|PyTorch|Fine-tuning|APIs|Leadership"/>
    <n v="11.1"/>
    <x v="11"/>
    <x v="6"/>
    <n v="9.3000000000000007"/>
    <x v="1"/>
    <n v="10"/>
    <n v="1"/>
    <x v="1"/>
    <x v="1"/>
    <s v="Elite (&gt;$300k)"/>
  </r>
  <r>
    <x v="1316"/>
    <x v="6"/>
    <x v="0"/>
    <x v="0"/>
    <x v="9"/>
    <x v="0"/>
    <n v="246000"/>
    <n v="180000"/>
    <n v="312000"/>
    <s v="Berlin"/>
    <x v="12"/>
    <s v="Fully Remote"/>
    <s v="Enterprise (5000+)"/>
    <x v="8"/>
    <s v="PyTorch|Python|Distributed Systems|MLOps|System Design|Git|SQL"/>
    <n v="9.6999999999999993"/>
    <x v="0"/>
    <x v="5"/>
    <n v="9"/>
    <x v="0"/>
    <n v="1"/>
    <n v="1"/>
    <x v="1"/>
    <x v="1"/>
    <s v="Senior ($200-300k)"/>
  </r>
  <r>
    <x v="1317"/>
    <x v="3"/>
    <x v="1"/>
    <x v="1"/>
    <x v="6"/>
    <x v="3"/>
    <n v="264000"/>
    <n v="130000"/>
    <n v="220000"/>
    <s v="Seattle"/>
    <x v="0"/>
    <s v="On-site"/>
    <s v="Big Tech (FAANG+)"/>
    <x v="7"/>
    <s v="Airflow|SQL|Python|Spark|dbt|Feature Stores|Git|Leadership"/>
    <n v="9.4"/>
    <x v="3"/>
    <x v="70"/>
    <n v="6.7"/>
    <x v="0"/>
    <n v="2"/>
    <n v="1"/>
    <x v="0"/>
    <x v="1"/>
    <s v="Senior ($200-300k)"/>
  </r>
  <r>
    <x v="1318"/>
    <x v="23"/>
    <x v="9"/>
    <x v="2"/>
    <x v="6"/>
    <x v="4"/>
    <n v="126000"/>
    <n v="100000"/>
    <n v="200000"/>
    <s v="Toronto"/>
    <x v="7"/>
    <s v="Fully Remote"/>
    <s v="Big Tech (FAANG+)"/>
    <x v="8"/>
    <s v="Risk Management|EU AI Act|Auditing|Documentation|Legal Knowledge|Problem Solving|SQL|Agile"/>
    <n v="15.9"/>
    <x v="19"/>
    <x v="536"/>
    <n v="6.6"/>
    <x v="0"/>
    <n v="2"/>
    <n v="0"/>
    <x v="1"/>
    <x v="1"/>
    <s v="Mid ($100-150k)"/>
  </r>
  <r>
    <x v="1319"/>
    <x v="4"/>
    <x v="2"/>
    <x v="2"/>
    <x v="10"/>
    <x v="3"/>
    <n v="151000"/>
    <n v="140000"/>
    <n v="260000"/>
    <s v="Singapore"/>
    <x v="2"/>
    <s v="Fully Remote"/>
    <s v="Big Tech (FAANG+)"/>
    <x v="10"/>
    <s v="AI Literacy|Data Analysis|Stakeholder Mgmt|Product Strategy|Agile|Communication|Agile|Git"/>
    <n v="15.7"/>
    <x v="4"/>
    <x v="105"/>
    <n v="9.8000000000000007"/>
    <x v="0"/>
    <n v="1"/>
    <n v="0"/>
    <x v="1"/>
    <x v="1"/>
    <s v="Upper-Mid ($150-200k)"/>
  </r>
  <r>
    <x v="1320"/>
    <x v="22"/>
    <x v="0"/>
    <x v="0"/>
    <x v="4"/>
    <x v="0"/>
    <n v="199000"/>
    <n v="145000"/>
    <n v="280000"/>
    <s v="Sydney"/>
    <x v="11"/>
    <s v="On-site"/>
    <s v="SME (51-500)"/>
    <x v="9"/>
    <s v="OpenCV|Python|PyTorch|CNNs|CUDA|Communication|SQL|Git"/>
    <n v="5.2"/>
    <x v="18"/>
    <x v="356"/>
    <n v="6.7"/>
    <x v="1"/>
    <n v="2"/>
    <n v="1"/>
    <x v="0"/>
    <x v="1"/>
    <s v="Upper-Mid ($150-200k)"/>
  </r>
  <r>
    <x v="1321"/>
    <x v="13"/>
    <x v="5"/>
    <x v="3"/>
    <x v="6"/>
    <x v="0"/>
    <n v="130000"/>
    <n v="130000"/>
    <n v="260000"/>
    <s v="Sydney"/>
    <x v="11"/>
    <s v="On-site"/>
    <s v="Startup (1-50)"/>
    <x v="2"/>
    <s v="Docker|Kubernetes|Python|MLflow|Monitoring|SQL"/>
    <n v="11.1"/>
    <x v="12"/>
    <x v="321"/>
    <n v="7.7"/>
    <x v="1"/>
    <n v="12"/>
    <n v="0"/>
    <x v="0"/>
    <x v="1"/>
    <s v="Mid ($100-150k)"/>
  </r>
  <r>
    <x v="1322"/>
    <x v="21"/>
    <x v="8"/>
    <x v="1"/>
    <x v="2"/>
    <x v="4"/>
    <n v="234000"/>
    <n v="138000"/>
    <n v="195000"/>
    <s v="New York"/>
    <x v="0"/>
    <s v="Fully Remote"/>
    <s v="Big Tech (FAANG+)"/>
    <x v="4"/>
    <s v="SQL|Scikit-learn|Data Visualization|ML Algorithms|Statistics|Agile"/>
    <n v="5.0999999999999996"/>
    <x v="17"/>
    <x v="114"/>
    <n v="8.8000000000000007"/>
    <x v="1"/>
    <n v="10"/>
    <n v="1"/>
    <x v="1"/>
    <x v="1"/>
    <s v="Senior ($200-300k)"/>
  </r>
  <r>
    <x v="1323"/>
    <x v="21"/>
    <x v="8"/>
    <x v="0"/>
    <x v="4"/>
    <x v="4"/>
    <n v="233000"/>
    <n v="138000"/>
    <n v="195000"/>
    <s v="Austin"/>
    <x v="0"/>
    <s v="Hybrid"/>
    <s v="Enterprise (5000+)"/>
    <x v="7"/>
    <s v="ML Algorithms|Python|Data Visualization|Scikit-learn|Statistics|Cloud"/>
    <n v="7.3"/>
    <x v="17"/>
    <x v="29"/>
    <n v="9.4"/>
    <x v="0"/>
    <n v="3"/>
    <n v="1"/>
    <x v="1"/>
    <x v="1"/>
    <s v="Senior ($200-300k)"/>
  </r>
  <r>
    <x v="1324"/>
    <x v="10"/>
    <x v="0"/>
    <x v="3"/>
    <x v="0"/>
    <x v="4"/>
    <n v="171000"/>
    <n v="150000"/>
    <n v="295000"/>
    <s v="Dubai"/>
    <x v="8"/>
    <s v="Hybrid"/>
    <s v="SME (51-500)"/>
    <x v="9"/>
    <s v="Diffusion Models|LLMs|GenAI APIs|Leadership|Linux"/>
    <n v="14.3"/>
    <x v="9"/>
    <x v="126"/>
    <n v="9.5"/>
    <x v="0"/>
    <n v="3"/>
    <n v="0"/>
    <x v="1"/>
    <x v="0"/>
    <s v="Upper-Mid ($150-200k)"/>
  </r>
  <r>
    <x v="1325"/>
    <x v="2"/>
    <x v="0"/>
    <x v="1"/>
    <x v="3"/>
    <x v="0"/>
    <n v="160000"/>
    <n v="160000"/>
    <n v="300000"/>
    <s v="Beijing"/>
    <x v="6"/>
    <s v="On-site"/>
    <s v="Big Tech (FAANG+)"/>
    <x v="11"/>
    <s v="RAG|Prompt Engineering|Python|Fine-tuning|Vector DBs|Statistics"/>
    <n v="7.6"/>
    <x v="2"/>
    <x v="537"/>
    <n v="9.5"/>
    <x v="0"/>
    <n v="2"/>
    <n v="1"/>
    <x v="0"/>
    <x v="0"/>
    <s v="Upper-Mid ($150-200k)"/>
  </r>
  <r>
    <x v="1326"/>
    <x v="18"/>
    <x v="9"/>
    <x v="1"/>
    <x v="8"/>
    <x v="1"/>
    <n v="220000"/>
    <n v="110000"/>
    <n v="210000"/>
    <s v="Austin"/>
    <x v="0"/>
    <s v="Hybrid"/>
    <s v="SME (51-500)"/>
    <x v="11"/>
    <s v="AI Policy|Research|Ethics Frameworks|Research|Agile|Statistics"/>
    <n v="9.3000000000000007"/>
    <x v="16"/>
    <x v="77"/>
    <n v="8.1"/>
    <x v="0"/>
    <n v="1"/>
    <n v="1"/>
    <x v="1"/>
    <x v="1"/>
    <s v="Senior ($200-300k)"/>
  </r>
  <r>
    <x v="1327"/>
    <x v="15"/>
    <x v="0"/>
    <x v="0"/>
    <x v="0"/>
    <x v="4"/>
    <n v="202000"/>
    <n v="145000"/>
    <n v="280000"/>
    <s v="Singapore"/>
    <x v="2"/>
    <s v="Fully Remote"/>
    <s v="Startup (1-50)"/>
    <x v="1"/>
    <s v="LLMs|Search Systems|Python|Linux|Leadership|Cloud"/>
    <n v="3.3"/>
    <x v="14"/>
    <x v="538"/>
    <n v="6.7"/>
    <x v="0"/>
    <n v="1"/>
    <n v="1"/>
    <x v="1"/>
    <x v="0"/>
    <s v="Senior ($200-300k)"/>
  </r>
  <r>
    <x v="1328"/>
    <x v="22"/>
    <x v="0"/>
    <x v="0"/>
    <x v="0"/>
    <x v="4"/>
    <n v="336000"/>
    <n v="145000"/>
    <n v="280000"/>
    <s v="San Francisco"/>
    <x v="0"/>
    <s v="Hybrid"/>
    <s v="Enterprise (5000+)"/>
    <x v="8"/>
    <s v="CNNs|Image Processing|PyTorch|Python|CUDA|OpenCV|Leadership"/>
    <n v="5.3"/>
    <x v="18"/>
    <x v="10"/>
    <n v="8.6"/>
    <x v="1"/>
    <n v="2"/>
    <n v="1"/>
    <x v="1"/>
    <x v="1"/>
    <s v="Elite (&gt;$300k)"/>
  </r>
  <r>
    <x v="1329"/>
    <x v="2"/>
    <x v="0"/>
    <x v="1"/>
    <x v="8"/>
    <x v="0"/>
    <n v="260000"/>
    <n v="160000"/>
    <n v="300000"/>
    <s v="Toronto"/>
    <x v="7"/>
    <s v="On-site"/>
    <s v="Mid-size (501-5000)"/>
    <x v="0"/>
    <s v="Prompt Engineering|Vector DBs|RAG|Fine-tuning|LLM APIs|Python|Problem Solving|Communication"/>
    <n v="7.6"/>
    <x v="2"/>
    <x v="336"/>
    <n v="8.5"/>
    <x v="0"/>
    <n v="1"/>
    <n v="1"/>
    <x v="0"/>
    <x v="0"/>
    <s v="Senior ($200-300k)"/>
  </r>
  <r>
    <x v="1330"/>
    <x v="14"/>
    <x v="6"/>
    <x v="2"/>
    <x v="1"/>
    <x v="0"/>
    <n v="119000"/>
    <n v="95000"/>
    <n v="180000"/>
    <s v="San Francisco"/>
    <x v="0"/>
    <s v="On-site"/>
    <s v="Startup (1-50)"/>
    <x v="11"/>
    <s v="Data Visualization|Business Analysis|Communication|Python|Problem Solving"/>
    <n v="13.1"/>
    <x v="13"/>
    <x v="399"/>
    <n v="6.5"/>
    <x v="0"/>
    <n v="2"/>
    <n v="0"/>
    <x v="0"/>
    <x v="1"/>
    <s v="Mid ($100-150k)"/>
  </r>
  <r>
    <x v="1331"/>
    <x v="5"/>
    <x v="3"/>
    <x v="3"/>
    <x v="0"/>
    <x v="2"/>
    <n v="140000"/>
    <n v="140000"/>
    <n v="260000"/>
    <s v="Bangalore"/>
    <x v="4"/>
    <s v="Hybrid"/>
    <s v="Mid-size (501-5000)"/>
    <x v="6"/>
    <s v="Cybersecurity|Risk Analysis|ML Security|Python|SQL|Statistics|Communication"/>
    <n v="13.6"/>
    <x v="5"/>
    <x v="421"/>
    <n v="9.4"/>
    <x v="0"/>
    <n v="2"/>
    <n v="0"/>
    <x v="1"/>
    <x v="1"/>
    <s v="Mid ($100-150k)"/>
  </r>
  <r>
    <x v="1332"/>
    <x v="18"/>
    <x v="9"/>
    <x v="0"/>
    <x v="10"/>
    <x v="0"/>
    <n v="167000"/>
    <n v="110000"/>
    <n v="210000"/>
    <s v="Los Angeles"/>
    <x v="0"/>
    <s v="Hybrid"/>
    <s v="Startup (1-50)"/>
    <x v="3"/>
    <s v="AI Policy|Ethics Frameworks|Communication|Risk Assessment|Leadership|Cloud|Statistics"/>
    <n v="9.5"/>
    <x v="16"/>
    <x v="398"/>
    <n v="7.4"/>
    <x v="0"/>
    <n v="3"/>
    <n v="1"/>
    <x v="1"/>
    <x v="1"/>
    <s v="Upper-Mid ($150-200k)"/>
  </r>
  <r>
    <x v="1333"/>
    <x v="16"/>
    <x v="7"/>
    <x v="3"/>
    <x v="2"/>
    <x v="2"/>
    <n v="140000"/>
    <n v="125000"/>
    <n v="240000"/>
    <s v="Chicago"/>
    <x v="0"/>
    <s v="Hybrid"/>
    <s v="SME (51-500)"/>
    <x v="10"/>
    <s v="Python|Simulation|C++|ROS|Cloud"/>
    <n v="12.3"/>
    <x v="15"/>
    <x v="198"/>
    <n v="8.6"/>
    <x v="0"/>
    <n v="2"/>
    <n v="0"/>
    <x v="1"/>
    <x v="1"/>
    <s v="Mid ($100-150k)"/>
  </r>
  <r>
    <x v="1334"/>
    <x v="1"/>
    <x v="0"/>
    <x v="2"/>
    <x v="3"/>
    <x v="2"/>
    <n v="140000"/>
    <n v="90000"/>
    <n v="200000"/>
    <s v="Remote"/>
    <x v="3"/>
    <s v="On-site"/>
    <s v="Big Tech (FAANG+)"/>
    <x v="9"/>
    <s v="Testing|LLM APIs|NLP|Documentation|Python|Statistics|Research|Problem Solving"/>
    <n v="5.5"/>
    <x v="1"/>
    <x v="101"/>
    <n v="9.6"/>
    <x v="1"/>
    <n v="6"/>
    <n v="0"/>
    <x v="0"/>
    <x v="0"/>
    <s v="Mid ($100-150k)"/>
  </r>
  <r>
    <x v="1335"/>
    <x v="12"/>
    <x v="0"/>
    <x v="3"/>
    <x v="8"/>
    <x v="2"/>
    <n v="209000"/>
    <n v="160000"/>
    <n v="300000"/>
    <s v="Toronto"/>
    <x v="7"/>
    <s v="Fully Remote"/>
    <s v="Big Tech (FAANG+)"/>
    <x v="7"/>
    <s v="Fine-tuning|APIs|Vision-Language Models|Python|Git|Agile|Cloud"/>
    <n v="17.3"/>
    <x v="11"/>
    <x v="321"/>
    <n v="7.2"/>
    <x v="1"/>
    <n v="12"/>
    <n v="0"/>
    <x v="1"/>
    <x v="1"/>
    <s v="Senior ($200-300k)"/>
  </r>
  <r>
    <x v="1336"/>
    <x v="0"/>
    <x v="0"/>
    <x v="1"/>
    <x v="3"/>
    <x v="3"/>
    <n v="348000"/>
    <n v="155000"/>
    <n v="290000"/>
    <s v="Boston"/>
    <x v="0"/>
    <s v="Hybrid"/>
    <s v="Big Tech (FAANG+)"/>
    <x v="0"/>
    <s v="Planning Systems|Tool Use|AutoGen|LangChain|Python|Cloud|Agile"/>
    <n v="12.4"/>
    <x v="0"/>
    <x v="539"/>
    <n v="6.9"/>
    <x v="0"/>
    <n v="1"/>
    <n v="1"/>
    <x v="1"/>
    <x v="0"/>
    <s v="Elite (&gt;$300k)"/>
  </r>
  <r>
    <x v="1337"/>
    <x v="14"/>
    <x v="6"/>
    <x v="3"/>
    <x v="4"/>
    <x v="1"/>
    <n v="147000"/>
    <n v="95000"/>
    <n v="180000"/>
    <s v="Los Angeles"/>
    <x v="0"/>
    <s v="Hybrid"/>
    <s v="Mid-size (501-5000)"/>
    <x v="7"/>
    <s v="SQL|Communication|Business Analysis|Problem Solving|Research"/>
    <n v="9.6999999999999993"/>
    <x v="13"/>
    <x v="341"/>
    <n v="6.5"/>
    <x v="1"/>
    <n v="9"/>
    <n v="0"/>
    <x v="1"/>
    <x v="1"/>
    <s v="Mid ($100-150k)"/>
  </r>
  <r>
    <x v="1338"/>
    <x v="10"/>
    <x v="0"/>
    <x v="3"/>
    <x v="8"/>
    <x v="3"/>
    <n v="196000"/>
    <n v="150000"/>
    <n v="295000"/>
    <s v="Los Angeles"/>
    <x v="0"/>
    <s v="Fully Remote"/>
    <s v="Mid-size (501-5000)"/>
    <x v="7"/>
    <s v="LLMs|Deployment|Fine-tuning|SQL|Git"/>
    <n v="17.7"/>
    <x v="9"/>
    <x v="475"/>
    <n v="9"/>
    <x v="1"/>
    <n v="5"/>
    <n v="0"/>
    <x v="1"/>
    <x v="0"/>
    <s v="Upper-Mid ($150-200k)"/>
  </r>
  <r>
    <x v="1339"/>
    <x v="16"/>
    <x v="7"/>
    <x v="0"/>
    <x v="8"/>
    <x v="0"/>
    <n v="246000"/>
    <n v="125000"/>
    <n v="240000"/>
    <s v="San Francisco"/>
    <x v="0"/>
    <s v="Hybrid"/>
    <s v="Startup (1-50)"/>
    <x v="4"/>
    <s v="Control Systems|Computer Vision|Simulation|C++|Python|Statistics"/>
    <n v="12.2"/>
    <x v="15"/>
    <x v="363"/>
    <n v="6.9"/>
    <x v="1"/>
    <n v="7"/>
    <n v="1"/>
    <x v="1"/>
    <x v="1"/>
    <s v="Senior ($200-300k)"/>
  </r>
  <r>
    <x v="1340"/>
    <x v="9"/>
    <x v="0"/>
    <x v="1"/>
    <x v="9"/>
    <x v="4"/>
    <n v="137000"/>
    <n v="120000"/>
    <n v="280000"/>
    <s v="Beijing"/>
    <x v="6"/>
    <s v="Fully Remote"/>
    <s v="Enterprise (5000+)"/>
    <x v="8"/>
    <s v="MLOps|PyTorch|Python|TensorFlow|Communication|Cloud"/>
    <n v="11"/>
    <x v="8"/>
    <x v="540"/>
    <n v="6.4"/>
    <x v="0"/>
    <n v="3"/>
    <n v="1"/>
    <x v="1"/>
    <x v="1"/>
    <s v="Mid ($100-150k)"/>
  </r>
  <r>
    <x v="1341"/>
    <x v="5"/>
    <x v="3"/>
    <x v="1"/>
    <x v="6"/>
    <x v="0"/>
    <n v="305000"/>
    <n v="140000"/>
    <n v="260000"/>
    <s v="Singapore"/>
    <x v="2"/>
    <s v="Hybrid"/>
    <s v="Enterprise (5000+)"/>
    <x v="1"/>
    <s v="Cybersecurity|ML Security|Risk Analysis|Red Teaming|Python|Communication|Leadership|Problem Solving"/>
    <n v="12.5"/>
    <x v="5"/>
    <x v="84"/>
    <n v="8.1"/>
    <x v="1"/>
    <n v="3"/>
    <n v="1"/>
    <x v="1"/>
    <x v="1"/>
    <s v="Elite (&gt;$300k)"/>
  </r>
  <r>
    <x v="1342"/>
    <x v="2"/>
    <x v="0"/>
    <x v="0"/>
    <x v="2"/>
    <x v="0"/>
    <n v="340000"/>
    <n v="160000"/>
    <n v="300000"/>
    <s v="Chicago"/>
    <x v="0"/>
    <s v="Fully Remote"/>
    <s v="Enterprise (5000+)"/>
    <x v="5"/>
    <s v="RAG|Prompt Engineering|Fine-tuning|LLM APIs|Vector DBs|Python|Leadership|SQL"/>
    <n v="3.6"/>
    <x v="2"/>
    <x v="322"/>
    <n v="8.1"/>
    <x v="0"/>
    <n v="1"/>
    <n v="1"/>
    <x v="1"/>
    <x v="0"/>
    <s v="Elite (&gt;$300k)"/>
  </r>
  <r>
    <x v="1343"/>
    <x v="15"/>
    <x v="0"/>
    <x v="1"/>
    <x v="1"/>
    <x v="3"/>
    <n v="196000"/>
    <n v="145000"/>
    <n v="280000"/>
    <s v="Dubai"/>
    <x v="8"/>
    <s v="On-site"/>
    <s v="Startup (1-50)"/>
    <x v="4"/>
    <s v="Search Systems|LLMs|LangChain|Python|Problem Solving|Linux"/>
    <n v="3.7"/>
    <x v="14"/>
    <x v="183"/>
    <n v="8.4"/>
    <x v="1"/>
    <n v="11"/>
    <n v="1"/>
    <x v="0"/>
    <x v="0"/>
    <s v="Upper-Mid ($150-200k)"/>
  </r>
  <r>
    <x v="1344"/>
    <x v="23"/>
    <x v="9"/>
    <x v="0"/>
    <x v="10"/>
    <x v="2"/>
    <n v="171000"/>
    <n v="100000"/>
    <n v="200000"/>
    <s v="London"/>
    <x v="1"/>
    <s v="Hybrid"/>
    <s v="Big Tech (FAANG+)"/>
    <x v="4"/>
    <s v="Legal Knowledge|Documentation|Risk Management|Auditing|SQL|Research|Problem Solving"/>
    <n v="15.3"/>
    <x v="19"/>
    <x v="1"/>
    <n v="9"/>
    <x v="1"/>
    <n v="5"/>
    <n v="1"/>
    <x v="1"/>
    <x v="1"/>
    <s v="Upper-Mid ($150-200k)"/>
  </r>
  <r>
    <x v="1345"/>
    <x v="7"/>
    <x v="0"/>
    <x v="1"/>
    <x v="9"/>
    <x v="3"/>
    <n v="274000"/>
    <n v="145000"/>
    <n v="290000"/>
    <s v="Amsterdam"/>
    <x v="9"/>
    <s v="Fully Remote"/>
    <s v="Big Tech (FAANG+)"/>
    <x v="3"/>
    <s v="Transformers|Python|BERT|LLMs|Research"/>
    <n v="7.9"/>
    <x v="6"/>
    <x v="541"/>
    <n v="6.4"/>
    <x v="1"/>
    <n v="10"/>
    <n v="1"/>
    <x v="1"/>
    <x v="1"/>
    <s v="Senior ($200-300k)"/>
  </r>
  <r>
    <x v="1346"/>
    <x v="8"/>
    <x v="4"/>
    <x v="2"/>
    <x v="11"/>
    <x v="1"/>
    <n v="180000"/>
    <n v="180000"/>
    <n v="320000"/>
    <s v="Zurich"/>
    <x v="13"/>
    <s v="Hybrid"/>
    <s v="Startup (1-50)"/>
    <x v="7"/>
    <s v="Python|Enterprise Architecture|Cloud|Leadership|ML|Git"/>
    <n v="13.4"/>
    <x v="7"/>
    <x v="289"/>
    <n v="7.3"/>
    <x v="1"/>
    <n v="9"/>
    <n v="0"/>
    <x v="1"/>
    <x v="1"/>
    <s v="Upper-Mid ($150-200k)"/>
  </r>
  <r>
    <x v="1347"/>
    <x v="4"/>
    <x v="2"/>
    <x v="2"/>
    <x v="9"/>
    <x v="0"/>
    <n v="140000"/>
    <n v="140000"/>
    <n v="260000"/>
    <s v="Sydney"/>
    <x v="11"/>
    <s v="Hybrid"/>
    <s v="Mid-size (501-5000)"/>
    <x v="11"/>
    <s v="Agile|Stakeholder Mgmt|Product Strategy|AI Literacy|Data Analysis|Statistics|Research|Communication"/>
    <n v="9.5"/>
    <x v="4"/>
    <x v="137"/>
    <n v="8"/>
    <x v="0"/>
    <n v="2"/>
    <n v="0"/>
    <x v="1"/>
    <x v="1"/>
    <s v="Mid ($100-150k)"/>
  </r>
  <r>
    <x v="1348"/>
    <x v="16"/>
    <x v="7"/>
    <x v="0"/>
    <x v="0"/>
    <x v="3"/>
    <n v="288000"/>
    <n v="125000"/>
    <n v="240000"/>
    <s v="San Francisco"/>
    <x v="0"/>
    <s v="Fully Remote"/>
    <s v="Big Tech (FAANG+)"/>
    <x v="10"/>
    <s v="C++|Control Systems|ROS|Simulation|Python|Computer Vision|Linux"/>
    <n v="10.6"/>
    <x v="15"/>
    <x v="362"/>
    <n v="9"/>
    <x v="0"/>
    <n v="1"/>
    <n v="1"/>
    <x v="1"/>
    <x v="1"/>
    <s v="Senior ($200-300k)"/>
  </r>
  <r>
    <x v="1349"/>
    <x v="11"/>
    <x v="0"/>
    <x v="2"/>
    <x v="2"/>
    <x v="4"/>
    <n v="141000"/>
    <n v="141000"/>
    <n v="270000"/>
    <s v="Paris"/>
    <x v="10"/>
    <s v="Fully Remote"/>
    <s v="Enterprise (5000+)"/>
    <x v="8"/>
    <s v="Neural Networks|GPU Computing|CUDA|TensorFlow|Python|Research|Problem Solving"/>
    <n v="8.6999999999999993"/>
    <x v="10"/>
    <x v="27"/>
    <n v="7.1"/>
    <x v="0"/>
    <n v="3"/>
    <n v="0"/>
    <x v="1"/>
    <x v="1"/>
    <s v="Mid ($100-150k)"/>
  </r>
  <r>
    <x v="1350"/>
    <x v="4"/>
    <x v="2"/>
    <x v="2"/>
    <x v="0"/>
    <x v="2"/>
    <n v="140000"/>
    <n v="140000"/>
    <n v="260000"/>
    <s v="Bangalore"/>
    <x v="4"/>
    <s v="Fully Remote"/>
    <s v="Mid-size (501-5000)"/>
    <x v="11"/>
    <s v="Stakeholder Mgmt|Agile|Product Strategy|Data Analysis|SQL|Communication"/>
    <n v="9"/>
    <x v="4"/>
    <x v="536"/>
    <n v="7.3"/>
    <x v="0"/>
    <n v="3"/>
    <n v="0"/>
    <x v="1"/>
    <x v="1"/>
    <s v="Mid ($100-150k)"/>
  </r>
  <r>
    <x v="1351"/>
    <x v="9"/>
    <x v="0"/>
    <x v="2"/>
    <x v="0"/>
    <x v="3"/>
    <n v="150000"/>
    <n v="120000"/>
    <n v="280000"/>
    <s v="Boston"/>
    <x v="0"/>
    <s v="Hybrid"/>
    <s v="Enterprise (5000+)"/>
    <x v="4"/>
    <s v="MLOps|Kubernetes|SQL|Problem Solving|Linux|Statistics"/>
    <n v="12"/>
    <x v="8"/>
    <x v="542"/>
    <n v="6.4"/>
    <x v="0"/>
    <n v="3"/>
    <n v="0"/>
    <x v="1"/>
    <x v="1"/>
    <s v="Mid ($100-150k)"/>
  </r>
  <r>
    <x v="1352"/>
    <x v="23"/>
    <x v="9"/>
    <x v="1"/>
    <x v="8"/>
    <x v="3"/>
    <n v="214000"/>
    <n v="100000"/>
    <n v="200000"/>
    <s v="London"/>
    <x v="1"/>
    <s v="Hybrid"/>
    <s v="Big Tech (FAANG+)"/>
    <x v="11"/>
    <s v="Risk Management|Legal Knowledge|Auditing|EU AI Act|Statistics|Leadership"/>
    <n v="12.9"/>
    <x v="19"/>
    <x v="21"/>
    <n v="6.5"/>
    <x v="0"/>
    <n v="2"/>
    <n v="1"/>
    <x v="1"/>
    <x v="1"/>
    <s v="Senior ($200-300k)"/>
  </r>
  <r>
    <x v="1353"/>
    <x v="23"/>
    <x v="9"/>
    <x v="3"/>
    <x v="8"/>
    <x v="4"/>
    <n v="179000"/>
    <n v="100000"/>
    <n v="200000"/>
    <s v="Seattle"/>
    <x v="0"/>
    <s v="Hybrid"/>
    <s v="SME (51-500)"/>
    <x v="5"/>
    <s v="EU AI Act|Auditing|Risk Management|Legal Knowledge|Documentation|Research|Agile|Linux"/>
    <n v="17.8"/>
    <x v="19"/>
    <x v="543"/>
    <n v="7.5"/>
    <x v="0"/>
    <n v="1"/>
    <n v="0"/>
    <x v="1"/>
    <x v="1"/>
    <s v="Upper-Mid ($150-200k)"/>
  </r>
  <r>
    <x v="1354"/>
    <x v="4"/>
    <x v="2"/>
    <x v="1"/>
    <x v="2"/>
    <x v="3"/>
    <n v="312000"/>
    <n v="140000"/>
    <n v="260000"/>
    <s v="Remote"/>
    <x v="3"/>
    <s v="Hybrid"/>
    <s v="Big Tech (FAANG+)"/>
    <x v="7"/>
    <s v="Stakeholder Mgmt|Product Strategy|Agile|Data Analysis|AI Literacy|Communication|Statistics"/>
    <n v="11.6"/>
    <x v="4"/>
    <x v="142"/>
    <n v="7.5"/>
    <x v="1"/>
    <n v="3"/>
    <n v="1"/>
    <x v="1"/>
    <x v="1"/>
    <s v="Elite (&gt;$300k)"/>
  </r>
  <r>
    <x v="1355"/>
    <x v="4"/>
    <x v="2"/>
    <x v="3"/>
    <x v="8"/>
    <x v="3"/>
    <n v="191000"/>
    <n v="140000"/>
    <n v="260000"/>
    <s v="Chicago"/>
    <x v="0"/>
    <s v="On-site"/>
    <s v="Enterprise (5000+)"/>
    <x v="7"/>
    <s v="Product Strategy|AI Literacy|Stakeholder Mgmt|Agile|Data Analysis|Git|Problem Solving|Linux"/>
    <n v="10"/>
    <x v="4"/>
    <x v="77"/>
    <n v="6.3"/>
    <x v="0"/>
    <n v="1"/>
    <n v="0"/>
    <x v="0"/>
    <x v="1"/>
    <s v="Upper-Mid ($150-200k)"/>
  </r>
  <r>
    <x v="1356"/>
    <x v="4"/>
    <x v="2"/>
    <x v="2"/>
    <x v="10"/>
    <x v="1"/>
    <n v="153000"/>
    <n v="140000"/>
    <n v="260000"/>
    <s v="Chicago"/>
    <x v="0"/>
    <s v="Hybrid"/>
    <s v="Enterprise (5000+)"/>
    <x v="7"/>
    <s v="Data Analysis|AI Literacy|Agile|Stakeholder Mgmt|Product Strategy|Research|Agile"/>
    <n v="11.8"/>
    <x v="4"/>
    <x v="305"/>
    <n v="6.8"/>
    <x v="1"/>
    <n v="6"/>
    <n v="0"/>
    <x v="1"/>
    <x v="1"/>
    <s v="Upper-Mid ($150-200k)"/>
  </r>
  <r>
    <x v="1357"/>
    <x v="22"/>
    <x v="0"/>
    <x v="2"/>
    <x v="6"/>
    <x v="2"/>
    <n v="145000"/>
    <n v="145000"/>
    <n v="280000"/>
    <s v="Paris"/>
    <x v="10"/>
    <s v="Hybrid"/>
    <s v="Startup (1-50)"/>
    <x v="1"/>
    <s v="OpenCV|CNNs|Image Processing|Leadership"/>
    <n v="4"/>
    <x v="18"/>
    <x v="399"/>
    <n v="9.1"/>
    <x v="0"/>
    <n v="1"/>
    <n v="0"/>
    <x v="1"/>
    <x v="1"/>
    <s v="Mid ($100-150k)"/>
  </r>
  <r>
    <x v="1358"/>
    <x v="19"/>
    <x v="10"/>
    <x v="1"/>
    <x v="9"/>
    <x v="3"/>
    <n v="140000"/>
    <n v="140000"/>
    <n v="270000"/>
    <s v="Bangalore"/>
    <x v="4"/>
    <s v="Hybrid"/>
    <s v="SME (51-500)"/>
    <x v="3"/>
    <s v="Storage|CUDA|Distributed Systems|Agile"/>
    <n v="9.6999999999999993"/>
    <x v="4"/>
    <x v="62"/>
    <n v="7"/>
    <x v="0"/>
    <n v="1"/>
    <n v="1"/>
    <x v="1"/>
    <x v="1"/>
    <s v="Mid ($100-150k)"/>
  </r>
  <r>
    <x v="1359"/>
    <x v="7"/>
    <x v="0"/>
    <x v="2"/>
    <x v="10"/>
    <x v="1"/>
    <n v="145000"/>
    <n v="145000"/>
    <n v="290000"/>
    <s v="Toronto"/>
    <x v="7"/>
    <s v="Hybrid"/>
    <s v="Mid-size (501-5000)"/>
    <x v="10"/>
    <s v="Hugging Face|Transformers|LLMs|Python|SQL"/>
    <n v="8.4"/>
    <x v="6"/>
    <x v="544"/>
    <n v="7.8"/>
    <x v="0"/>
    <n v="3"/>
    <n v="0"/>
    <x v="1"/>
    <x v="1"/>
    <s v="Mid ($100-150k)"/>
  </r>
  <r>
    <x v="1360"/>
    <x v="14"/>
    <x v="6"/>
    <x v="1"/>
    <x v="8"/>
    <x v="3"/>
    <n v="216000"/>
    <n v="95000"/>
    <n v="180000"/>
    <s v="San Francisco"/>
    <x v="0"/>
    <s v="Hybrid"/>
    <s v="Enterprise (5000+)"/>
    <x v="5"/>
    <s v="Data Visualization|Communication|SQL|Problem Solving|Statistics|SQL"/>
    <n v="12.8"/>
    <x v="13"/>
    <x v="337"/>
    <n v="8.4"/>
    <x v="1"/>
    <n v="2"/>
    <n v="1"/>
    <x v="1"/>
    <x v="1"/>
    <s v="Senior ($200-300k)"/>
  </r>
  <r>
    <x v="1361"/>
    <x v="18"/>
    <x v="9"/>
    <x v="0"/>
    <x v="12"/>
    <x v="2"/>
    <n v="141000"/>
    <n v="110000"/>
    <n v="210000"/>
    <s v="Austin"/>
    <x v="0"/>
    <s v="Fully Remote"/>
    <s v="Startup (1-50)"/>
    <x v="3"/>
    <s v="Research|AI Policy|Ethics Frameworks|Risk Assessment|Leadership"/>
    <n v="10.199999999999999"/>
    <x v="16"/>
    <x v="543"/>
    <n v="9.1"/>
    <x v="1"/>
    <n v="5"/>
    <n v="1"/>
    <x v="1"/>
    <x v="1"/>
    <s v="Mid ($100-150k)"/>
  </r>
  <r>
    <x v="1362"/>
    <x v="0"/>
    <x v="0"/>
    <x v="0"/>
    <x v="2"/>
    <x v="2"/>
    <n v="197000"/>
    <n v="155000"/>
    <n v="290000"/>
    <s v="Toronto"/>
    <x v="7"/>
    <s v="Fully Remote"/>
    <s v="Enterprise (5000+)"/>
    <x v="8"/>
    <s v="Planning Systems|APIs|Python|SQL|Statistics"/>
    <n v="15.5"/>
    <x v="0"/>
    <x v="344"/>
    <n v="6.1"/>
    <x v="0"/>
    <n v="2"/>
    <n v="1"/>
    <x v="1"/>
    <x v="0"/>
    <s v="Upper-Mid ($150-200k)"/>
  </r>
  <r>
    <x v="1363"/>
    <x v="14"/>
    <x v="6"/>
    <x v="1"/>
    <x v="3"/>
    <x v="1"/>
    <n v="216000"/>
    <n v="95000"/>
    <n v="180000"/>
    <s v="New York"/>
    <x v="0"/>
    <s v="Fully Remote"/>
    <s v="Big Tech (FAANG+)"/>
    <x v="0"/>
    <s v="SQL|Data Visualization|Business Analysis|Communication|Leadership"/>
    <n v="11.7"/>
    <x v="13"/>
    <x v="108"/>
    <n v="6.7"/>
    <x v="0"/>
    <n v="1"/>
    <n v="1"/>
    <x v="1"/>
    <x v="1"/>
    <s v="Senior ($200-300k)"/>
  </r>
  <r>
    <x v="1364"/>
    <x v="14"/>
    <x v="6"/>
    <x v="2"/>
    <x v="1"/>
    <x v="3"/>
    <n v="95000"/>
    <n v="95000"/>
    <n v="180000"/>
    <s v="Sydney"/>
    <x v="11"/>
    <s v="Hybrid"/>
    <s v="Enterprise (5000+)"/>
    <x v="9"/>
    <s v="Python|SQL|Business Analysis|Data Visualization|Cloud|Linux|Statistics"/>
    <n v="8"/>
    <x v="13"/>
    <x v="311"/>
    <n v="7.6"/>
    <x v="0"/>
    <n v="1"/>
    <n v="0"/>
    <x v="1"/>
    <x v="1"/>
    <s v="Entry (&lt;$100k)"/>
  </r>
  <r>
    <x v="1365"/>
    <x v="16"/>
    <x v="7"/>
    <x v="0"/>
    <x v="4"/>
    <x v="4"/>
    <n v="231000"/>
    <n v="125000"/>
    <n v="240000"/>
    <s v="Dubai"/>
    <x v="8"/>
    <s v="Hybrid"/>
    <s v="Enterprise (5000+)"/>
    <x v="1"/>
    <s v="Python|C++|Simulation|Control Systems|Communication|Git"/>
    <n v="12.5"/>
    <x v="15"/>
    <x v="275"/>
    <n v="7.2"/>
    <x v="1"/>
    <n v="5"/>
    <n v="1"/>
    <x v="1"/>
    <x v="1"/>
    <s v="Senior ($200-300k)"/>
  </r>
  <r>
    <x v="1366"/>
    <x v="4"/>
    <x v="2"/>
    <x v="3"/>
    <x v="4"/>
    <x v="4"/>
    <n v="162000"/>
    <n v="140000"/>
    <n v="260000"/>
    <s v="Berlin"/>
    <x v="12"/>
    <s v="Hybrid"/>
    <s v="Enterprise (5000+)"/>
    <x v="11"/>
    <s v="Product Strategy|Stakeholder Mgmt|Data Analysis|Agile|AI Literacy|Communication|Problem Solving|Git"/>
    <n v="13.1"/>
    <x v="4"/>
    <x v="32"/>
    <n v="8.6999999999999993"/>
    <x v="0"/>
    <n v="1"/>
    <n v="0"/>
    <x v="1"/>
    <x v="1"/>
    <s v="Upper-Mid ($150-200k)"/>
  </r>
  <r>
    <x v="1367"/>
    <x v="7"/>
    <x v="0"/>
    <x v="1"/>
    <x v="10"/>
    <x v="1"/>
    <n v="325000"/>
    <n v="145000"/>
    <n v="290000"/>
    <s v="Toronto"/>
    <x v="7"/>
    <s v="Hybrid"/>
    <s v="Big Tech (FAANG+)"/>
    <x v="3"/>
    <s v="LLMs|Python|Transformers|Statistics"/>
    <n v="9.4"/>
    <x v="6"/>
    <x v="295"/>
    <n v="7.2"/>
    <x v="1"/>
    <n v="12"/>
    <n v="1"/>
    <x v="1"/>
    <x v="1"/>
    <s v="Elite (&gt;$300k)"/>
  </r>
  <r>
    <x v="1368"/>
    <x v="2"/>
    <x v="0"/>
    <x v="2"/>
    <x v="6"/>
    <x v="3"/>
    <n v="184000"/>
    <n v="160000"/>
    <n v="300000"/>
    <s v="San Francisco"/>
    <x v="0"/>
    <s v="Hybrid"/>
    <s v="Mid-size (501-5000)"/>
    <x v="3"/>
    <s v="Vector DBs|Prompt Engineering|Fine-tuning|Python|Research"/>
    <n v="3.8"/>
    <x v="2"/>
    <x v="545"/>
    <n v="8.9"/>
    <x v="0"/>
    <n v="2"/>
    <n v="0"/>
    <x v="1"/>
    <x v="0"/>
    <s v="Upper-Mid ($150-200k)"/>
  </r>
  <r>
    <x v="1369"/>
    <x v="12"/>
    <x v="0"/>
    <x v="2"/>
    <x v="4"/>
    <x v="3"/>
    <n v="160000"/>
    <n v="160000"/>
    <n v="300000"/>
    <s v="Amsterdam"/>
    <x v="9"/>
    <s v="On-site"/>
    <s v="Startup (1-50)"/>
    <x v="2"/>
    <s v="Fine-tuning|APIs|PyTorch|Python|Research"/>
    <n v="10.3"/>
    <x v="11"/>
    <x v="1"/>
    <n v="9"/>
    <x v="0"/>
    <n v="3"/>
    <n v="0"/>
    <x v="0"/>
    <x v="1"/>
    <s v="Upper-Mid ($150-200k)"/>
  </r>
  <r>
    <x v="1370"/>
    <x v="10"/>
    <x v="0"/>
    <x v="1"/>
    <x v="2"/>
    <x v="4"/>
    <n v="354000"/>
    <n v="150000"/>
    <n v="295000"/>
    <s v="Zurich"/>
    <x v="13"/>
    <s v="Fully Remote"/>
    <s v="Mid-size (501-5000)"/>
    <x v="8"/>
    <s v="Python|Fine-tuning|LLMs|SQL|Agile|Research"/>
    <n v="16.399999999999999"/>
    <x v="9"/>
    <x v="546"/>
    <n v="9.8000000000000007"/>
    <x v="1"/>
    <n v="6"/>
    <n v="1"/>
    <x v="1"/>
    <x v="0"/>
    <s v="Elite (&gt;$300k)"/>
  </r>
  <r>
    <x v="1371"/>
    <x v="13"/>
    <x v="5"/>
    <x v="2"/>
    <x v="9"/>
    <x v="3"/>
    <n v="134000"/>
    <n v="130000"/>
    <n v="260000"/>
    <s v="Chicago"/>
    <x v="0"/>
    <s v="Fully Remote"/>
    <s v="Enterprise (5000+)"/>
    <x v="5"/>
    <s v="Docker|MLflow|Cloud|CI/CD|Kubernetes|Python|Monitoring|SQL"/>
    <n v="13.8"/>
    <x v="12"/>
    <x v="493"/>
    <n v="9.3000000000000007"/>
    <x v="1"/>
    <n v="11"/>
    <n v="0"/>
    <x v="1"/>
    <x v="1"/>
    <s v="Mid ($100-150k)"/>
  </r>
  <r>
    <x v="1372"/>
    <x v="10"/>
    <x v="0"/>
    <x v="0"/>
    <x v="8"/>
    <x v="3"/>
    <n v="209000"/>
    <n v="150000"/>
    <n v="295000"/>
    <s v="Singapore"/>
    <x v="2"/>
    <s v="Hybrid"/>
    <s v="Enterprise (5000+)"/>
    <x v="2"/>
    <s v="GenAI APIs|Deployment|Diffusion Models|Fine-tuning|Python|LLMs|Statistics|Agile|SQL"/>
    <n v="14.1"/>
    <x v="9"/>
    <x v="547"/>
    <n v="8.6"/>
    <x v="0"/>
    <n v="2"/>
    <n v="1"/>
    <x v="1"/>
    <x v="0"/>
    <s v="Senior ($200-300k)"/>
  </r>
  <r>
    <x v="1373"/>
    <x v="10"/>
    <x v="0"/>
    <x v="1"/>
    <x v="0"/>
    <x v="3"/>
    <n v="209000"/>
    <n v="150000"/>
    <n v="295000"/>
    <s v="Amsterdam"/>
    <x v="9"/>
    <s v="Hybrid"/>
    <s v="Startup (1-50)"/>
    <x v="1"/>
    <s v="Deployment|Diffusion Models|Python|LLMs|Linux|Cloud|Research"/>
    <n v="16.600000000000001"/>
    <x v="9"/>
    <x v="548"/>
    <n v="9.4"/>
    <x v="0"/>
    <n v="2"/>
    <n v="1"/>
    <x v="1"/>
    <x v="0"/>
    <s v="Senior ($200-300k)"/>
  </r>
  <r>
    <x v="1374"/>
    <x v="8"/>
    <x v="4"/>
    <x v="1"/>
    <x v="13"/>
    <x v="0"/>
    <n v="384000"/>
    <n v="180000"/>
    <n v="320000"/>
    <s v="New York"/>
    <x v="0"/>
    <s v="On-site"/>
    <s v="SME (51-500)"/>
    <x v="0"/>
    <s v="Leadership|Cloud|Python|System Design|ML|Enterprise Architecture|Communication|Statistics"/>
    <n v="14"/>
    <x v="7"/>
    <x v="131"/>
    <n v="8.5"/>
    <x v="1"/>
    <n v="9"/>
    <n v="1"/>
    <x v="0"/>
    <x v="1"/>
    <s v="Elite (&gt;$300k)"/>
  </r>
  <r>
    <x v="1375"/>
    <x v="0"/>
    <x v="0"/>
    <x v="3"/>
    <x v="0"/>
    <x v="0"/>
    <n v="200000"/>
    <n v="155000"/>
    <n v="290000"/>
    <s v="Chicago"/>
    <x v="0"/>
    <s v="On-site"/>
    <s v="Mid-size (501-5000)"/>
    <x v="3"/>
    <s v="Python|LangChain|Planning Systems|AutoGen|Communication|Agile|Leadership"/>
    <n v="12"/>
    <x v="0"/>
    <x v="549"/>
    <n v="6.1"/>
    <x v="0"/>
    <n v="2"/>
    <n v="0"/>
    <x v="0"/>
    <x v="0"/>
    <s v="Upper-Mid ($150-200k)"/>
  </r>
  <r>
    <x v="1376"/>
    <x v="14"/>
    <x v="6"/>
    <x v="2"/>
    <x v="0"/>
    <x v="3"/>
    <n v="95000"/>
    <n v="95000"/>
    <n v="180000"/>
    <s v="Berlin"/>
    <x v="12"/>
    <s v="Hybrid"/>
    <s v="SME (51-500)"/>
    <x v="11"/>
    <s v="Python|Business Analysis|Communication|Cloud|Statistics|Linux"/>
    <n v="9.4"/>
    <x v="13"/>
    <x v="224"/>
    <n v="7.8"/>
    <x v="0"/>
    <n v="1"/>
    <n v="0"/>
    <x v="1"/>
    <x v="1"/>
    <s v="Entry (&lt;$100k)"/>
  </r>
  <r>
    <x v="1377"/>
    <x v="2"/>
    <x v="0"/>
    <x v="0"/>
    <x v="6"/>
    <x v="4"/>
    <n v="240000"/>
    <n v="160000"/>
    <n v="300000"/>
    <s v="Berlin"/>
    <x v="12"/>
    <s v="Fully Remote"/>
    <s v="Mid-size (501-5000)"/>
    <x v="4"/>
    <s v="LLM APIs|Python|Prompt Engineering|Fine-tuning|RAG|Linux|Statistics"/>
    <n v="9.3000000000000007"/>
    <x v="2"/>
    <x v="88"/>
    <n v="6"/>
    <x v="1"/>
    <n v="8"/>
    <n v="1"/>
    <x v="1"/>
    <x v="0"/>
    <s v="Senior ($200-300k)"/>
  </r>
  <r>
    <x v="1378"/>
    <x v="1"/>
    <x v="0"/>
    <x v="0"/>
    <x v="2"/>
    <x v="4"/>
    <n v="155000"/>
    <n v="90000"/>
    <n v="200000"/>
    <s v="Paris"/>
    <x v="10"/>
    <s v="Hybrid"/>
    <s v="SME (51-500)"/>
    <x v="8"/>
    <s v="Testing|Documentation|NLP|Python|LLM APIs|Prompt Design|Linux|SQL|Communication"/>
    <n v="3.9"/>
    <x v="1"/>
    <x v="73"/>
    <n v="9.4"/>
    <x v="0"/>
    <n v="1"/>
    <n v="1"/>
    <x v="1"/>
    <x v="0"/>
    <s v="Upper-Mid ($150-200k)"/>
  </r>
  <r>
    <x v="1379"/>
    <x v="6"/>
    <x v="0"/>
    <x v="1"/>
    <x v="0"/>
    <x v="3"/>
    <n v="180000"/>
    <n v="180000"/>
    <n v="312000"/>
    <s v="Beijing"/>
    <x v="6"/>
    <s v="Hybrid"/>
    <s v="Mid-size (501-5000)"/>
    <x v="6"/>
    <s v="LLM Fine-tuning|Distributed Systems|MLOps|Python|PyTorch|System Design|Git|Agile|Linux"/>
    <n v="16"/>
    <x v="0"/>
    <x v="128"/>
    <n v="9.1"/>
    <x v="0"/>
    <n v="3"/>
    <n v="1"/>
    <x v="1"/>
    <x v="1"/>
    <s v="Upper-Mid ($150-200k)"/>
  </r>
  <r>
    <x v="1380"/>
    <x v="14"/>
    <x v="6"/>
    <x v="0"/>
    <x v="3"/>
    <x v="1"/>
    <n v="130000"/>
    <n v="95000"/>
    <n v="180000"/>
    <s v="Sydney"/>
    <x v="11"/>
    <s v="On-site"/>
    <s v="Mid-size (501-5000)"/>
    <x v="4"/>
    <s v="Python|SQL|Communication|SQL"/>
    <n v="8.4"/>
    <x v="13"/>
    <x v="260"/>
    <n v="7.2"/>
    <x v="0"/>
    <n v="1"/>
    <n v="1"/>
    <x v="0"/>
    <x v="1"/>
    <s v="Mid ($100-150k)"/>
  </r>
  <r>
    <x v="1381"/>
    <x v="20"/>
    <x v="0"/>
    <x v="2"/>
    <x v="4"/>
    <x v="1"/>
    <n v="118000"/>
    <n v="100000"/>
    <n v="250000"/>
    <s v="Austin"/>
    <x v="0"/>
    <s v="Hybrid"/>
    <s v="SME (51-500)"/>
    <x v="5"/>
    <s v="Cloud (AWS/GCP/Azure)|Docker|LLM Integration|Python|Agile|Leadership"/>
    <n v="14.6"/>
    <x v="9"/>
    <x v="298"/>
    <n v="6.2"/>
    <x v="0"/>
    <n v="2"/>
    <n v="0"/>
    <x v="1"/>
    <x v="1"/>
    <s v="Mid ($100-150k)"/>
  </r>
  <r>
    <x v="1382"/>
    <x v="1"/>
    <x v="0"/>
    <x v="0"/>
    <x v="3"/>
    <x v="1"/>
    <n v="206000"/>
    <n v="90000"/>
    <n v="200000"/>
    <s v="Austin"/>
    <x v="0"/>
    <s v="Fully Remote"/>
    <s v="Enterprise (5000+)"/>
    <x v="2"/>
    <s v="NLP|Testing|Documentation|LLM APIs|Linux|SQL"/>
    <n v="5.8"/>
    <x v="1"/>
    <x v="160"/>
    <n v="9.5"/>
    <x v="1"/>
    <n v="12"/>
    <n v="1"/>
    <x v="1"/>
    <x v="0"/>
    <s v="Senior ($200-300k)"/>
  </r>
  <r>
    <x v="1383"/>
    <x v="16"/>
    <x v="7"/>
    <x v="2"/>
    <x v="10"/>
    <x v="2"/>
    <n v="125000"/>
    <n v="125000"/>
    <n v="240000"/>
    <s v="Los Angeles"/>
    <x v="0"/>
    <s v="Fully Remote"/>
    <s v="SME (51-500)"/>
    <x v="0"/>
    <s v="Python|Control Systems|Simulation|Computer Vision|SQL|Cloud|Problem Solving"/>
    <n v="11.4"/>
    <x v="15"/>
    <x v="261"/>
    <n v="6.6"/>
    <x v="1"/>
    <n v="8"/>
    <n v="0"/>
    <x v="1"/>
    <x v="1"/>
    <s v="Mid ($100-150k)"/>
  </r>
  <r>
    <x v="1384"/>
    <x v="6"/>
    <x v="0"/>
    <x v="0"/>
    <x v="12"/>
    <x v="2"/>
    <n v="274000"/>
    <n v="180000"/>
    <n v="312000"/>
    <s v="Berlin"/>
    <x v="12"/>
    <s v="Fully Remote"/>
    <s v="Big Tech (FAANG+)"/>
    <x v="11"/>
    <s v="Python|System Design|Distributed Systems|Git|Cloud|Research"/>
    <n v="17.8"/>
    <x v="0"/>
    <x v="550"/>
    <n v="6.1"/>
    <x v="1"/>
    <n v="2"/>
    <n v="1"/>
    <x v="1"/>
    <x v="1"/>
    <s v="Senior ($200-300k)"/>
  </r>
  <r>
    <x v="1385"/>
    <x v="14"/>
    <x v="6"/>
    <x v="2"/>
    <x v="0"/>
    <x v="2"/>
    <n v="95000"/>
    <n v="95000"/>
    <n v="180000"/>
    <s v="Austin"/>
    <x v="0"/>
    <s v="Hybrid"/>
    <s v="Startup (1-50)"/>
    <x v="11"/>
    <s v="Business Analysis|Python|SQL|Communication|Data Visualization|Research|SQL|Agile"/>
    <n v="10"/>
    <x v="13"/>
    <x v="0"/>
    <n v="7.3"/>
    <x v="1"/>
    <n v="2"/>
    <n v="0"/>
    <x v="1"/>
    <x v="1"/>
    <s v="Entry (&lt;$100k)"/>
  </r>
  <r>
    <x v="1386"/>
    <x v="4"/>
    <x v="2"/>
    <x v="0"/>
    <x v="10"/>
    <x v="1"/>
    <n v="161000"/>
    <n v="140000"/>
    <n v="260000"/>
    <s v="Tokyo"/>
    <x v="5"/>
    <s v="Fully Remote"/>
    <s v="Mid-size (501-5000)"/>
    <x v="1"/>
    <s v="Data Analysis|Agile|Product Strategy|Problem Solving|Linux"/>
    <n v="12.7"/>
    <x v="4"/>
    <x v="454"/>
    <n v="7.7"/>
    <x v="0"/>
    <n v="1"/>
    <n v="1"/>
    <x v="1"/>
    <x v="1"/>
    <s v="Upper-Mid ($150-200k)"/>
  </r>
  <r>
    <x v="1387"/>
    <x v="13"/>
    <x v="5"/>
    <x v="1"/>
    <x v="2"/>
    <x v="0"/>
    <n v="285000"/>
    <n v="130000"/>
    <n v="260000"/>
    <s v="Chicago"/>
    <x v="0"/>
    <s v="Hybrid"/>
    <s v="Mid-size (501-5000)"/>
    <x v="7"/>
    <s v="Kubernetes|Docker|MLflow|Python|Monitoring|CI/CD|Git|Linux|Agile"/>
    <n v="17.8"/>
    <x v="12"/>
    <x v="377"/>
    <n v="7.8"/>
    <x v="0"/>
    <n v="3"/>
    <n v="1"/>
    <x v="1"/>
    <x v="1"/>
    <s v="Senior ($200-300k)"/>
  </r>
  <r>
    <x v="1388"/>
    <x v="1"/>
    <x v="0"/>
    <x v="3"/>
    <x v="3"/>
    <x v="4"/>
    <n v="153000"/>
    <n v="90000"/>
    <n v="200000"/>
    <s v="Zurich"/>
    <x v="13"/>
    <s v="Hybrid"/>
    <s v="Enterprise (5000+)"/>
    <x v="9"/>
    <s v="Documentation|Python|Testing|NLP|Leadership|Research"/>
    <n v="9.1"/>
    <x v="1"/>
    <x v="248"/>
    <n v="6.4"/>
    <x v="0"/>
    <n v="3"/>
    <n v="0"/>
    <x v="1"/>
    <x v="0"/>
    <s v="Upper-Mid ($150-200k)"/>
  </r>
  <r>
    <x v="1389"/>
    <x v="13"/>
    <x v="5"/>
    <x v="2"/>
    <x v="0"/>
    <x v="0"/>
    <n v="165000"/>
    <n v="130000"/>
    <n v="260000"/>
    <s v="London"/>
    <x v="1"/>
    <s v="Hybrid"/>
    <s v="Big Tech (FAANG+)"/>
    <x v="6"/>
    <s v="Cloud|Kubernetes|Docker|SQL|Agile|Linux"/>
    <n v="16.600000000000001"/>
    <x v="12"/>
    <x v="406"/>
    <n v="8.4"/>
    <x v="0"/>
    <n v="3"/>
    <n v="0"/>
    <x v="1"/>
    <x v="1"/>
    <s v="Upper-Mid ($150-200k)"/>
  </r>
  <r>
    <x v="1390"/>
    <x v="13"/>
    <x v="5"/>
    <x v="2"/>
    <x v="8"/>
    <x v="3"/>
    <n v="228000"/>
    <n v="130000"/>
    <n v="260000"/>
    <s v="San Francisco"/>
    <x v="0"/>
    <s v="Hybrid"/>
    <s v="Big Tech (FAANG+)"/>
    <x v="3"/>
    <s v="CI/CD|Cloud|Kubernetes|Docker|Cloud"/>
    <n v="17.7"/>
    <x v="12"/>
    <x v="551"/>
    <n v="6.5"/>
    <x v="1"/>
    <n v="3"/>
    <n v="0"/>
    <x v="1"/>
    <x v="1"/>
    <s v="Senior ($200-300k)"/>
  </r>
  <r>
    <x v="1391"/>
    <x v="9"/>
    <x v="0"/>
    <x v="3"/>
    <x v="2"/>
    <x v="1"/>
    <n v="168000"/>
    <n v="120000"/>
    <n v="280000"/>
    <s v="London"/>
    <x v="1"/>
    <s v="On-site"/>
    <s v="Enterprise (5000+)"/>
    <x v="2"/>
    <s v="SQL|Python|Kubernetes|TensorFlow|PyTorch|Research"/>
    <n v="15.1"/>
    <x v="8"/>
    <x v="323"/>
    <n v="6.7"/>
    <x v="1"/>
    <n v="5"/>
    <n v="0"/>
    <x v="0"/>
    <x v="1"/>
    <s v="Upper-Mid ($150-200k)"/>
  </r>
  <r>
    <x v="1392"/>
    <x v="6"/>
    <x v="0"/>
    <x v="0"/>
    <x v="4"/>
    <x v="3"/>
    <n v="226000"/>
    <n v="180000"/>
    <n v="312000"/>
    <s v="Berlin"/>
    <x v="12"/>
    <s v="On-site"/>
    <s v="Enterprise (5000+)"/>
    <x v="2"/>
    <s v="Distributed Systems|Python|System Design|Problem Solving"/>
    <n v="11.3"/>
    <x v="0"/>
    <x v="253"/>
    <n v="8.8000000000000007"/>
    <x v="0"/>
    <n v="2"/>
    <n v="1"/>
    <x v="0"/>
    <x v="1"/>
    <s v="Senior ($200-300k)"/>
  </r>
  <r>
    <x v="1393"/>
    <x v="24"/>
    <x v="11"/>
    <x v="3"/>
    <x v="10"/>
    <x v="4"/>
    <n v="273000"/>
    <n v="115000"/>
    <n v="280000"/>
    <s v="Chicago"/>
    <x v="0"/>
    <s v="Fully Remote"/>
    <s v="Big Tech (FAANG+)"/>
    <x v="9"/>
    <s v="Deep Learning|Python|Research|Mathematics|Publishing|PyTorch|Cloud"/>
    <n v="12.6"/>
    <x v="3"/>
    <x v="401"/>
    <n v="7.5"/>
    <x v="1"/>
    <n v="12"/>
    <n v="0"/>
    <x v="1"/>
    <x v="1"/>
    <s v="Senior ($200-300k)"/>
  </r>
  <r>
    <x v="1394"/>
    <x v="11"/>
    <x v="0"/>
    <x v="2"/>
    <x v="3"/>
    <x v="2"/>
    <n v="154000"/>
    <n v="141000"/>
    <n v="270000"/>
    <s v="Austin"/>
    <x v="0"/>
    <s v="Hybrid"/>
    <s v="Big Tech (FAANG+)"/>
    <x v="10"/>
    <s v="TensorFlow|Neural Networks|GPU Computing|Python|PyTorch|CUDA|Research"/>
    <n v="8.9"/>
    <x v="10"/>
    <x v="354"/>
    <n v="7.2"/>
    <x v="0"/>
    <n v="1"/>
    <n v="0"/>
    <x v="1"/>
    <x v="1"/>
    <s v="Upper-Mid ($150-200k)"/>
  </r>
  <r>
    <x v="1395"/>
    <x v="19"/>
    <x v="10"/>
    <x v="3"/>
    <x v="8"/>
    <x v="1"/>
    <n v="140000"/>
    <n v="140000"/>
    <n v="270000"/>
    <s v="Paris"/>
    <x v="10"/>
    <s v="On-site"/>
    <s v="SME (51-500)"/>
    <x v="11"/>
    <s v="Networking|Cloud|Distributed Systems|Kubernetes|Agile|Communication"/>
    <n v="17.600000000000001"/>
    <x v="4"/>
    <x v="175"/>
    <n v="7.5"/>
    <x v="1"/>
    <n v="6"/>
    <n v="0"/>
    <x v="0"/>
    <x v="1"/>
    <s v="Mid ($100-150k)"/>
  </r>
  <r>
    <x v="1396"/>
    <x v="11"/>
    <x v="0"/>
    <x v="0"/>
    <x v="8"/>
    <x v="0"/>
    <n v="141000"/>
    <n v="141000"/>
    <n v="270000"/>
    <s v="Bangalore"/>
    <x v="4"/>
    <s v="Fully Remote"/>
    <s v="SME (51-500)"/>
    <x v="1"/>
    <s v="Neural Networks|PyTorch|GPU Computing|TensorFlow|Python|Communication"/>
    <n v="4.5999999999999996"/>
    <x v="10"/>
    <x v="53"/>
    <n v="8.4"/>
    <x v="0"/>
    <n v="1"/>
    <n v="1"/>
    <x v="1"/>
    <x v="1"/>
    <s v="Mid ($100-150k)"/>
  </r>
  <r>
    <x v="1397"/>
    <x v="9"/>
    <x v="0"/>
    <x v="1"/>
    <x v="4"/>
    <x v="4"/>
    <n v="268000"/>
    <n v="120000"/>
    <n v="280000"/>
    <s v="Chicago"/>
    <x v="0"/>
    <s v="Fully Remote"/>
    <s v="SME (51-500)"/>
    <x v="2"/>
    <s v="TensorFlow|MLOps|SQL|Python|Problem Solving|Leadership|Statistics"/>
    <n v="12.6"/>
    <x v="8"/>
    <x v="316"/>
    <n v="6.9"/>
    <x v="1"/>
    <n v="2"/>
    <n v="1"/>
    <x v="1"/>
    <x v="1"/>
    <s v="Senior ($200-300k)"/>
  </r>
  <r>
    <x v="1398"/>
    <x v="2"/>
    <x v="0"/>
    <x v="3"/>
    <x v="6"/>
    <x v="0"/>
    <n v="231000"/>
    <n v="160000"/>
    <n v="300000"/>
    <s v="New York"/>
    <x v="0"/>
    <s v="On-site"/>
    <s v="SME (51-500)"/>
    <x v="5"/>
    <s v="RAG|Python|Fine-tuning|Statistics|Leadership"/>
    <n v="7.1"/>
    <x v="2"/>
    <x v="552"/>
    <n v="8.4"/>
    <x v="0"/>
    <n v="2"/>
    <n v="0"/>
    <x v="0"/>
    <x v="0"/>
    <s v="Senior ($200-300k)"/>
  </r>
  <r>
    <x v="1399"/>
    <x v="17"/>
    <x v="8"/>
    <x v="0"/>
    <x v="8"/>
    <x v="3"/>
    <n v="193000"/>
    <n v="157000"/>
    <n v="218000"/>
    <s v="Austin"/>
    <x v="0"/>
    <s v="Fully Remote"/>
    <s v="Mid-size (501-5000)"/>
    <x v="1"/>
    <s v="Causal Inference|Leadership|Python|ML|Communication|Leadership"/>
    <n v="8.4"/>
    <x v="11"/>
    <x v="536"/>
    <n v="6.3"/>
    <x v="1"/>
    <n v="12"/>
    <n v="1"/>
    <x v="1"/>
    <x v="1"/>
    <s v="Upper-Mid ($150-200k)"/>
  </r>
  <r>
    <x v="1400"/>
    <x v="3"/>
    <x v="1"/>
    <x v="3"/>
    <x v="2"/>
    <x v="4"/>
    <n v="243000"/>
    <n v="130000"/>
    <n v="220000"/>
    <s v="San Francisco"/>
    <x v="0"/>
    <s v="Hybrid"/>
    <s v="Mid-size (501-5000)"/>
    <x v="8"/>
    <s v="dbt|Feature Stores|Airflow|Statistics"/>
    <n v="15.6"/>
    <x v="3"/>
    <x v="381"/>
    <n v="9.6"/>
    <x v="0"/>
    <n v="2"/>
    <n v="0"/>
    <x v="1"/>
    <x v="1"/>
    <s v="Senior ($200-300k)"/>
  </r>
  <r>
    <x v="1401"/>
    <x v="1"/>
    <x v="0"/>
    <x v="3"/>
    <x v="5"/>
    <x v="4"/>
    <n v="118000"/>
    <n v="90000"/>
    <n v="200000"/>
    <s v="London"/>
    <x v="1"/>
    <s v="On-site"/>
    <s v="SME (51-500)"/>
    <x v="9"/>
    <s v="Prompt Design|NLP|LLM APIs|Documentation|Testing|Python|Statistics"/>
    <n v="8.5"/>
    <x v="1"/>
    <x v="167"/>
    <n v="9.6"/>
    <x v="1"/>
    <n v="5"/>
    <n v="0"/>
    <x v="0"/>
    <x v="0"/>
    <s v="Mid ($100-150k)"/>
  </r>
  <r>
    <x v="1402"/>
    <x v="17"/>
    <x v="8"/>
    <x v="1"/>
    <x v="11"/>
    <x v="2"/>
    <n v="261600"/>
    <n v="157000"/>
    <n v="218000"/>
    <s v="New York"/>
    <x v="0"/>
    <s v="Fully Remote"/>
    <s v="Mid-size (501-5000)"/>
    <x v="1"/>
    <s v="ML|Python|Causal Inference|Deep Learning|Leadership|Advanced Statistics|Leadership"/>
    <n v="7.2"/>
    <x v="11"/>
    <x v="207"/>
    <n v="6.3"/>
    <x v="1"/>
    <n v="7"/>
    <n v="1"/>
    <x v="1"/>
    <x v="1"/>
    <s v="Senior ($200-300k)"/>
  </r>
  <r>
    <x v="1403"/>
    <x v="10"/>
    <x v="0"/>
    <x v="3"/>
    <x v="6"/>
    <x v="2"/>
    <n v="150000"/>
    <n v="150000"/>
    <n v="295000"/>
    <s v="Boston"/>
    <x v="0"/>
    <s v="Hybrid"/>
    <s v="Startup (1-50)"/>
    <x v="3"/>
    <s v="LLMs|Deployment|GenAI APIs|Agile"/>
    <n v="11.9"/>
    <x v="9"/>
    <x v="326"/>
    <n v="8"/>
    <x v="0"/>
    <n v="3"/>
    <n v="0"/>
    <x v="1"/>
    <x v="0"/>
    <s v="Mid ($100-150k)"/>
  </r>
  <r>
    <x v="1404"/>
    <x v="18"/>
    <x v="9"/>
    <x v="2"/>
    <x v="9"/>
    <x v="2"/>
    <n v="110000"/>
    <n v="110000"/>
    <n v="210000"/>
    <s v="Tokyo"/>
    <x v="5"/>
    <s v="Fully Remote"/>
    <s v="Mid-size (501-5000)"/>
    <x v="3"/>
    <s v="Research|AI Policy|Risk Assessment|Communication|Problem Solving|Cloud|Statistics"/>
    <n v="13.4"/>
    <x v="16"/>
    <x v="37"/>
    <n v="7.8"/>
    <x v="0"/>
    <n v="1"/>
    <n v="0"/>
    <x v="1"/>
    <x v="1"/>
    <s v="Mid ($100-150k)"/>
  </r>
  <r>
    <x v="1405"/>
    <x v="18"/>
    <x v="9"/>
    <x v="3"/>
    <x v="12"/>
    <x v="1"/>
    <n v="170000"/>
    <n v="110000"/>
    <n v="210000"/>
    <s v="Austin"/>
    <x v="0"/>
    <s v="Hybrid"/>
    <s v="Enterprise (5000+)"/>
    <x v="4"/>
    <s v="Ethics Frameworks|Communication|AI Policy|Communication|Research|Problem Solving"/>
    <n v="8.1999999999999993"/>
    <x v="16"/>
    <x v="70"/>
    <n v="8.8000000000000007"/>
    <x v="0"/>
    <n v="1"/>
    <n v="0"/>
    <x v="1"/>
    <x v="1"/>
    <s v="Upper-Mid ($150-200k)"/>
  </r>
  <r>
    <x v="1406"/>
    <x v="16"/>
    <x v="7"/>
    <x v="1"/>
    <x v="6"/>
    <x v="2"/>
    <n v="154000"/>
    <n v="125000"/>
    <n v="240000"/>
    <s v="London"/>
    <x v="1"/>
    <s v="Hybrid"/>
    <s v="Startup (1-50)"/>
    <x v="2"/>
    <s v="Simulation|C++|Control Systems|Problem Solving|Leadership"/>
    <n v="16.899999999999999"/>
    <x v="15"/>
    <x v="259"/>
    <n v="7.8"/>
    <x v="0"/>
    <n v="2"/>
    <n v="1"/>
    <x v="1"/>
    <x v="1"/>
    <s v="Upper-Mid ($150-200k)"/>
  </r>
  <r>
    <x v="1407"/>
    <x v="2"/>
    <x v="0"/>
    <x v="1"/>
    <x v="6"/>
    <x v="3"/>
    <n v="334000"/>
    <n v="160000"/>
    <n v="300000"/>
    <s v="Dubai"/>
    <x v="8"/>
    <s v="Hybrid"/>
    <s v="Big Tech (FAANG+)"/>
    <x v="4"/>
    <s v="RAG|Python|Prompt Engineering|LLM APIs|Fine-tuning|Cloud|SQL"/>
    <n v="8.6"/>
    <x v="2"/>
    <x v="553"/>
    <n v="6.8"/>
    <x v="1"/>
    <n v="2"/>
    <n v="1"/>
    <x v="1"/>
    <x v="0"/>
    <s v="Elite (&gt;$300k)"/>
  </r>
  <r>
    <x v="1408"/>
    <x v="5"/>
    <x v="3"/>
    <x v="3"/>
    <x v="3"/>
    <x v="2"/>
    <n v="219000"/>
    <n v="140000"/>
    <n v="260000"/>
    <s v="New York"/>
    <x v="0"/>
    <s v="Fully Remote"/>
    <s v="Enterprise (5000+)"/>
    <x v="5"/>
    <s v="Cybersecurity|ML Security|Red Teaming|Python|Risk Analysis|Communication|Problem Solving"/>
    <n v="12.8"/>
    <x v="5"/>
    <x v="385"/>
    <n v="8.6"/>
    <x v="1"/>
    <n v="8"/>
    <n v="0"/>
    <x v="1"/>
    <x v="1"/>
    <s v="Senior ($200-300k)"/>
  </r>
  <r>
    <x v="1409"/>
    <x v="19"/>
    <x v="10"/>
    <x v="2"/>
    <x v="9"/>
    <x v="2"/>
    <n v="140000"/>
    <n v="140000"/>
    <n v="270000"/>
    <s v="Tokyo"/>
    <x v="5"/>
    <s v="Hybrid"/>
    <s v="Enterprise (5000+)"/>
    <x v="9"/>
    <s v="Cloud|CUDA|Storage|Distributed Systems|Kubernetes|Networking|Git"/>
    <n v="8.6"/>
    <x v="4"/>
    <x v="25"/>
    <n v="9.6"/>
    <x v="1"/>
    <n v="6"/>
    <n v="0"/>
    <x v="1"/>
    <x v="1"/>
    <s v="Mid ($100-150k)"/>
  </r>
  <r>
    <x v="1410"/>
    <x v="20"/>
    <x v="0"/>
    <x v="0"/>
    <x v="8"/>
    <x v="2"/>
    <n v="224000"/>
    <n v="100000"/>
    <n v="250000"/>
    <s v="New York"/>
    <x v="0"/>
    <s v="Hybrid"/>
    <s v="Mid-size (501-5000)"/>
    <x v="9"/>
    <s v="Python|LLM Integration|Cloud (AWS/GCP/Azure)|PyTorch|Docker|Research|Communication|Problem Solving"/>
    <n v="9"/>
    <x v="9"/>
    <x v="554"/>
    <n v="6.8"/>
    <x v="0"/>
    <n v="2"/>
    <n v="1"/>
    <x v="1"/>
    <x v="1"/>
    <s v="Senior ($200-300k)"/>
  </r>
  <r>
    <x v="1411"/>
    <x v="7"/>
    <x v="0"/>
    <x v="2"/>
    <x v="2"/>
    <x v="1"/>
    <n v="145000"/>
    <n v="145000"/>
    <n v="290000"/>
    <s v="Dubai"/>
    <x v="8"/>
    <s v="Fully Remote"/>
    <s v="SME (51-500)"/>
    <x v="8"/>
    <s v="Transformers|BERT|Text Processing|Hugging Face|LLMs|Communication|SQL|Research"/>
    <n v="4.9000000000000004"/>
    <x v="6"/>
    <x v="555"/>
    <n v="8.1999999999999993"/>
    <x v="0"/>
    <n v="2"/>
    <n v="0"/>
    <x v="1"/>
    <x v="1"/>
    <s v="Mid ($100-150k)"/>
  </r>
  <r>
    <x v="1412"/>
    <x v="4"/>
    <x v="2"/>
    <x v="1"/>
    <x v="0"/>
    <x v="0"/>
    <n v="254000"/>
    <n v="140000"/>
    <n v="260000"/>
    <s v="Berlin"/>
    <x v="12"/>
    <s v="Hybrid"/>
    <s v="Enterprise (5000+)"/>
    <x v="9"/>
    <s v="AI Literacy|Stakeholder Mgmt|Product Strategy|Data Analysis|Agile|Statistics"/>
    <n v="11.3"/>
    <x v="4"/>
    <x v="36"/>
    <n v="6"/>
    <x v="1"/>
    <n v="1"/>
    <n v="1"/>
    <x v="1"/>
    <x v="1"/>
    <s v="Senior ($200-300k)"/>
  </r>
  <r>
    <x v="1413"/>
    <x v="17"/>
    <x v="8"/>
    <x v="2"/>
    <x v="12"/>
    <x v="4"/>
    <n v="157000"/>
    <n v="157000"/>
    <n v="218000"/>
    <s v="London"/>
    <x v="1"/>
    <s v="On-site"/>
    <s v="Mid-size (501-5000)"/>
    <x v="7"/>
    <s v="Python|Advanced Statistics|Causal Inference|Leadership|Deep Learning|ML|Git|Leadership"/>
    <n v="9"/>
    <x v="11"/>
    <x v="275"/>
    <n v="6"/>
    <x v="1"/>
    <n v="7"/>
    <n v="0"/>
    <x v="0"/>
    <x v="1"/>
    <s v="Upper-Mid ($150-200k)"/>
  </r>
  <r>
    <x v="1414"/>
    <x v="1"/>
    <x v="0"/>
    <x v="2"/>
    <x v="1"/>
    <x v="0"/>
    <n v="166000"/>
    <n v="90000"/>
    <n v="200000"/>
    <s v="New York"/>
    <x v="0"/>
    <s v="On-site"/>
    <s v="Big Tech (FAANG+)"/>
    <x v="3"/>
    <s v="Testing|Documentation|Python|LLM APIs|NLP|Prompt Design|Leadership|Cloud|Communication"/>
    <n v="4"/>
    <x v="1"/>
    <x v="10"/>
    <n v="7.2"/>
    <x v="0"/>
    <n v="2"/>
    <n v="0"/>
    <x v="0"/>
    <x v="0"/>
    <s v="Upper-Mid ($150-200k)"/>
  </r>
  <r>
    <x v="1415"/>
    <x v="13"/>
    <x v="5"/>
    <x v="2"/>
    <x v="4"/>
    <x v="0"/>
    <n v="130000"/>
    <n v="130000"/>
    <n v="260000"/>
    <s v="Paris"/>
    <x v="10"/>
    <s v="Hybrid"/>
    <s v="SME (51-500)"/>
    <x v="0"/>
    <s v="Kubernetes|Docker|MLflow|CI/CD|Python|Monitoring|Cloud|Communication|Research"/>
    <n v="8.4"/>
    <x v="12"/>
    <x v="556"/>
    <n v="9.1999999999999993"/>
    <x v="0"/>
    <n v="3"/>
    <n v="0"/>
    <x v="1"/>
    <x v="1"/>
    <s v="Mid ($100-150k)"/>
  </r>
  <r>
    <x v="1416"/>
    <x v="9"/>
    <x v="0"/>
    <x v="1"/>
    <x v="0"/>
    <x v="2"/>
    <n v="298000"/>
    <n v="120000"/>
    <n v="280000"/>
    <s v="Austin"/>
    <x v="0"/>
    <s v="On-site"/>
    <s v="Enterprise (5000+)"/>
    <x v="0"/>
    <s v="Kubernetes|PyTorch|MLOps|Cloud"/>
    <n v="12.5"/>
    <x v="8"/>
    <x v="557"/>
    <n v="6.4"/>
    <x v="0"/>
    <n v="3"/>
    <n v="1"/>
    <x v="0"/>
    <x v="1"/>
    <s v="Senior ($200-300k)"/>
  </r>
  <r>
    <x v="1417"/>
    <x v="21"/>
    <x v="8"/>
    <x v="3"/>
    <x v="4"/>
    <x v="4"/>
    <n v="234000"/>
    <n v="138000"/>
    <n v="195000"/>
    <s v="Boston"/>
    <x v="0"/>
    <s v="On-site"/>
    <s v="Big Tech (FAANG+)"/>
    <x v="1"/>
    <s v="SQL|Scikit-learn|Data Visualization|ML Algorithms|Communication|Agile|Git"/>
    <n v="3.5"/>
    <x v="17"/>
    <x v="197"/>
    <n v="8.9"/>
    <x v="0"/>
    <n v="1"/>
    <n v="0"/>
    <x v="0"/>
    <x v="1"/>
    <s v="Senior ($200-300k)"/>
  </r>
  <r>
    <x v="1418"/>
    <x v="16"/>
    <x v="7"/>
    <x v="2"/>
    <x v="8"/>
    <x v="4"/>
    <n v="175000"/>
    <n v="125000"/>
    <n v="240000"/>
    <s v="Boston"/>
    <x v="0"/>
    <s v="On-site"/>
    <s v="Mid-size (501-5000)"/>
    <x v="5"/>
    <s v="C++|ROS|Computer Vision|Simulation|SQL|Agile|Leadership"/>
    <n v="11.6"/>
    <x v="15"/>
    <x v="558"/>
    <n v="8.8000000000000007"/>
    <x v="0"/>
    <n v="2"/>
    <n v="0"/>
    <x v="0"/>
    <x v="1"/>
    <s v="Upper-Mid ($150-200k)"/>
  </r>
  <r>
    <x v="1419"/>
    <x v="8"/>
    <x v="4"/>
    <x v="1"/>
    <x v="8"/>
    <x v="2"/>
    <n v="309000"/>
    <n v="180000"/>
    <n v="320000"/>
    <s v="Boston"/>
    <x v="0"/>
    <s v="Fully Remote"/>
    <s v="Mid-size (501-5000)"/>
    <x v="9"/>
    <s v="System Design|ML|Leadership|Cloud|Statistics|Research"/>
    <n v="9.5"/>
    <x v="7"/>
    <x v="467"/>
    <n v="9.6999999999999993"/>
    <x v="0"/>
    <n v="1"/>
    <n v="1"/>
    <x v="1"/>
    <x v="1"/>
    <s v="Elite (&gt;$300k)"/>
  </r>
  <r>
    <x v="1420"/>
    <x v="8"/>
    <x v="4"/>
    <x v="3"/>
    <x v="13"/>
    <x v="0"/>
    <n v="180000"/>
    <n v="180000"/>
    <n v="320000"/>
    <s v="Berlin"/>
    <x v="12"/>
    <s v="Fully Remote"/>
    <s v="Startup (1-50)"/>
    <x v="0"/>
    <s v="ML|Leadership|Python|System Design|Enterprise Architecture|Problem Solving"/>
    <n v="11.9"/>
    <x v="7"/>
    <x v="61"/>
    <n v="8.3000000000000007"/>
    <x v="1"/>
    <n v="11"/>
    <n v="0"/>
    <x v="1"/>
    <x v="1"/>
    <s v="Upper-Mid ($150-200k)"/>
  </r>
  <r>
    <x v="1421"/>
    <x v="2"/>
    <x v="0"/>
    <x v="2"/>
    <x v="3"/>
    <x v="3"/>
    <n v="160000"/>
    <n v="160000"/>
    <n v="300000"/>
    <s v="Paris"/>
    <x v="10"/>
    <s v="Hybrid"/>
    <s v="Startup (1-50)"/>
    <x v="0"/>
    <s v="RAG|Fine-tuning|LLM APIs|Python|Prompt Engineering|Vector DBs|Cloud|Communication"/>
    <n v="3.3"/>
    <x v="2"/>
    <x v="160"/>
    <n v="8"/>
    <x v="0"/>
    <n v="2"/>
    <n v="0"/>
    <x v="1"/>
    <x v="0"/>
    <s v="Upper-Mid ($150-200k)"/>
  </r>
  <r>
    <x v="1422"/>
    <x v="13"/>
    <x v="5"/>
    <x v="3"/>
    <x v="3"/>
    <x v="4"/>
    <n v="130000"/>
    <n v="130000"/>
    <n v="260000"/>
    <s v="Amsterdam"/>
    <x v="9"/>
    <s v="Hybrid"/>
    <s v="Startup (1-50)"/>
    <x v="10"/>
    <s v="Docker|Python|Monitoring|Cloud|Kubernetes|CI/CD|Cloud|Research|Agile"/>
    <n v="14.4"/>
    <x v="12"/>
    <x v="155"/>
    <n v="8"/>
    <x v="1"/>
    <n v="5"/>
    <n v="0"/>
    <x v="1"/>
    <x v="1"/>
    <s v="Mid ($100-150k)"/>
  </r>
  <r>
    <x v="1423"/>
    <x v="5"/>
    <x v="3"/>
    <x v="2"/>
    <x v="2"/>
    <x v="0"/>
    <n v="178000"/>
    <n v="140000"/>
    <n v="260000"/>
    <s v="Seattle"/>
    <x v="0"/>
    <s v="Hybrid"/>
    <s v="Enterprise (5000+)"/>
    <x v="5"/>
    <s v="Cybersecurity|Red Teaming|ML Security|Git"/>
    <n v="17.600000000000001"/>
    <x v="5"/>
    <x v="137"/>
    <n v="8.5"/>
    <x v="1"/>
    <n v="5"/>
    <n v="0"/>
    <x v="1"/>
    <x v="1"/>
    <s v="Upper-Mid ($150-200k)"/>
  </r>
  <r>
    <x v="1424"/>
    <x v="15"/>
    <x v="0"/>
    <x v="2"/>
    <x v="1"/>
    <x v="3"/>
    <n v="145000"/>
    <n v="145000"/>
    <n v="280000"/>
    <s v="Los Angeles"/>
    <x v="0"/>
    <s v="Hybrid"/>
    <s v="SME (51-500)"/>
    <x v="6"/>
    <s v="Embeddings|Python|LangChain|SQL"/>
    <n v="4.2"/>
    <x v="14"/>
    <x v="197"/>
    <n v="7.1"/>
    <x v="1"/>
    <n v="6"/>
    <n v="0"/>
    <x v="1"/>
    <x v="0"/>
    <s v="Mid ($100-150k)"/>
  </r>
  <r>
    <x v="1425"/>
    <x v="4"/>
    <x v="2"/>
    <x v="1"/>
    <x v="4"/>
    <x v="4"/>
    <n v="140000"/>
    <n v="140000"/>
    <n v="260000"/>
    <s v="Bangalore"/>
    <x v="4"/>
    <s v="Fully Remote"/>
    <s v="Enterprise (5000+)"/>
    <x v="11"/>
    <s v="Data Analysis|Stakeholder Mgmt|Agile|AI Literacy|Product Strategy|Linux|Communication"/>
    <n v="12.8"/>
    <x v="4"/>
    <x v="55"/>
    <n v="9.1"/>
    <x v="0"/>
    <n v="2"/>
    <n v="1"/>
    <x v="1"/>
    <x v="1"/>
    <s v="Mid ($100-150k)"/>
  </r>
  <r>
    <x v="1426"/>
    <x v="7"/>
    <x v="0"/>
    <x v="0"/>
    <x v="4"/>
    <x v="2"/>
    <n v="255000"/>
    <n v="145000"/>
    <n v="290000"/>
    <s v="San Francisco"/>
    <x v="0"/>
    <s v="On-site"/>
    <s v="Startup (1-50)"/>
    <x v="2"/>
    <s v="Text Processing|LLMs|BERT|Python|Transformers|Hugging Face|Problem Solving|Research|Leadership"/>
    <n v="6.2"/>
    <x v="6"/>
    <x v="406"/>
    <n v="9.3000000000000007"/>
    <x v="0"/>
    <n v="3"/>
    <n v="1"/>
    <x v="0"/>
    <x v="1"/>
    <s v="Senior ($200-300k)"/>
  </r>
  <r>
    <x v="1427"/>
    <x v="17"/>
    <x v="8"/>
    <x v="1"/>
    <x v="6"/>
    <x v="0"/>
    <n v="261600"/>
    <n v="157000"/>
    <n v="218000"/>
    <s v="Berlin"/>
    <x v="12"/>
    <s v="Hybrid"/>
    <s v="Big Tech (FAANG+)"/>
    <x v="10"/>
    <s v="Deep Learning|ML|Causal Inference|Leadership|Python|Linux|Research|Cloud"/>
    <n v="3.6"/>
    <x v="11"/>
    <x v="50"/>
    <n v="9.8000000000000007"/>
    <x v="0"/>
    <n v="2"/>
    <n v="1"/>
    <x v="1"/>
    <x v="1"/>
    <s v="Senior ($200-300k)"/>
  </r>
  <r>
    <x v="1428"/>
    <x v="14"/>
    <x v="6"/>
    <x v="1"/>
    <x v="1"/>
    <x v="2"/>
    <n v="154000"/>
    <n v="95000"/>
    <n v="180000"/>
    <s v="Los Angeles"/>
    <x v="0"/>
    <s v="Hybrid"/>
    <s v="Startup (1-50)"/>
    <x v="5"/>
    <s v="SQL|Business Analysis|Python|Communication|Communication|Statistics"/>
    <n v="9.1999999999999993"/>
    <x v="13"/>
    <x v="171"/>
    <n v="7.5"/>
    <x v="1"/>
    <n v="7"/>
    <n v="1"/>
    <x v="1"/>
    <x v="1"/>
    <s v="Upper-Mid ($150-200k)"/>
  </r>
  <r>
    <x v="1429"/>
    <x v="19"/>
    <x v="10"/>
    <x v="3"/>
    <x v="8"/>
    <x v="4"/>
    <n v="140000"/>
    <n v="140000"/>
    <n v="270000"/>
    <s v="Bangalore"/>
    <x v="4"/>
    <s v="On-site"/>
    <s v="Big Tech (FAANG+)"/>
    <x v="5"/>
    <s v="Distributed Systems|Kubernetes|Networking|Cloud|CUDA|Statistics|Problem Solving"/>
    <n v="16.7"/>
    <x v="4"/>
    <x v="250"/>
    <n v="6.9"/>
    <x v="0"/>
    <n v="2"/>
    <n v="0"/>
    <x v="0"/>
    <x v="1"/>
    <s v="Mid ($100-150k)"/>
  </r>
  <r>
    <x v="1430"/>
    <x v="19"/>
    <x v="10"/>
    <x v="1"/>
    <x v="0"/>
    <x v="3"/>
    <n v="324000"/>
    <n v="140000"/>
    <n v="270000"/>
    <s v="Boston"/>
    <x v="0"/>
    <s v="Fully Remote"/>
    <s v="Big Tech (FAANG+)"/>
    <x v="11"/>
    <s v="CUDA|Networking|Kubernetes|Storage|SQL|Statistics|Problem Solving"/>
    <n v="11.9"/>
    <x v="4"/>
    <x v="125"/>
    <n v="6.2"/>
    <x v="1"/>
    <n v="2"/>
    <n v="1"/>
    <x v="1"/>
    <x v="1"/>
    <s v="Elite (&gt;$300k)"/>
  </r>
  <r>
    <x v="1431"/>
    <x v="12"/>
    <x v="0"/>
    <x v="0"/>
    <x v="3"/>
    <x v="3"/>
    <n v="221000"/>
    <n v="160000"/>
    <n v="300000"/>
    <s v="New York"/>
    <x v="0"/>
    <s v="Fully Remote"/>
    <s v="Startup (1-50)"/>
    <x v="9"/>
    <s v="APIs|Vision-Language Models|PyTorch|Fine-tuning|Python|Problem Solving|Leadership|Git"/>
    <n v="16.600000000000001"/>
    <x v="11"/>
    <x v="558"/>
    <n v="8.6"/>
    <x v="0"/>
    <n v="1"/>
    <n v="1"/>
    <x v="1"/>
    <x v="1"/>
    <s v="Senior ($200-300k)"/>
  </r>
  <r>
    <x v="1432"/>
    <x v="0"/>
    <x v="0"/>
    <x v="0"/>
    <x v="8"/>
    <x v="3"/>
    <n v="348000"/>
    <n v="155000"/>
    <n v="290000"/>
    <s v="Los Angeles"/>
    <x v="0"/>
    <s v="Fully Remote"/>
    <s v="Big Tech (FAANG+)"/>
    <x v="7"/>
    <s v="APIs|Planning Systems|Tool Use|Linux|Communication"/>
    <n v="8.6999999999999993"/>
    <x v="0"/>
    <x v="144"/>
    <n v="7"/>
    <x v="1"/>
    <n v="11"/>
    <n v="1"/>
    <x v="1"/>
    <x v="0"/>
    <s v="Elite (&gt;$300k)"/>
  </r>
  <r>
    <x v="1433"/>
    <x v="8"/>
    <x v="4"/>
    <x v="0"/>
    <x v="0"/>
    <x v="4"/>
    <n v="328000"/>
    <n v="180000"/>
    <n v="320000"/>
    <s v="London"/>
    <x v="1"/>
    <s v="Fully Remote"/>
    <s v="Enterprise (5000+)"/>
    <x v="2"/>
    <s v="Cloud|System Design|Enterprise Architecture|Leadership|Cloud"/>
    <n v="13.3"/>
    <x v="7"/>
    <x v="193"/>
    <n v="9.1"/>
    <x v="1"/>
    <n v="7"/>
    <n v="1"/>
    <x v="1"/>
    <x v="1"/>
    <s v="Elite (&gt;$300k)"/>
  </r>
  <r>
    <x v="1434"/>
    <x v="6"/>
    <x v="0"/>
    <x v="3"/>
    <x v="8"/>
    <x v="0"/>
    <n v="180000"/>
    <n v="180000"/>
    <n v="312000"/>
    <s v="London"/>
    <x v="1"/>
    <s v="Hybrid"/>
    <s v="Startup (1-50)"/>
    <x v="5"/>
    <s v="LLM Fine-tuning|PyTorch|MLOps|System Design|Python|Distributed Systems|Problem Solving|Git|Cloud"/>
    <n v="8.1"/>
    <x v="0"/>
    <x v="508"/>
    <n v="6.9"/>
    <x v="0"/>
    <n v="1"/>
    <n v="0"/>
    <x v="1"/>
    <x v="1"/>
    <s v="Upper-Mid ($150-200k)"/>
  </r>
  <r>
    <x v="1435"/>
    <x v="19"/>
    <x v="10"/>
    <x v="3"/>
    <x v="0"/>
    <x v="4"/>
    <n v="140000"/>
    <n v="140000"/>
    <n v="270000"/>
    <s v="Bangalore"/>
    <x v="4"/>
    <s v="On-site"/>
    <s v="SME (51-500)"/>
    <x v="11"/>
    <s v="Networking|Distributed Systems|Storage|Cloud|Cloud"/>
    <n v="13.8"/>
    <x v="4"/>
    <x v="163"/>
    <n v="8.4"/>
    <x v="1"/>
    <n v="3"/>
    <n v="0"/>
    <x v="0"/>
    <x v="1"/>
    <s v="Mid ($100-150k)"/>
  </r>
  <r>
    <x v="1436"/>
    <x v="24"/>
    <x v="11"/>
    <x v="1"/>
    <x v="12"/>
    <x v="4"/>
    <n v="217000"/>
    <n v="115000"/>
    <n v="280000"/>
    <s v="Toronto"/>
    <x v="7"/>
    <s v="Fully Remote"/>
    <s v="SME (51-500)"/>
    <x v="6"/>
    <s v="PyTorch|Deep Learning|Mathematics|Research|Python|Git"/>
    <n v="10.199999999999999"/>
    <x v="3"/>
    <x v="405"/>
    <n v="7"/>
    <x v="0"/>
    <n v="3"/>
    <n v="1"/>
    <x v="1"/>
    <x v="1"/>
    <s v="Senior ($200-300k)"/>
  </r>
  <r>
    <x v="1437"/>
    <x v="20"/>
    <x v="0"/>
    <x v="1"/>
    <x v="2"/>
    <x v="3"/>
    <n v="212000"/>
    <n v="100000"/>
    <n v="250000"/>
    <s v="Toronto"/>
    <x v="7"/>
    <s v="On-site"/>
    <s v="Big Tech (FAANG+)"/>
    <x v="11"/>
    <s v="Cloud (AWS/GCP/Azure)|Python|Docker|LLM Integration|Linux|Research|Leadership"/>
    <n v="17.2"/>
    <x v="9"/>
    <x v="559"/>
    <n v="8.6"/>
    <x v="1"/>
    <n v="12"/>
    <n v="1"/>
    <x v="0"/>
    <x v="1"/>
    <s v="Senior ($200-300k)"/>
  </r>
  <r>
    <x v="1438"/>
    <x v="22"/>
    <x v="0"/>
    <x v="1"/>
    <x v="4"/>
    <x v="0"/>
    <n v="209000"/>
    <n v="145000"/>
    <n v="280000"/>
    <s v="Sydney"/>
    <x v="11"/>
    <s v="Hybrid"/>
    <s v="SME (51-500)"/>
    <x v="9"/>
    <s v="CNNs|Python|OpenCV|Image Processing|PyTorch|CUDA|Agile|Git|SQL"/>
    <n v="5.4"/>
    <x v="18"/>
    <x v="168"/>
    <n v="8.1999999999999993"/>
    <x v="0"/>
    <n v="1"/>
    <n v="1"/>
    <x v="1"/>
    <x v="1"/>
    <s v="Senior ($200-300k)"/>
  </r>
  <r>
    <x v="1439"/>
    <x v="10"/>
    <x v="0"/>
    <x v="3"/>
    <x v="4"/>
    <x v="2"/>
    <n v="239000"/>
    <n v="150000"/>
    <n v="295000"/>
    <s v="Zurich"/>
    <x v="13"/>
    <s v="Hybrid"/>
    <s v="Big Tech (FAANG+)"/>
    <x v="0"/>
    <s v="Fine-tuning|Python|GenAI APIs|Diffusion Models|Deployment|Git|Problem Solving"/>
    <n v="10.199999999999999"/>
    <x v="9"/>
    <x v="493"/>
    <n v="9.5"/>
    <x v="1"/>
    <n v="12"/>
    <n v="0"/>
    <x v="1"/>
    <x v="0"/>
    <s v="Senior ($200-300k)"/>
  </r>
  <r>
    <x v="1440"/>
    <x v="5"/>
    <x v="3"/>
    <x v="0"/>
    <x v="10"/>
    <x v="3"/>
    <n v="170000"/>
    <n v="140000"/>
    <n v="260000"/>
    <s v="Amsterdam"/>
    <x v="9"/>
    <s v="On-site"/>
    <s v="SME (51-500)"/>
    <x v="2"/>
    <s v="Cybersecurity|Risk Analysis|Red Teaming|ML Security|Agile|Linux|Communication"/>
    <n v="8.1"/>
    <x v="5"/>
    <x v="178"/>
    <n v="7.5"/>
    <x v="1"/>
    <n v="12"/>
    <n v="1"/>
    <x v="0"/>
    <x v="1"/>
    <s v="Upper-Mid ($150-200k)"/>
  </r>
  <r>
    <x v="1441"/>
    <x v="5"/>
    <x v="3"/>
    <x v="3"/>
    <x v="4"/>
    <x v="4"/>
    <n v="312000"/>
    <n v="140000"/>
    <n v="260000"/>
    <s v="Austin"/>
    <x v="0"/>
    <s v="On-site"/>
    <s v="Big Tech (FAANG+)"/>
    <x v="2"/>
    <s v="Red Teaming|ML Security|Cybersecurity|Python|Risk Analysis|Leadership|Problem Solving"/>
    <n v="14.4"/>
    <x v="5"/>
    <x v="543"/>
    <n v="7.6"/>
    <x v="1"/>
    <n v="5"/>
    <n v="0"/>
    <x v="0"/>
    <x v="1"/>
    <s v="Elite (&gt;$300k)"/>
  </r>
  <r>
    <x v="1442"/>
    <x v="16"/>
    <x v="7"/>
    <x v="3"/>
    <x v="3"/>
    <x v="1"/>
    <n v="130000"/>
    <n v="125000"/>
    <n v="240000"/>
    <s v="Singapore"/>
    <x v="2"/>
    <s v="Fully Remote"/>
    <s v="SME (51-500)"/>
    <x v="6"/>
    <s v="Control Systems|Computer Vision|ROS|Agile|Linux|Research"/>
    <n v="8.6999999999999993"/>
    <x v="15"/>
    <x v="55"/>
    <n v="6.6"/>
    <x v="0"/>
    <n v="2"/>
    <n v="0"/>
    <x v="1"/>
    <x v="1"/>
    <s v="Mid ($100-150k)"/>
  </r>
  <r>
    <x v="1443"/>
    <x v="23"/>
    <x v="9"/>
    <x v="0"/>
    <x v="6"/>
    <x v="1"/>
    <n v="192000"/>
    <n v="100000"/>
    <n v="200000"/>
    <s v="Los Angeles"/>
    <x v="0"/>
    <s v="On-site"/>
    <s v="Enterprise (5000+)"/>
    <x v="0"/>
    <s v="Documentation|EU AI Act|Auditing|Legal Knowledge|Statistics"/>
    <n v="9.1"/>
    <x v="19"/>
    <x v="123"/>
    <n v="8"/>
    <x v="1"/>
    <n v="3"/>
    <n v="1"/>
    <x v="0"/>
    <x v="1"/>
    <s v="Upper-Mid ($150-200k)"/>
  </r>
  <r>
    <x v="1444"/>
    <x v="17"/>
    <x v="8"/>
    <x v="3"/>
    <x v="11"/>
    <x v="1"/>
    <n v="157000"/>
    <n v="157000"/>
    <n v="218000"/>
    <s v="Amsterdam"/>
    <x v="9"/>
    <s v="On-site"/>
    <s v="SME (51-500)"/>
    <x v="1"/>
    <s v="ML|Advanced Statistics|Deep Learning|Statistics"/>
    <n v="7.6"/>
    <x v="11"/>
    <x v="374"/>
    <n v="8.6999999999999993"/>
    <x v="1"/>
    <n v="5"/>
    <n v="0"/>
    <x v="0"/>
    <x v="1"/>
    <s v="Upper-Mid ($150-200k)"/>
  </r>
  <r>
    <x v="1445"/>
    <x v="12"/>
    <x v="0"/>
    <x v="3"/>
    <x v="2"/>
    <x v="3"/>
    <n v="190000"/>
    <n v="160000"/>
    <n v="300000"/>
    <s v="Austin"/>
    <x v="0"/>
    <s v="On-site"/>
    <s v="Mid-size (501-5000)"/>
    <x v="2"/>
    <s v="Python|APIs|PyTorch|Fine-tuning|Vision-Language Models|Git|Cloud|Leadership"/>
    <n v="16.399999999999999"/>
    <x v="11"/>
    <x v="435"/>
    <n v="8.3000000000000007"/>
    <x v="0"/>
    <n v="2"/>
    <n v="0"/>
    <x v="0"/>
    <x v="1"/>
    <s v="Upper-Mid ($150-200k)"/>
  </r>
  <r>
    <x v="1446"/>
    <x v="10"/>
    <x v="0"/>
    <x v="3"/>
    <x v="2"/>
    <x v="0"/>
    <n v="156000"/>
    <n v="150000"/>
    <n v="295000"/>
    <s v="Paris"/>
    <x v="10"/>
    <s v="Hybrid"/>
    <s v="Startup (1-50)"/>
    <x v="3"/>
    <s v="Fine-tuning|Deployment|Python|Diffusion Models|GenAI APIs|Cloud"/>
    <n v="12.6"/>
    <x v="9"/>
    <x v="132"/>
    <n v="8.1"/>
    <x v="1"/>
    <n v="12"/>
    <n v="0"/>
    <x v="1"/>
    <x v="0"/>
    <s v="Upper-Mid ($150-200k)"/>
  </r>
  <r>
    <x v="1447"/>
    <x v="4"/>
    <x v="2"/>
    <x v="2"/>
    <x v="2"/>
    <x v="4"/>
    <n v="140000"/>
    <n v="140000"/>
    <n v="260000"/>
    <s v="Tokyo"/>
    <x v="5"/>
    <s v="On-site"/>
    <s v="Startup (1-50)"/>
    <x v="11"/>
    <s v="Agile|Stakeholder Mgmt|Product Strategy|AI Literacy|Linux|Leadership|SQL"/>
    <n v="9"/>
    <x v="4"/>
    <x v="248"/>
    <n v="7.2"/>
    <x v="1"/>
    <n v="10"/>
    <n v="0"/>
    <x v="0"/>
    <x v="1"/>
    <s v="Mid ($100-150k)"/>
  </r>
  <r>
    <x v="1448"/>
    <x v="1"/>
    <x v="0"/>
    <x v="1"/>
    <x v="1"/>
    <x v="1"/>
    <n v="101000"/>
    <n v="90000"/>
    <n v="200000"/>
    <s v="Beijing"/>
    <x v="6"/>
    <s v="On-site"/>
    <s v="Big Tech (FAANG+)"/>
    <x v="8"/>
    <s v="Python|LLM APIs|Documentation|Linux|Communication"/>
    <n v="7.6"/>
    <x v="1"/>
    <x v="560"/>
    <n v="9.6"/>
    <x v="1"/>
    <n v="9"/>
    <n v="1"/>
    <x v="0"/>
    <x v="0"/>
    <s v="Mid ($100-150k)"/>
  </r>
  <r>
    <x v="1449"/>
    <x v="11"/>
    <x v="0"/>
    <x v="0"/>
    <x v="0"/>
    <x v="0"/>
    <n v="248000"/>
    <n v="141000"/>
    <n v="270000"/>
    <s v="Zurich"/>
    <x v="13"/>
    <s v="Fully Remote"/>
    <s v="Enterprise (5000+)"/>
    <x v="8"/>
    <s v="CUDA|TensorFlow|Neural Networks|Linux|Statistics"/>
    <n v="4.4000000000000004"/>
    <x v="10"/>
    <x v="43"/>
    <n v="8.9"/>
    <x v="1"/>
    <n v="6"/>
    <n v="1"/>
    <x v="1"/>
    <x v="1"/>
    <s v="Senior ($200-300k)"/>
  </r>
  <r>
    <x v="1450"/>
    <x v="23"/>
    <x v="9"/>
    <x v="0"/>
    <x v="4"/>
    <x v="2"/>
    <n v="156000"/>
    <n v="100000"/>
    <n v="200000"/>
    <s v="Chicago"/>
    <x v="0"/>
    <s v="Hybrid"/>
    <s v="Mid-size (501-5000)"/>
    <x v="5"/>
    <s v="Legal Knowledge|Risk Management|Auditing|EU AI Act|Git"/>
    <n v="13.9"/>
    <x v="19"/>
    <x v="61"/>
    <n v="6.1"/>
    <x v="0"/>
    <n v="2"/>
    <n v="1"/>
    <x v="1"/>
    <x v="1"/>
    <s v="Upper-Mid ($150-200k)"/>
  </r>
  <r>
    <x v="1451"/>
    <x v="16"/>
    <x v="7"/>
    <x v="1"/>
    <x v="9"/>
    <x v="1"/>
    <n v="198000"/>
    <n v="125000"/>
    <n v="240000"/>
    <s v="Dubai"/>
    <x v="8"/>
    <s v="Fully Remote"/>
    <s v="Startup (1-50)"/>
    <x v="8"/>
    <s v="C++|Python|Control Systems|Communication|Statistics|Leadership"/>
    <n v="14.6"/>
    <x v="15"/>
    <x v="43"/>
    <n v="9.3000000000000007"/>
    <x v="1"/>
    <n v="12"/>
    <n v="1"/>
    <x v="1"/>
    <x v="1"/>
    <s v="Upper-Mid ($150-200k)"/>
  </r>
  <r>
    <x v="1452"/>
    <x v="3"/>
    <x v="1"/>
    <x v="1"/>
    <x v="8"/>
    <x v="4"/>
    <n v="130000"/>
    <n v="130000"/>
    <n v="220000"/>
    <s v="Bangalore"/>
    <x v="4"/>
    <s v="Fully Remote"/>
    <s v="Enterprise (5000+)"/>
    <x v="3"/>
    <s v="ETL|Python|Feature Stores|Spark|Airflow|dbt|SQL|Agile|Statistics|Research"/>
    <n v="12.4"/>
    <x v="3"/>
    <x v="143"/>
    <n v="8.9"/>
    <x v="0"/>
    <n v="1"/>
    <n v="1"/>
    <x v="1"/>
    <x v="1"/>
    <s v="Mid ($100-150k)"/>
  </r>
  <r>
    <x v="1453"/>
    <x v="2"/>
    <x v="0"/>
    <x v="0"/>
    <x v="1"/>
    <x v="2"/>
    <n v="360000"/>
    <n v="160000"/>
    <n v="300000"/>
    <s v="San Francisco"/>
    <x v="0"/>
    <s v="Hybrid"/>
    <s v="Big Tech (FAANG+)"/>
    <x v="2"/>
    <s v="Fine-tuning|LLM APIs|Prompt Engineering|Communication"/>
    <n v="6.7"/>
    <x v="2"/>
    <x v="378"/>
    <n v="6.2"/>
    <x v="0"/>
    <n v="1"/>
    <n v="1"/>
    <x v="1"/>
    <x v="0"/>
    <s v="Elite (&gt;$300k)"/>
  </r>
  <r>
    <x v="1454"/>
    <x v="22"/>
    <x v="0"/>
    <x v="2"/>
    <x v="8"/>
    <x v="0"/>
    <n v="160000"/>
    <n v="145000"/>
    <n v="280000"/>
    <s v="Zurich"/>
    <x v="13"/>
    <s v="On-site"/>
    <s v="Enterprise (5000+)"/>
    <x v="8"/>
    <s v="CUDA|CNNs|PyTorch|Git|Problem Solving"/>
    <n v="8.9"/>
    <x v="18"/>
    <x v="163"/>
    <n v="8.4"/>
    <x v="0"/>
    <n v="3"/>
    <n v="0"/>
    <x v="0"/>
    <x v="1"/>
    <s v="Upper-Mid ($150-200k)"/>
  </r>
  <r>
    <x v="1455"/>
    <x v="17"/>
    <x v="8"/>
    <x v="0"/>
    <x v="6"/>
    <x v="3"/>
    <n v="172000"/>
    <n v="157000"/>
    <n v="218000"/>
    <s v="Zurich"/>
    <x v="13"/>
    <s v="Hybrid"/>
    <s v="Startup (1-50)"/>
    <x v="10"/>
    <s v="Deep Learning|ML|Causal Inference|Python|Statistics|Leadership|Cloud"/>
    <n v="6.8"/>
    <x v="11"/>
    <x v="173"/>
    <n v="8.9"/>
    <x v="0"/>
    <n v="2"/>
    <n v="1"/>
    <x v="1"/>
    <x v="1"/>
    <s v="Upper-Mid ($150-200k)"/>
  </r>
  <r>
    <x v="1456"/>
    <x v="2"/>
    <x v="0"/>
    <x v="2"/>
    <x v="4"/>
    <x v="1"/>
    <n v="160000"/>
    <n v="160000"/>
    <n v="300000"/>
    <s v="London"/>
    <x v="1"/>
    <s v="On-site"/>
    <s v="Startup (1-50)"/>
    <x v="6"/>
    <s v="Prompt Engineering|Vector DBs|Fine-tuning|LLM APIs|RAG|Agile|Problem Solving"/>
    <n v="9.6999999999999993"/>
    <x v="2"/>
    <x v="561"/>
    <n v="8.1999999999999993"/>
    <x v="0"/>
    <n v="3"/>
    <n v="0"/>
    <x v="0"/>
    <x v="0"/>
    <s v="Upper-Mid ($150-200k)"/>
  </r>
  <r>
    <x v="1457"/>
    <x v="1"/>
    <x v="0"/>
    <x v="0"/>
    <x v="3"/>
    <x v="4"/>
    <n v="236000"/>
    <n v="90000"/>
    <n v="200000"/>
    <s v="Austin"/>
    <x v="0"/>
    <s v="Hybrid"/>
    <s v="Enterprise (5000+)"/>
    <x v="11"/>
    <s v="Python|Testing|Prompt Design|Documentation|LLM APIs|NLP|Agile|Communication|Statistics"/>
    <n v="6.6"/>
    <x v="1"/>
    <x v="340"/>
    <n v="8"/>
    <x v="0"/>
    <n v="3"/>
    <n v="1"/>
    <x v="1"/>
    <x v="0"/>
    <s v="Senior ($200-300k)"/>
  </r>
  <r>
    <x v="1458"/>
    <x v="19"/>
    <x v="10"/>
    <x v="1"/>
    <x v="0"/>
    <x v="2"/>
    <n v="140000"/>
    <n v="140000"/>
    <n v="270000"/>
    <s v="Bangalore"/>
    <x v="4"/>
    <s v="Hybrid"/>
    <s v="Startup (1-50)"/>
    <x v="0"/>
    <s v="CUDA|Storage|Networking|Kubernetes|Cloud|Distributed Systems|Cloud|Leadership"/>
    <n v="13.3"/>
    <x v="4"/>
    <x v="45"/>
    <n v="6.8"/>
    <x v="1"/>
    <n v="1"/>
    <n v="1"/>
    <x v="1"/>
    <x v="1"/>
    <s v="Mid ($100-150k)"/>
  </r>
  <r>
    <x v="1459"/>
    <x v="18"/>
    <x v="9"/>
    <x v="1"/>
    <x v="11"/>
    <x v="1"/>
    <n v="222000"/>
    <n v="110000"/>
    <n v="210000"/>
    <s v="Los Angeles"/>
    <x v="0"/>
    <s v="Hybrid"/>
    <s v="Startup (1-50)"/>
    <x v="5"/>
    <s v="Communication|AI Policy|Ethics Frameworks|Research|SQL|Problem Solving"/>
    <n v="10.199999999999999"/>
    <x v="16"/>
    <x v="78"/>
    <n v="6.6"/>
    <x v="1"/>
    <n v="12"/>
    <n v="1"/>
    <x v="1"/>
    <x v="1"/>
    <s v="Senior ($200-300k)"/>
  </r>
  <r>
    <x v="1460"/>
    <x v="5"/>
    <x v="3"/>
    <x v="2"/>
    <x v="9"/>
    <x v="0"/>
    <n v="140000"/>
    <n v="140000"/>
    <n v="260000"/>
    <s v="Toronto"/>
    <x v="7"/>
    <s v="Fully Remote"/>
    <s v="Mid-size (501-5000)"/>
    <x v="9"/>
    <s v="Risk Analysis|Python|Cybersecurity|ML Security|Red Teaming|Linux|Communication|Git"/>
    <n v="14.8"/>
    <x v="5"/>
    <x v="10"/>
    <n v="6.7"/>
    <x v="0"/>
    <n v="2"/>
    <n v="0"/>
    <x v="1"/>
    <x v="1"/>
    <s v="Mid ($100-150k)"/>
  </r>
  <r>
    <x v="1461"/>
    <x v="19"/>
    <x v="10"/>
    <x v="0"/>
    <x v="4"/>
    <x v="2"/>
    <n v="140000"/>
    <n v="140000"/>
    <n v="270000"/>
    <s v="Toronto"/>
    <x v="7"/>
    <s v="Hybrid"/>
    <s v="Startup (1-50)"/>
    <x v="5"/>
    <s v="Kubernetes|Networking|Storage|Agile"/>
    <n v="10.9"/>
    <x v="4"/>
    <x v="124"/>
    <n v="7.3"/>
    <x v="1"/>
    <n v="4"/>
    <n v="1"/>
    <x v="1"/>
    <x v="1"/>
    <s v="Mid ($100-150k)"/>
  </r>
  <r>
    <x v="1462"/>
    <x v="19"/>
    <x v="10"/>
    <x v="0"/>
    <x v="3"/>
    <x v="4"/>
    <n v="249000"/>
    <n v="140000"/>
    <n v="270000"/>
    <s v="Singapore"/>
    <x v="2"/>
    <s v="Hybrid"/>
    <s v="Mid-size (501-5000)"/>
    <x v="2"/>
    <s v="Cloud|Networking|Distributed Systems|Storage|Agile|Git"/>
    <n v="11.1"/>
    <x v="4"/>
    <x v="441"/>
    <n v="9"/>
    <x v="0"/>
    <n v="2"/>
    <n v="1"/>
    <x v="1"/>
    <x v="1"/>
    <s v="Senior ($200-300k)"/>
  </r>
  <r>
    <x v="1463"/>
    <x v="2"/>
    <x v="0"/>
    <x v="2"/>
    <x v="0"/>
    <x v="2"/>
    <n v="160000"/>
    <n v="160000"/>
    <n v="300000"/>
    <s v="Boston"/>
    <x v="0"/>
    <s v="Hybrid"/>
    <s v="SME (51-500)"/>
    <x v="1"/>
    <s v="Vector DBs|LLM APIs|RAG|SQL|Cloud|Statistics"/>
    <n v="5.8"/>
    <x v="2"/>
    <x v="509"/>
    <n v="6.6"/>
    <x v="1"/>
    <n v="9"/>
    <n v="0"/>
    <x v="1"/>
    <x v="0"/>
    <s v="Upper-Mid ($150-200k)"/>
  </r>
  <r>
    <x v="1464"/>
    <x v="0"/>
    <x v="0"/>
    <x v="0"/>
    <x v="4"/>
    <x v="3"/>
    <n v="160000"/>
    <n v="155000"/>
    <n v="290000"/>
    <s v="London"/>
    <x v="1"/>
    <s v="On-site"/>
    <s v="Startup (1-50)"/>
    <x v="1"/>
    <s v="LangChain|Python|AutoGen|APIs|Tool Use|Statistics|Problem Solving"/>
    <n v="12.1"/>
    <x v="0"/>
    <x v="487"/>
    <n v="7.6"/>
    <x v="0"/>
    <n v="2"/>
    <n v="1"/>
    <x v="0"/>
    <x v="0"/>
    <s v="Upper-Mid ($150-200k)"/>
  </r>
  <r>
    <x v="1465"/>
    <x v="23"/>
    <x v="9"/>
    <x v="0"/>
    <x v="4"/>
    <x v="0"/>
    <n v="186000"/>
    <n v="100000"/>
    <n v="200000"/>
    <s v="Tokyo"/>
    <x v="5"/>
    <s v="Hybrid"/>
    <s v="Big Tech (FAANG+)"/>
    <x v="1"/>
    <s v="Legal Knowledge|Risk Management|Documentation|EU AI Act|Cloud|SQL"/>
    <n v="14.9"/>
    <x v="19"/>
    <x v="211"/>
    <n v="7.5"/>
    <x v="1"/>
    <n v="11"/>
    <n v="1"/>
    <x v="1"/>
    <x v="1"/>
    <s v="Upper-Mid ($150-200k)"/>
  </r>
  <r>
    <x v="1466"/>
    <x v="17"/>
    <x v="8"/>
    <x v="2"/>
    <x v="0"/>
    <x v="0"/>
    <n v="171000"/>
    <n v="157000"/>
    <n v="218000"/>
    <s v="Amsterdam"/>
    <x v="9"/>
    <s v="Hybrid"/>
    <s v="Big Tech (FAANG+)"/>
    <x v="0"/>
    <s v="Python|Deep Learning|ML|Advanced Statistics|SQL|Cloud"/>
    <n v="7.2"/>
    <x v="11"/>
    <x v="169"/>
    <n v="9.6"/>
    <x v="0"/>
    <n v="3"/>
    <n v="0"/>
    <x v="1"/>
    <x v="1"/>
    <s v="Upper-Mid ($150-200k)"/>
  </r>
  <r>
    <x v="1467"/>
    <x v="6"/>
    <x v="0"/>
    <x v="3"/>
    <x v="6"/>
    <x v="1"/>
    <n v="180000"/>
    <n v="180000"/>
    <n v="312000"/>
    <s v="Toronto"/>
    <x v="7"/>
    <s v="On-site"/>
    <s v="Startup (1-50)"/>
    <x v="3"/>
    <s v="System Design|LLM Fine-tuning|Python|PyTorch|Distributed Systems|Research|Linux|Git"/>
    <n v="8.6999999999999993"/>
    <x v="0"/>
    <x v="236"/>
    <n v="8.6"/>
    <x v="0"/>
    <n v="1"/>
    <n v="0"/>
    <x v="0"/>
    <x v="1"/>
    <s v="Upper-Mid ($150-200k)"/>
  </r>
  <r>
    <x v="1468"/>
    <x v="14"/>
    <x v="6"/>
    <x v="3"/>
    <x v="6"/>
    <x v="2"/>
    <n v="183000"/>
    <n v="95000"/>
    <n v="180000"/>
    <s v="Seattle"/>
    <x v="0"/>
    <s v="On-site"/>
    <s v="Big Tech (FAANG+)"/>
    <x v="5"/>
    <s v="Communication|Python|SQL|Business Analysis|Data Visualization|SQL"/>
    <n v="9.6999999999999993"/>
    <x v="13"/>
    <x v="152"/>
    <n v="9.3000000000000007"/>
    <x v="0"/>
    <n v="1"/>
    <n v="0"/>
    <x v="0"/>
    <x v="1"/>
    <s v="Upper-Mid ($150-200k)"/>
  </r>
  <r>
    <x v="1469"/>
    <x v="17"/>
    <x v="8"/>
    <x v="1"/>
    <x v="0"/>
    <x v="3"/>
    <n v="201000"/>
    <n v="157000"/>
    <n v="218000"/>
    <s v="Dubai"/>
    <x v="8"/>
    <s v="Fully Remote"/>
    <s v="SME (51-500)"/>
    <x v="9"/>
    <s v="Python|Causal Inference|Deep Learning|ML|Advanced Statistics|Leadership|Leadership|Problem Solving|Research"/>
    <n v="9.5"/>
    <x v="11"/>
    <x v="72"/>
    <n v="6.7"/>
    <x v="1"/>
    <n v="11"/>
    <n v="1"/>
    <x v="1"/>
    <x v="1"/>
    <s v="Senior ($200-300k)"/>
  </r>
  <r>
    <x v="1470"/>
    <x v="5"/>
    <x v="3"/>
    <x v="3"/>
    <x v="3"/>
    <x v="3"/>
    <n v="201000"/>
    <n v="140000"/>
    <n v="260000"/>
    <s v="San Francisco"/>
    <x v="0"/>
    <s v="Fully Remote"/>
    <s v="Startup (1-50)"/>
    <x v="9"/>
    <s v="Python|Red Teaming|Risk Analysis|ML Security|Leadership|Statistics"/>
    <n v="10.7"/>
    <x v="5"/>
    <x v="251"/>
    <n v="9.1999999999999993"/>
    <x v="0"/>
    <n v="3"/>
    <n v="0"/>
    <x v="1"/>
    <x v="1"/>
    <s v="Senior ($200-300k)"/>
  </r>
  <r>
    <x v="1471"/>
    <x v="20"/>
    <x v="0"/>
    <x v="1"/>
    <x v="2"/>
    <x v="0"/>
    <n v="217000"/>
    <n v="100000"/>
    <n v="250000"/>
    <s v="Amsterdam"/>
    <x v="9"/>
    <s v="Hybrid"/>
    <s v="Mid-size (501-5000)"/>
    <x v="8"/>
    <s v="LLM Integration|Cloud (AWS/GCP/Azure)|Docker|Python|Leadership|Research"/>
    <n v="12.9"/>
    <x v="9"/>
    <x v="509"/>
    <n v="7"/>
    <x v="0"/>
    <n v="3"/>
    <n v="1"/>
    <x v="1"/>
    <x v="1"/>
    <s v="Senior ($200-300k)"/>
  </r>
  <r>
    <x v="1472"/>
    <x v="19"/>
    <x v="10"/>
    <x v="1"/>
    <x v="8"/>
    <x v="4"/>
    <n v="140000"/>
    <n v="140000"/>
    <n v="270000"/>
    <s v="Beijing"/>
    <x v="6"/>
    <s v="Hybrid"/>
    <s v="Mid-size (501-5000)"/>
    <x v="9"/>
    <s v="Distributed Systems|Cloud|Kubernetes|Leadership|Problem Solving|Research"/>
    <n v="9.6"/>
    <x v="4"/>
    <x v="195"/>
    <n v="9"/>
    <x v="1"/>
    <n v="3"/>
    <n v="1"/>
    <x v="1"/>
    <x v="1"/>
    <s v="Mid ($100-150k)"/>
  </r>
  <r>
    <x v="1473"/>
    <x v="2"/>
    <x v="0"/>
    <x v="0"/>
    <x v="1"/>
    <x v="1"/>
    <n v="322000"/>
    <n v="160000"/>
    <n v="300000"/>
    <s v="Seattle"/>
    <x v="0"/>
    <s v="Fully Remote"/>
    <s v="Enterprise (5000+)"/>
    <x v="3"/>
    <s v="LLM APIs|RAG|Python|Fine-tuning|Vector DBs|Statistics"/>
    <n v="5.8"/>
    <x v="2"/>
    <x v="66"/>
    <n v="9"/>
    <x v="1"/>
    <n v="11"/>
    <n v="1"/>
    <x v="1"/>
    <x v="0"/>
    <s v="Elite (&gt;$300k)"/>
  </r>
  <r>
    <x v="1474"/>
    <x v="2"/>
    <x v="0"/>
    <x v="1"/>
    <x v="0"/>
    <x v="2"/>
    <n v="255000"/>
    <n v="160000"/>
    <n v="300000"/>
    <s v="Sydney"/>
    <x v="11"/>
    <s v="On-site"/>
    <s v="Mid-size (501-5000)"/>
    <x v="6"/>
    <s v="LLM APIs|RAG|Vector DBs|Linux"/>
    <n v="7.8"/>
    <x v="2"/>
    <x v="12"/>
    <n v="7.4"/>
    <x v="0"/>
    <n v="1"/>
    <n v="1"/>
    <x v="0"/>
    <x v="0"/>
    <s v="Senior ($200-300k)"/>
  </r>
  <r>
    <x v="1475"/>
    <x v="2"/>
    <x v="0"/>
    <x v="2"/>
    <x v="2"/>
    <x v="2"/>
    <n v="161000"/>
    <n v="160000"/>
    <n v="300000"/>
    <s v="San Francisco"/>
    <x v="0"/>
    <s v="Hybrid"/>
    <s v="Startup (1-50)"/>
    <x v="8"/>
    <s v="Prompt Engineering|RAG|Python|Git|Research|SQL"/>
    <n v="8.1"/>
    <x v="2"/>
    <x v="373"/>
    <n v="9.3000000000000007"/>
    <x v="1"/>
    <n v="3"/>
    <n v="0"/>
    <x v="1"/>
    <x v="0"/>
    <s v="Upper-Mid ($150-200k)"/>
  </r>
  <r>
    <x v="1476"/>
    <x v="9"/>
    <x v="0"/>
    <x v="2"/>
    <x v="0"/>
    <x v="1"/>
    <n v="157000"/>
    <n v="120000"/>
    <n v="280000"/>
    <s v="Remote"/>
    <x v="3"/>
    <s v="Hybrid"/>
    <s v="Enterprise (5000+)"/>
    <x v="8"/>
    <s v="TensorFlow|PyTorch|Kubernetes|Leadership|Statistics"/>
    <n v="11.8"/>
    <x v="8"/>
    <x v="79"/>
    <n v="8.5"/>
    <x v="1"/>
    <n v="2"/>
    <n v="0"/>
    <x v="1"/>
    <x v="1"/>
    <s v="Upper-Mid ($150-200k)"/>
  </r>
  <r>
    <x v="1477"/>
    <x v="12"/>
    <x v="0"/>
    <x v="2"/>
    <x v="9"/>
    <x v="1"/>
    <n v="170000"/>
    <n v="160000"/>
    <n v="300000"/>
    <s v="New York"/>
    <x v="0"/>
    <s v="Fully Remote"/>
    <s v="Mid-size (501-5000)"/>
    <x v="10"/>
    <s v="Python|Fine-tuning|PyTorch|Vision-Language Models|APIs|Research"/>
    <n v="8.3000000000000007"/>
    <x v="11"/>
    <x v="311"/>
    <n v="7.4"/>
    <x v="1"/>
    <n v="11"/>
    <n v="0"/>
    <x v="1"/>
    <x v="1"/>
    <s v="Upper-Mid ($150-200k)"/>
  </r>
  <r>
    <x v="1478"/>
    <x v="13"/>
    <x v="5"/>
    <x v="3"/>
    <x v="0"/>
    <x v="0"/>
    <n v="130000"/>
    <n v="130000"/>
    <n v="260000"/>
    <s v="Bangalore"/>
    <x v="4"/>
    <s v="Hybrid"/>
    <s v="Enterprise (5000+)"/>
    <x v="6"/>
    <s v="Python|Cloud|Monitoring|Kubernetes|Research|Statistics|Problem Solving"/>
    <n v="14.7"/>
    <x v="12"/>
    <x v="562"/>
    <n v="9.3000000000000007"/>
    <x v="1"/>
    <n v="4"/>
    <n v="0"/>
    <x v="1"/>
    <x v="1"/>
    <s v="Mid ($100-150k)"/>
  </r>
  <r>
    <x v="1479"/>
    <x v="15"/>
    <x v="0"/>
    <x v="1"/>
    <x v="3"/>
    <x v="4"/>
    <n v="271000"/>
    <n v="145000"/>
    <n v="280000"/>
    <s v="Amsterdam"/>
    <x v="9"/>
    <s v="Hybrid"/>
    <s v="Mid-size (501-5000)"/>
    <x v="0"/>
    <s v="Vector DBs|Embeddings|LLMs|Search Systems|Python|Agile"/>
    <n v="3.8"/>
    <x v="14"/>
    <x v="297"/>
    <n v="6.8"/>
    <x v="1"/>
    <n v="11"/>
    <n v="1"/>
    <x v="1"/>
    <x v="0"/>
    <s v="Senior ($200-300k)"/>
  </r>
  <r>
    <x v="1480"/>
    <x v="3"/>
    <x v="1"/>
    <x v="3"/>
    <x v="8"/>
    <x v="3"/>
    <n v="160000"/>
    <n v="130000"/>
    <n v="220000"/>
    <s v="Seattle"/>
    <x v="0"/>
    <s v="On-site"/>
    <s v="SME (51-500)"/>
    <x v="10"/>
    <s v="ETL|Airflow|Feature Stores|dbt|Problem Solving|Research|Cloud"/>
    <n v="14.8"/>
    <x v="3"/>
    <x v="200"/>
    <n v="9.5"/>
    <x v="0"/>
    <n v="2"/>
    <n v="0"/>
    <x v="0"/>
    <x v="1"/>
    <s v="Upper-Mid ($150-200k)"/>
  </r>
  <r>
    <x v="1481"/>
    <x v="4"/>
    <x v="2"/>
    <x v="1"/>
    <x v="2"/>
    <x v="4"/>
    <n v="294000"/>
    <n v="140000"/>
    <n v="260000"/>
    <s v="Remote"/>
    <x v="3"/>
    <s v="Hybrid"/>
    <s v="Startup (1-50)"/>
    <x v="6"/>
    <s v="Data Analysis|Stakeholder Mgmt|Agile|AI Literacy|Leadership|Git|Agile"/>
    <n v="8.3000000000000007"/>
    <x v="4"/>
    <x v="352"/>
    <n v="9.6"/>
    <x v="0"/>
    <n v="3"/>
    <n v="1"/>
    <x v="1"/>
    <x v="1"/>
    <s v="Senior ($200-300k)"/>
  </r>
  <r>
    <x v="1482"/>
    <x v="2"/>
    <x v="0"/>
    <x v="2"/>
    <x v="2"/>
    <x v="4"/>
    <n v="183000"/>
    <n v="160000"/>
    <n v="300000"/>
    <s v="Chicago"/>
    <x v="0"/>
    <s v="On-site"/>
    <s v="Mid-size (501-5000)"/>
    <x v="4"/>
    <s v="Python|Prompt Engineering|RAG|Vector DBs|Fine-tuning|Statistics|Communication"/>
    <n v="6.1"/>
    <x v="2"/>
    <x v="489"/>
    <n v="6.4"/>
    <x v="1"/>
    <n v="12"/>
    <n v="0"/>
    <x v="0"/>
    <x v="0"/>
    <s v="Upper-Mid ($150-200k)"/>
  </r>
  <r>
    <x v="1483"/>
    <x v="9"/>
    <x v="0"/>
    <x v="2"/>
    <x v="9"/>
    <x v="2"/>
    <n v="120000"/>
    <n v="120000"/>
    <n v="280000"/>
    <s v="Dubai"/>
    <x v="8"/>
    <s v="Hybrid"/>
    <s v="Mid-size (501-5000)"/>
    <x v="0"/>
    <s v="Kubernetes|PyTorch|SQL|Python|TensorFlow|Problem Solving|Cloud"/>
    <n v="10.1"/>
    <x v="8"/>
    <x v="462"/>
    <n v="7.7"/>
    <x v="0"/>
    <n v="3"/>
    <n v="0"/>
    <x v="1"/>
    <x v="1"/>
    <s v="Mid ($100-150k)"/>
  </r>
  <r>
    <x v="1484"/>
    <x v="22"/>
    <x v="0"/>
    <x v="2"/>
    <x v="9"/>
    <x v="0"/>
    <n v="145000"/>
    <n v="145000"/>
    <n v="280000"/>
    <s v="Tokyo"/>
    <x v="5"/>
    <s v="Hybrid"/>
    <s v="Startup (1-50)"/>
    <x v="4"/>
    <s v="OpenCV|PyTorch|CNNs|Image Processing|Python|Statistics"/>
    <n v="8.8000000000000007"/>
    <x v="18"/>
    <x v="211"/>
    <n v="8"/>
    <x v="0"/>
    <n v="2"/>
    <n v="0"/>
    <x v="1"/>
    <x v="1"/>
    <s v="Mid ($100-150k)"/>
  </r>
  <r>
    <x v="1485"/>
    <x v="16"/>
    <x v="7"/>
    <x v="3"/>
    <x v="0"/>
    <x v="1"/>
    <n v="254000"/>
    <n v="125000"/>
    <n v="240000"/>
    <s v="Boston"/>
    <x v="0"/>
    <s v="Hybrid"/>
    <s v="Big Tech (FAANG+)"/>
    <x v="9"/>
    <s v="Simulation|C++|Control Systems|Python|Computer Vision|ROS|Agile"/>
    <n v="17.399999999999999"/>
    <x v="15"/>
    <x v="111"/>
    <n v="7.8"/>
    <x v="0"/>
    <n v="2"/>
    <n v="0"/>
    <x v="1"/>
    <x v="1"/>
    <s v="Senior ($200-300k)"/>
  </r>
  <r>
    <x v="1486"/>
    <x v="12"/>
    <x v="0"/>
    <x v="2"/>
    <x v="8"/>
    <x v="4"/>
    <n v="179000"/>
    <n v="160000"/>
    <n v="300000"/>
    <s v="Remote"/>
    <x v="3"/>
    <s v="Fully Remote"/>
    <s v="SME (51-500)"/>
    <x v="4"/>
    <s v="APIs|PyTorch|Fine-tuning|Agile"/>
    <n v="14.2"/>
    <x v="11"/>
    <x v="68"/>
    <n v="7.6"/>
    <x v="0"/>
    <n v="2"/>
    <n v="0"/>
    <x v="1"/>
    <x v="1"/>
    <s v="Upper-Mid ($150-200k)"/>
  </r>
  <r>
    <x v="1487"/>
    <x v="15"/>
    <x v="0"/>
    <x v="1"/>
    <x v="8"/>
    <x v="2"/>
    <n v="336000"/>
    <n v="145000"/>
    <n v="280000"/>
    <s v="Dubai"/>
    <x v="8"/>
    <s v="Hybrid"/>
    <s v="Big Tech (FAANG+)"/>
    <x v="2"/>
    <s v="Embeddings|LLMs|Search Systems|Vector DBs|LangChain|Python|Agile|Git"/>
    <n v="3.8"/>
    <x v="14"/>
    <x v="563"/>
    <n v="9.8000000000000007"/>
    <x v="0"/>
    <n v="3"/>
    <n v="1"/>
    <x v="1"/>
    <x v="0"/>
    <s v="Elite (&gt;$300k)"/>
  </r>
  <r>
    <x v="1488"/>
    <x v="19"/>
    <x v="10"/>
    <x v="2"/>
    <x v="8"/>
    <x v="4"/>
    <n v="220000"/>
    <n v="140000"/>
    <n v="270000"/>
    <s v="Los Angeles"/>
    <x v="0"/>
    <s v="Hybrid"/>
    <s v="Enterprise (5000+)"/>
    <x v="2"/>
    <s v="Networking|Distributed Systems|CUDA|Storage|Problem Solving"/>
    <n v="17"/>
    <x v="4"/>
    <x v="70"/>
    <n v="6.1"/>
    <x v="1"/>
    <n v="5"/>
    <n v="0"/>
    <x v="1"/>
    <x v="1"/>
    <s v="Senior ($200-300k)"/>
  </r>
  <r>
    <x v="1489"/>
    <x v="5"/>
    <x v="3"/>
    <x v="1"/>
    <x v="6"/>
    <x v="2"/>
    <n v="176000"/>
    <n v="140000"/>
    <n v="260000"/>
    <s v="Paris"/>
    <x v="10"/>
    <s v="Fully Remote"/>
    <s v="Mid-size (501-5000)"/>
    <x v="8"/>
    <s v="Cybersecurity|Risk Analysis|ML Security|Python|Cloud|Linux|Leadership"/>
    <n v="16.7"/>
    <x v="5"/>
    <x v="72"/>
    <n v="9.6"/>
    <x v="0"/>
    <n v="3"/>
    <n v="1"/>
    <x v="1"/>
    <x v="1"/>
    <s v="Upper-Mid ($150-200k)"/>
  </r>
  <r>
    <x v="1490"/>
    <x v="1"/>
    <x v="0"/>
    <x v="0"/>
    <x v="3"/>
    <x v="2"/>
    <n v="144000"/>
    <n v="90000"/>
    <n v="200000"/>
    <s v="Toronto"/>
    <x v="7"/>
    <s v="On-site"/>
    <s v="Big Tech (FAANG+)"/>
    <x v="2"/>
    <s v="Prompt Design|NLP|Documentation|Testing|Linux|Research|Agile"/>
    <n v="4.5"/>
    <x v="1"/>
    <x v="218"/>
    <n v="8.6"/>
    <x v="0"/>
    <n v="3"/>
    <n v="1"/>
    <x v="0"/>
    <x v="0"/>
    <s v="Mid ($100-150k)"/>
  </r>
  <r>
    <x v="1491"/>
    <x v="19"/>
    <x v="10"/>
    <x v="1"/>
    <x v="8"/>
    <x v="0"/>
    <n v="250000"/>
    <n v="140000"/>
    <n v="270000"/>
    <s v="Remote"/>
    <x v="3"/>
    <s v="Hybrid"/>
    <s v="Startup (1-50)"/>
    <x v="5"/>
    <s v="Distributed Systems|Kubernetes|Cloud|Networking|CUDA|Git|Communication|SQL"/>
    <n v="9.9"/>
    <x v="4"/>
    <x v="145"/>
    <n v="8.1"/>
    <x v="0"/>
    <n v="2"/>
    <n v="1"/>
    <x v="1"/>
    <x v="1"/>
    <s v="Senior ($200-300k)"/>
  </r>
  <r>
    <x v="1492"/>
    <x v="1"/>
    <x v="0"/>
    <x v="0"/>
    <x v="4"/>
    <x v="4"/>
    <n v="233000"/>
    <n v="90000"/>
    <n v="200000"/>
    <s v="Seattle"/>
    <x v="0"/>
    <s v="Hybrid"/>
    <s v="Mid-size (501-5000)"/>
    <x v="0"/>
    <s v="Testing|NLP|Documentation|Prompt Design|LLM APIs|Statistics|Agile"/>
    <n v="3.2"/>
    <x v="1"/>
    <x v="503"/>
    <n v="8.1"/>
    <x v="0"/>
    <n v="2"/>
    <n v="1"/>
    <x v="1"/>
    <x v="0"/>
    <s v="Senior ($200-300k)"/>
  </r>
  <r>
    <x v="1493"/>
    <x v="17"/>
    <x v="8"/>
    <x v="1"/>
    <x v="10"/>
    <x v="3"/>
    <n v="253000"/>
    <n v="157000"/>
    <n v="218000"/>
    <s v="Seattle"/>
    <x v="0"/>
    <s v="Hybrid"/>
    <s v="SME (51-500)"/>
    <x v="1"/>
    <s v="ML|Deep Learning|Causal Inference|Python|Leadership|Leadership|Agile|Research"/>
    <n v="3.3"/>
    <x v="11"/>
    <x v="179"/>
    <n v="6.8"/>
    <x v="0"/>
    <n v="3"/>
    <n v="1"/>
    <x v="1"/>
    <x v="1"/>
    <s v="Senior ($200-300k)"/>
  </r>
  <r>
    <x v="1494"/>
    <x v="16"/>
    <x v="7"/>
    <x v="2"/>
    <x v="4"/>
    <x v="0"/>
    <n v="125000"/>
    <n v="125000"/>
    <n v="240000"/>
    <s v="Tokyo"/>
    <x v="5"/>
    <s v="Fully Remote"/>
    <s v="Enterprise (5000+)"/>
    <x v="5"/>
    <s v="Python|Computer Vision|Control Systems|Cloud|Agile|Linux"/>
    <n v="15.5"/>
    <x v="15"/>
    <x v="71"/>
    <n v="6.5"/>
    <x v="0"/>
    <n v="3"/>
    <n v="0"/>
    <x v="1"/>
    <x v="1"/>
    <s v="Mid ($100-150k)"/>
  </r>
  <r>
    <x v="1495"/>
    <x v="12"/>
    <x v="0"/>
    <x v="1"/>
    <x v="6"/>
    <x v="0"/>
    <n v="262000"/>
    <n v="160000"/>
    <n v="300000"/>
    <s v="Toronto"/>
    <x v="7"/>
    <s v="Hybrid"/>
    <s v="SME (51-500)"/>
    <x v="6"/>
    <s v="Python|Vision-Language Models|Fine-tuning|PyTorch|Research|Problem Solving|Communication"/>
    <n v="8.8000000000000007"/>
    <x v="11"/>
    <x v="349"/>
    <n v="7.5"/>
    <x v="0"/>
    <n v="1"/>
    <n v="1"/>
    <x v="1"/>
    <x v="1"/>
    <s v="Senior ($200-300k)"/>
  </r>
  <r>
    <x v="1496"/>
    <x v="7"/>
    <x v="0"/>
    <x v="0"/>
    <x v="9"/>
    <x v="3"/>
    <n v="163000"/>
    <n v="145000"/>
    <n v="290000"/>
    <s v="Berlin"/>
    <x v="12"/>
    <s v="On-site"/>
    <s v="Mid-size (501-5000)"/>
    <x v="4"/>
    <s v="Transformers|Text Processing|LLMs|Hugging Face|SQL|Problem Solving|Agile"/>
    <n v="6.7"/>
    <x v="6"/>
    <x v="487"/>
    <n v="7.8"/>
    <x v="1"/>
    <n v="3"/>
    <n v="1"/>
    <x v="0"/>
    <x v="1"/>
    <s v="Upper-Mid ($150-200k)"/>
  </r>
  <r>
    <x v="1497"/>
    <x v="23"/>
    <x v="9"/>
    <x v="3"/>
    <x v="10"/>
    <x v="0"/>
    <n v="127000"/>
    <n v="100000"/>
    <n v="200000"/>
    <s v="Zurich"/>
    <x v="13"/>
    <s v="Hybrid"/>
    <s v="SME (51-500)"/>
    <x v="4"/>
    <s v="Documentation|Risk Management|Legal Knowledge|Linux"/>
    <n v="10.9"/>
    <x v="19"/>
    <x v="213"/>
    <n v="8.3000000000000007"/>
    <x v="0"/>
    <n v="3"/>
    <n v="0"/>
    <x v="1"/>
    <x v="1"/>
    <s v="Mid ($100-150k)"/>
  </r>
  <r>
    <x v="1498"/>
    <x v="7"/>
    <x v="0"/>
    <x v="1"/>
    <x v="2"/>
    <x v="1"/>
    <n v="145000"/>
    <n v="145000"/>
    <n v="290000"/>
    <s v="Bangalore"/>
    <x v="4"/>
    <s v="Hybrid"/>
    <s v="Enterprise (5000+)"/>
    <x v="10"/>
    <s v="LLMs|Hugging Face|Python|Transformers|BERT|Text Processing|Research|Communication"/>
    <n v="8.5"/>
    <x v="6"/>
    <x v="564"/>
    <n v="7.4"/>
    <x v="1"/>
    <n v="5"/>
    <n v="1"/>
    <x v="1"/>
    <x v="1"/>
    <s v="Mid ($100-150k)"/>
  </r>
  <r>
    <x v="1499"/>
    <x v="5"/>
    <x v="3"/>
    <x v="1"/>
    <x v="4"/>
    <x v="0"/>
    <n v="229000"/>
    <n v="140000"/>
    <n v="260000"/>
    <s v="Berlin"/>
    <x v="12"/>
    <s v="Hybrid"/>
    <s v="Enterprise (5000+)"/>
    <x v="1"/>
    <s v="Cybersecurity|ML Security|Red Teaming|Python|Risk Analysis|Research|Problem Solving|SQL"/>
    <n v="12.2"/>
    <x v="5"/>
    <x v="37"/>
    <n v="8.6"/>
    <x v="1"/>
    <n v="6"/>
    <n v="1"/>
    <x v="1"/>
    <x v="1"/>
    <s v="Senior ($200-300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283254-5492-4367-9A72-FDF64422F9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2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3">
        <item x="0"/>
        <item x="1"/>
        <item t="default"/>
      </items>
    </pivotField>
    <pivotField axis="axisRow" showAll="0">
      <items count="3">
        <item x="0"/>
        <item x="1"/>
        <item t="default"/>
      </items>
    </pivotField>
    <pivotField showAll="0"/>
  </pivotFields>
  <rowFields count="1">
    <field x="23"/>
  </rowFields>
  <rowItems count="3">
    <i>
      <x/>
    </i>
    <i>
      <x v="1"/>
    </i>
    <i t="grand">
      <x/>
    </i>
  </rowItems>
  <colItems count="1">
    <i/>
  </colItems>
  <dataFields count="1">
    <dataField name="Count of Jo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1BA62-BE68-41F1-98A6-89F791CC41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2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items count="3">
        <item x="0"/>
        <item x="1"/>
        <item t="default"/>
      </items>
    </pivotField>
    <pivotField showAll="0"/>
    <pivotField showAll="0"/>
  </pivotFields>
  <rowFields count="1">
    <field x="22"/>
  </rowFields>
  <rowItems count="3">
    <i>
      <x/>
    </i>
    <i>
      <x v="1"/>
    </i>
    <i t="grand">
      <x/>
    </i>
  </rowItems>
  <colItems count="1">
    <i/>
  </colItems>
  <dataFields count="1">
    <dataField name="Count of Jo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211607-B06C-46B6-B82F-09F4C06DB6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5">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items count="5">
        <item x="2"/>
        <item x="1"/>
        <item x="3"/>
        <item x="0"/>
        <item t="default"/>
      </items>
    </pivotField>
    <pivotField showAll="0"/>
    <pivotField showAll="0"/>
    <pivotField dataField="1"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s>
  <rowItems count="1">
    <i/>
  </rowItems>
  <colItems count="1">
    <i/>
  </colItems>
  <dataFields count="1">
    <dataField name="Average of Annual_Salary_Usd" fld="6"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820669-E201-4F5B-A123-38409A1BB268}" name="Total Job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s>
  <rowItems count="1">
    <i/>
  </rowItems>
  <colItems count="1">
    <i/>
  </colItems>
  <dataFields count="1">
    <dataField name="Count of Jo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49E7DF-7959-45F6-9BC9-D49CB5EBBAD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H11" firstHeaderRow="1" firstDataRow="1" firstDataCol="0"/>
  <pivotFields count="25">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dataField="1" showAll="0"/>
    <pivotField showAll="0"/>
    <pivotField showAll="0"/>
    <pivotField showAll="0">
      <items count="3">
        <item x="1"/>
        <item x="0"/>
        <item t="default"/>
      </items>
    </pivotField>
    <pivotField showAll="0"/>
    <pivotField showAll="0"/>
    <pivotField showAll="0">
      <items count="3">
        <item x="0"/>
        <item x="1"/>
        <item t="default"/>
      </items>
    </pivotField>
    <pivotField showAll="0">
      <items count="3">
        <item x="0"/>
        <item x="1"/>
        <item t="default"/>
      </items>
    </pivotField>
    <pivotField showAll="0"/>
  </pivotFields>
  <rowItems count="1">
    <i/>
  </rowItems>
  <colItems count="1">
    <i/>
  </colItems>
  <dataFields count="1">
    <dataField name="Average of Demand_Score" fld="16"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26282A-5042-4773-93B9-D11F196F21D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B24" firstHeaderRow="1" firstDataRow="1" firstDataCol="1"/>
  <pivotFields count="2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showAll="0">
      <items count="13">
        <item x="0"/>
        <item x="4"/>
        <item x="6"/>
        <item x="1"/>
        <item x="8"/>
        <item x="9"/>
        <item x="10"/>
        <item x="5"/>
        <item x="2"/>
        <item x="11"/>
        <item x="7"/>
        <item x="3"/>
        <item t="default"/>
      </items>
    </pivotField>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3">
        <item x="0"/>
        <item x="1"/>
        <item t="default"/>
      </items>
    </pivotField>
    <pivotField showAll="0"/>
  </pivotFields>
  <rowFields count="1">
    <field x="23"/>
  </rowFields>
  <rowItems count="3">
    <i>
      <x/>
    </i>
    <i>
      <x v="1"/>
    </i>
    <i t="grand">
      <x/>
    </i>
  </rowItems>
  <colItems count="1">
    <i/>
  </colItems>
  <dataFields count="1">
    <dataField name="Count of Job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82BF5B-EE0D-4719-94B3-6CD6C3ABB31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6" firstHeaderRow="1" firstDataRow="1" firstDataCol="1"/>
  <pivotFields count="25">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axis="axisRow" showAll="0">
      <items count="13">
        <item x="0"/>
        <item x="4"/>
        <item x="6"/>
        <item x="1"/>
        <item x="8"/>
        <item x="9"/>
        <item x="10"/>
        <item x="5"/>
        <item x="2"/>
        <item x="11"/>
        <item x="7"/>
        <item x="3"/>
        <item t="default"/>
      </items>
    </pivotField>
    <pivotField showAll="0">
      <items count="5">
        <item x="2"/>
        <item x="1"/>
        <item x="3"/>
        <item x="0"/>
        <item t="default"/>
      </items>
    </pivotField>
    <pivotField showAll="0">
      <items count="16">
        <item x="5"/>
        <item x="1"/>
        <item x="3"/>
        <item x="2"/>
        <item x="4"/>
        <item x="8"/>
        <item x="0"/>
        <item x="6"/>
        <item x="9"/>
        <item x="10"/>
        <item x="11"/>
        <item x="12"/>
        <item x="13"/>
        <item x="14"/>
        <item x="7"/>
        <item t="default"/>
      </items>
    </pivotField>
    <pivotField showAll="0">
      <items count="6">
        <item x="2"/>
        <item x="1"/>
        <item x="3"/>
        <item x="0"/>
        <item x="4"/>
        <item t="default"/>
      </items>
    </pivotField>
    <pivotField dataField="1"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Average of Annual_Salary_Usd" fld="6" subtotal="average" baseField="2" baseItem="4" numFmtId="1"/>
  </dataFields>
  <formats count="1">
    <format dxfId="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0900C9-DDE7-4FEC-98A1-04A7A76B515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8" firstHeaderRow="1" firstDataRow="1" firstDataCol="1"/>
  <pivotFields count="2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showAll="0">
      <items count="13">
        <item x="0"/>
        <item x="4"/>
        <item x="6"/>
        <item x="1"/>
        <item x="8"/>
        <item x="9"/>
        <item x="10"/>
        <item x="5"/>
        <item x="2"/>
        <item x="11"/>
        <item x="7"/>
        <item x="3"/>
        <item t="default"/>
      </items>
    </pivotField>
    <pivotField axis="axisRow" showAll="0">
      <items count="5">
        <item x="2"/>
        <item x="1"/>
        <item x="3"/>
        <item x="0"/>
        <item t="default"/>
      </items>
    </pivotField>
    <pivotField showAll="0">
      <items count="16">
        <item x="5"/>
        <item x="1"/>
        <item x="3"/>
        <item x="2"/>
        <item x="4"/>
        <item x="8"/>
        <item x="0"/>
        <item x="6"/>
        <item x="9"/>
        <item x="10"/>
        <item x="11"/>
        <item x="12"/>
        <item x="13"/>
        <item x="14"/>
        <item x="7"/>
        <item t="default"/>
      </items>
    </pivotField>
    <pivotField showAll="0">
      <items count="6">
        <item x="2"/>
        <item x="1"/>
        <item x="3"/>
        <item x="0"/>
        <item x="4"/>
        <item t="default"/>
      </items>
    </pivotField>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Job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F09D76-41BB-420F-85E1-7DA387D4407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7:B70" firstHeaderRow="1" firstDataRow="1" firstDataCol="1"/>
  <pivotFields count="2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showAll="0" sortType="ascending">
      <items count="13">
        <item x="0"/>
        <item x="4"/>
        <item x="6"/>
        <item x="1"/>
        <item x="8"/>
        <item x="9"/>
        <item x="10"/>
        <item x="5"/>
        <item x="2"/>
        <item x="11"/>
        <item x="7"/>
        <item x="3"/>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axis="axisRow" showAll="0">
      <items count="13">
        <item x="2"/>
        <item x="7"/>
        <item x="5"/>
        <item x="11"/>
        <item x="0"/>
        <item x="3"/>
        <item x="9"/>
        <item x="4"/>
        <item x="10"/>
        <item x="8"/>
        <item x="6"/>
        <item x="1"/>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s>
  <rowFields count="1">
    <field x="13"/>
  </rowFields>
  <rowItems count="13">
    <i>
      <x/>
    </i>
    <i>
      <x v="1"/>
    </i>
    <i>
      <x v="2"/>
    </i>
    <i>
      <x v="3"/>
    </i>
    <i>
      <x v="4"/>
    </i>
    <i>
      <x v="5"/>
    </i>
    <i>
      <x v="6"/>
    </i>
    <i>
      <x v="7"/>
    </i>
    <i>
      <x v="8"/>
    </i>
    <i>
      <x v="9"/>
    </i>
    <i>
      <x v="10"/>
    </i>
    <i>
      <x v="11"/>
    </i>
    <i t="grand">
      <x/>
    </i>
  </rowItems>
  <colItems count="1">
    <i/>
  </colItems>
  <dataFields count="1">
    <dataField name="Count of Job_Id"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81C1AC-341B-4F8E-A196-6FE5BE2F28D1}"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38:E52" firstHeaderRow="1" firstDataRow="2" firstDataCol="1"/>
  <pivotFields count="25">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showAll="0">
      <items count="13">
        <item x="0"/>
        <item x="4"/>
        <item x="6"/>
        <item x="1"/>
        <item x="8"/>
        <item x="9"/>
        <item x="10"/>
        <item x="5"/>
        <item x="2"/>
        <item x="11"/>
        <item x="7"/>
        <item x="3"/>
        <item t="default"/>
      </items>
    </pivotField>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axis="axisRow" showAll="0">
      <items count="13">
        <item x="2"/>
        <item x="7"/>
        <item x="5"/>
        <item x="11"/>
        <item x="0"/>
        <item x="3"/>
        <item x="9"/>
        <item x="4"/>
        <item x="10"/>
        <item x="8"/>
        <item x="6"/>
        <item x="1"/>
        <item t="default"/>
      </items>
    </pivotField>
    <pivotField showAll="0"/>
    <pivotField showAll="0"/>
    <pivotField showAll="0">
      <items count="21">
        <item x="19"/>
        <item x="16"/>
        <item x="15"/>
        <item x="13"/>
        <item x="5"/>
        <item x="1"/>
        <item x="7"/>
        <item x="4"/>
        <item x="18"/>
        <item x="3"/>
        <item x="10"/>
        <item x="11"/>
        <item x="6"/>
        <item x="17"/>
        <item x="12"/>
        <item x="14"/>
        <item x="9"/>
        <item x="0"/>
        <item x="8"/>
        <item x="2"/>
        <item t="default"/>
      </items>
    </pivotField>
    <pivotField dataField="1" showAll="0">
      <items count="566">
        <item x="558"/>
        <item x="334"/>
        <item x="182"/>
        <item x="135"/>
        <item x="363"/>
        <item x="234"/>
        <item x="120"/>
        <item x="190"/>
        <item x="314"/>
        <item x="119"/>
        <item x="292"/>
        <item x="178"/>
        <item x="405"/>
        <item x="125"/>
        <item x="286"/>
        <item x="352"/>
        <item x="72"/>
        <item x="3"/>
        <item x="267"/>
        <item x="536"/>
        <item x="179"/>
        <item x="282"/>
        <item x="353"/>
        <item x="35"/>
        <item x="76"/>
        <item x="94"/>
        <item x="436"/>
        <item x="207"/>
        <item x="89"/>
        <item x="86"/>
        <item x="281"/>
        <item x="73"/>
        <item x="30"/>
        <item x="289"/>
        <item x="112"/>
        <item x="191"/>
        <item x="410"/>
        <item x="184"/>
        <item x="270"/>
        <item x="11"/>
        <item x="37"/>
        <item x="117"/>
        <item x="239"/>
        <item x="131"/>
        <item x="311"/>
        <item x="40"/>
        <item x="104"/>
        <item x="288"/>
        <item x="338"/>
        <item x="365"/>
        <item x="101"/>
        <item x="465"/>
        <item x="399"/>
        <item x="366"/>
        <item x="400"/>
        <item x="129"/>
        <item x="237"/>
        <item x="543"/>
        <item x="374"/>
        <item x="48"/>
        <item x="385"/>
        <item x="27"/>
        <item x="143"/>
        <item x="379"/>
        <item x="259"/>
        <item x="1"/>
        <item x="290"/>
        <item x="165"/>
        <item x="341"/>
        <item x="517"/>
        <item x="519"/>
        <item x="245"/>
        <item x="18"/>
        <item x="208"/>
        <item x="123"/>
        <item x="6"/>
        <item x="138"/>
        <item x="272"/>
        <item x="254"/>
        <item x="350"/>
        <item x="467"/>
        <item x="335"/>
        <item x="74"/>
        <item x="53"/>
        <item x="224"/>
        <item x="103"/>
        <item x="209"/>
        <item x="381"/>
        <item x="248"/>
        <item x="43"/>
        <item x="305"/>
        <item x="200"/>
        <item x="433"/>
        <item x="371"/>
        <item x="420"/>
        <item x="10"/>
        <item x="240"/>
        <item x="36"/>
        <item x="251"/>
        <item x="213"/>
        <item x="152"/>
        <item x="9"/>
        <item x="87"/>
        <item x="321"/>
        <item x="169"/>
        <item x="17"/>
        <item x="218"/>
        <item x="186"/>
        <item x="115"/>
        <item x="29"/>
        <item x="21"/>
        <item x="167"/>
        <item x="225"/>
        <item x="440"/>
        <item x="356"/>
        <item x="0"/>
        <item x="160"/>
        <item x="146"/>
        <item x="132"/>
        <item x="4"/>
        <item x="384"/>
        <item x="118"/>
        <item x="177"/>
        <item x="52"/>
        <item x="70"/>
        <item x="274"/>
        <item x="195"/>
        <item x="260"/>
        <item x="80"/>
        <item x="302"/>
        <item x="390"/>
        <item x="71"/>
        <item x="332"/>
        <item x="336"/>
        <item x="309"/>
        <item x="316"/>
        <item x="293"/>
        <item x="54"/>
        <item x="108"/>
        <item x="355"/>
        <item x="360"/>
        <item x="78"/>
        <item x="421"/>
        <item x="24"/>
        <item x="127"/>
        <item x="250"/>
        <item x="163"/>
        <item x="458"/>
        <item x="313"/>
        <item x="172"/>
        <item x="168"/>
        <item x="91"/>
        <item x="503"/>
        <item x="328"/>
        <item x="32"/>
        <item x="362"/>
        <item x="164"/>
        <item x="28"/>
        <item x="262"/>
        <item x="529"/>
        <item x="188"/>
        <item x="444"/>
        <item x="301"/>
        <item x="197"/>
        <item x="283"/>
        <item x="55"/>
        <item x="175"/>
        <item x="31"/>
        <item x="263"/>
        <item x="339"/>
        <item x="50"/>
        <item x="354"/>
        <item x="502"/>
        <item x="278"/>
        <item x="171"/>
        <item x="81"/>
        <item x="202"/>
        <item x="198"/>
        <item x="105"/>
        <item x="26"/>
        <item x="187"/>
        <item x="349"/>
        <item x="44"/>
        <item x="153"/>
        <item x="235"/>
        <item x="367"/>
        <item x="95"/>
        <item x="173"/>
        <item x="214"/>
        <item x="401"/>
        <item x="435"/>
        <item x="141"/>
        <item x="124"/>
        <item x="59"/>
        <item x="57"/>
        <item x="77"/>
        <item x="90"/>
        <item x="142"/>
        <item x="277"/>
        <item x="521"/>
        <item x="211"/>
        <item x="320"/>
        <item x="454"/>
        <item x="492"/>
        <item x="337"/>
        <item x="368"/>
        <item x="486"/>
        <item x="46"/>
        <item x="137"/>
        <item x="222"/>
        <item x="38"/>
        <item x="324"/>
        <item x="84"/>
        <item x="369"/>
        <item x="275"/>
        <item x="330"/>
        <item x="398"/>
        <item x="68"/>
        <item x="19"/>
        <item x="145"/>
        <item x="128"/>
        <item x="269"/>
        <item x="257"/>
        <item x="340"/>
        <item x="223"/>
        <item x="422"/>
        <item x="64"/>
        <item x="441"/>
        <item x="98"/>
        <item x="100"/>
        <item x="62"/>
        <item x="25"/>
        <item x="42"/>
        <item x="111"/>
        <item x="216"/>
        <item x="61"/>
        <item x="228"/>
        <item x="261"/>
        <item x="560"/>
        <item x="193"/>
        <item x="219"/>
        <item x="244"/>
        <item x="45"/>
        <item x="49"/>
        <item x="47"/>
        <item x="498"/>
        <item x="472"/>
        <item x="134"/>
        <item x="442"/>
        <item x="554"/>
        <item x="411"/>
        <item x="233"/>
        <item x="481"/>
        <item x="39"/>
        <item x="220"/>
        <item x="396"/>
        <item x="382"/>
        <item x="258"/>
        <item x="343"/>
        <item x="12"/>
        <item x="326"/>
        <item x="508"/>
        <item x="457"/>
        <item x="185"/>
        <item x="7"/>
        <item x="494"/>
        <item x="157"/>
        <item x="65"/>
        <item x="547"/>
        <item x="512"/>
        <item x="144"/>
        <item x="452"/>
        <item x="415"/>
        <item x="474"/>
        <item x="82"/>
        <item x="475"/>
        <item x="210"/>
        <item x="279"/>
        <item x="306"/>
        <item x="499"/>
        <item x="241"/>
        <item x="541"/>
        <item x="231"/>
        <item x="450"/>
        <item x="397"/>
        <item x="315"/>
        <item x="443"/>
        <item x="299"/>
        <item x="504"/>
        <item x="478"/>
        <item x="402"/>
        <item x="437"/>
        <item x="122"/>
        <item x="413"/>
        <item x="116"/>
        <item x="256"/>
        <item x="389"/>
        <item x="291"/>
        <item x="22"/>
        <item x="347"/>
        <item x="518"/>
        <item x="325"/>
        <item x="300"/>
        <item x="319"/>
        <item x="99"/>
        <item x="69"/>
        <item x="495"/>
        <item x="416"/>
        <item x="327"/>
        <item x="520"/>
        <item x="109"/>
        <item x="2"/>
        <item x="329"/>
        <item x="531"/>
        <item x="476"/>
        <item x="493"/>
        <item x="451"/>
        <item x="525"/>
        <item x="446"/>
        <item x="373"/>
        <item x="284"/>
        <item x="403"/>
        <item x="133"/>
        <item x="527"/>
        <item x="523"/>
        <item x="459"/>
        <item x="375"/>
        <item x="434"/>
        <item x="351"/>
        <item x="491"/>
        <item x="535"/>
        <item x="294"/>
        <item x="226"/>
        <item x="176"/>
        <item x="555"/>
        <item x="203"/>
        <item x="204"/>
        <item x="196"/>
        <item x="427"/>
        <item x="561"/>
        <item x="372"/>
        <item x="41"/>
        <item x="107"/>
        <item x="317"/>
        <item x="205"/>
        <item x="448"/>
        <item x="464"/>
        <item x="345"/>
        <item x="393"/>
        <item x="460"/>
        <item x="383"/>
        <item x="93"/>
        <item x="232"/>
        <item x="515"/>
        <item x="13"/>
        <item x="148"/>
        <item x="110"/>
        <item x="447"/>
        <item x="126"/>
        <item x="409"/>
        <item x="348"/>
        <item x="388"/>
        <item x="151"/>
        <item x="308"/>
        <item x="66"/>
        <item x="361"/>
        <item x="412"/>
        <item x="201"/>
        <item x="524"/>
        <item x="253"/>
        <item x="88"/>
        <item x="92"/>
        <item x="455"/>
        <item x="56"/>
        <item x="296"/>
        <item x="158"/>
        <item x="456"/>
        <item x="490"/>
        <item x="546"/>
        <item x="516"/>
        <item x="358"/>
        <item x="538"/>
        <item x="242"/>
        <item x="545"/>
        <item x="271"/>
        <item x="161"/>
        <item x="276"/>
        <item x="500"/>
        <item x="252"/>
        <item x="136"/>
        <item x="540"/>
        <item x="102"/>
        <item x="559"/>
        <item x="376"/>
        <item x="155"/>
        <item x="194"/>
        <item x="430"/>
        <item x="507"/>
        <item x="489"/>
        <item x="468"/>
        <item x="431"/>
        <item x="310"/>
        <item x="238"/>
        <item x="539"/>
        <item x="266"/>
        <item x="34"/>
        <item x="344"/>
        <item x="563"/>
        <item x="166"/>
        <item x="333"/>
        <item x="318"/>
        <item x="408"/>
        <item x="479"/>
        <item x="470"/>
        <item x="246"/>
        <item x="496"/>
        <item x="303"/>
        <item x="537"/>
        <item x="247"/>
        <item x="364"/>
        <item x="140"/>
        <item x="394"/>
        <item x="58"/>
        <item x="236"/>
        <item x="280"/>
        <item x="139"/>
        <item x="562"/>
        <item x="418"/>
        <item x="180"/>
        <item x="149"/>
        <item x="514"/>
        <item x="387"/>
        <item x="174"/>
        <item x="550"/>
        <item x="147"/>
        <item x="229"/>
        <item x="75"/>
        <item x="199"/>
        <item x="150"/>
        <item x="473"/>
        <item x="298"/>
        <item x="380"/>
        <item x="79"/>
        <item x="395"/>
        <item x="542"/>
        <item x="487"/>
        <item x="417"/>
        <item x="549"/>
        <item x="392"/>
        <item x="386"/>
        <item x="189"/>
        <item x="285"/>
        <item x="331"/>
        <item x="506"/>
        <item x="528"/>
        <item x="5"/>
        <item x="391"/>
        <item x="113"/>
        <item x="534"/>
        <item x="15"/>
        <item x="217"/>
        <item x="530"/>
        <item x="533"/>
        <item x="407"/>
        <item x="439"/>
        <item x="346"/>
        <item x="484"/>
        <item x="323"/>
        <item x="273"/>
        <item x="359"/>
        <item x="419"/>
        <item x="264"/>
        <item x="461"/>
        <item x="526"/>
        <item x="438"/>
        <item x="312"/>
        <item x="378"/>
        <item x="297"/>
        <item x="215"/>
        <item x="322"/>
        <item x="557"/>
        <item x="114"/>
        <item x="482"/>
        <item x="67"/>
        <item x="432"/>
        <item x="377"/>
        <item x="469"/>
        <item x="471"/>
        <item x="497"/>
        <item x="63"/>
        <item x="426"/>
        <item x="453"/>
        <item x="230"/>
        <item x="505"/>
        <item x="445"/>
        <item x="462"/>
        <item x="553"/>
        <item x="287"/>
        <item x="428"/>
        <item x="51"/>
        <item x="551"/>
        <item x="14"/>
        <item x="483"/>
        <item x="423"/>
        <item x="424"/>
        <item x="121"/>
        <item x="304"/>
        <item x="96"/>
        <item x="20"/>
        <item x="425"/>
        <item x="170"/>
        <item x="522"/>
        <item x="16"/>
        <item x="106"/>
        <item x="485"/>
        <item x="154"/>
        <item x="564"/>
        <item x="414"/>
        <item x="83"/>
        <item x="192"/>
        <item x="449"/>
        <item x="8"/>
        <item x="548"/>
        <item x="265"/>
        <item x="255"/>
        <item x="466"/>
        <item x="23"/>
        <item x="295"/>
        <item x="60"/>
        <item x="97"/>
        <item x="370"/>
        <item x="509"/>
        <item x="477"/>
        <item x="33"/>
        <item x="342"/>
        <item x="268"/>
        <item x="183"/>
        <item x="544"/>
        <item x="243"/>
        <item x="511"/>
        <item x="510"/>
        <item x="463"/>
        <item x="513"/>
        <item x="130"/>
        <item x="480"/>
        <item x="556"/>
        <item x="429"/>
        <item x="488"/>
        <item x="85"/>
        <item x="227"/>
        <item x="212"/>
        <item x="501"/>
        <item x="404"/>
        <item x="406"/>
        <item x="552"/>
        <item x="162"/>
        <item x="156"/>
        <item x="206"/>
        <item x="221"/>
        <item x="357"/>
        <item x="532"/>
        <item x="307"/>
        <item x="159"/>
        <item x="249"/>
        <item x="181"/>
        <item t="default"/>
      </items>
    </pivotField>
    <pivotField showAll="0"/>
    <pivotField axis="axisCol" showAll="0">
      <items count="3">
        <item x="1"/>
        <item x="0"/>
        <item t="default"/>
      </items>
    </pivotField>
    <pivotField showAll="0"/>
    <pivotField showAll="0"/>
    <pivotField showAll="0">
      <items count="3">
        <item x="0"/>
        <item x="1"/>
        <item t="default"/>
      </items>
    </pivotField>
    <pivotField showAll="0">
      <items count="3">
        <item x="0"/>
        <item x="1"/>
        <item t="default"/>
      </items>
    </pivotField>
    <pivotField showAll="0"/>
  </pivotFields>
  <rowFields count="1">
    <field x="13"/>
  </rowFields>
  <rowItems count="13">
    <i>
      <x/>
    </i>
    <i>
      <x v="1"/>
    </i>
    <i>
      <x v="2"/>
    </i>
    <i>
      <x v="3"/>
    </i>
    <i>
      <x v="4"/>
    </i>
    <i>
      <x v="5"/>
    </i>
    <i>
      <x v="6"/>
    </i>
    <i>
      <x v="7"/>
    </i>
    <i>
      <x v="8"/>
    </i>
    <i>
      <x v="9"/>
    </i>
    <i>
      <x v="10"/>
    </i>
    <i>
      <x v="11"/>
    </i>
    <i t="grand">
      <x/>
    </i>
  </rowItems>
  <colFields count="1">
    <field x="19"/>
  </colFields>
  <colItems count="3">
    <i>
      <x/>
    </i>
    <i>
      <x v="1"/>
    </i>
    <i t="grand">
      <x/>
    </i>
  </colItems>
  <dataFields count="1">
    <dataField name="Average of Demand_Growth_Yoy_Pct" fld="17"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FA3EDE-76E3-4B72-9A21-01A1F48A308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axis="axisRow" showAll="0" sortType="ascending">
      <items count="13">
        <item x="0"/>
        <item x="4"/>
        <item x="6"/>
        <item x="1"/>
        <item x="8"/>
        <item x="9"/>
        <item x="10"/>
        <item x="5"/>
        <item x="2"/>
        <item x="11"/>
        <item x="7"/>
        <item x="3"/>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s>
  <rowFields count="1">
    <field x="2"/>
  </rowFields>
  <rowItems count="13">
    <i>
      <x v="11"/>
    </i>
    <i>
      <x v="9"/>
    </i>
    <i>
      <x v="3"/>
    </i>
    <i>
      <x v="7"/>
    </i>
    <i>
      <x v="1"/>
    </i>
    <i>
      <x v="6"/>
    </i>
    <i>
      <x v="2"/>
    </i>
    <i>
      <x v="8"/>
    </i>
    <i>
      <x v="10"/>
    </i>
    <i>
      <x v="5"/>
    </i>
    <i>
      <x v="4"/>
    </i>
    <i>
      <x/>
    </i>
    <i t="grand">
      <x/>
    </i>
  </rowItems>
  <colItems count="1">
    <i/>
  </colItems>
  <dataFields count="1">
    <dataField name="Count of Job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F55272-4141-4C18-AF88-A2D5CC457F1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21:I24" firstHeaderRow="1" firstDataRow="1" firstDataCol="1"/>
  <pivotFields count="2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showAll="0">
      <items count="13">
        <item x="0"/>
        <item x="4"/>
        <item x="6"/>
        <item x="1"/>
        <item x="8"/>
        <item x="9"/>
        <item x="10"/>
        <item x="5"/>
        <item x="2"/>
        <item x="11"/>
        <item x="7"/>
        <item x="3"/>
        <item t="default"/>
      </items>
    </pivotField>
    <pivotField showAll="0">
      <items count="5">
        <item x="2"/>
        <item x="1"/>
        <item x="3"/>
        <item x="0"/>
        <item t="default"/>
      </items>
    </pivotField>
    <pivotField showAll="0"/>
    <pivotField showAll="0"/>
    <pivotField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items count="3">
        <item x="0"/>
        <item x="1"/>
        <item t="default"/>
      </items>
    </pivotField>
    <pivotField showAll="0">
      <items count="3">
        <item x="0"/>
        <item x="1"/>
        <item t="default"/>
      </items>
    </pivotField>
    <pivotField showAll="0"/>
  </pivotFields>
  <rowFields count="1">
    <field x="22"/>
  </rowFields>
  <rowItems count="3">
    <i>
      <x/>
    </i>
    <i>
      <x v="1"/>
    </i>
    <i t="grand">
      <x/>
    </i>
  </rowItems>
  <colItems count="1">
    <i/>
  </colItems>
  <dataFields count="1">
    <dataField name="Count of Job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BA8363F-0072-4656-8802-978BF93DE93B}" sourceName="Country">
  <pivotTables>
    <pivotTable tabId="2" name="PivotTable6"/>
    <pivotTable tabId="3" name="PivotTable10"/>
    <pivotTable tabId="3" name="PivotTable11"/>
    <pivotTable tabId="3" name="PivotTable12"/>
    <pivotTable tabId="3" name="PivotTable13"/>
    <pivotTable tabId="3" name="PivotTable18"/>
    <pivotTable tabId="3" name="PivotTable8"/>
    <pivotTable tabId="2" name="PivotTable4"/>
    <pivotTable tabId="2" name="PivotTable5"/>
    <pivotTable tabId="2" name="PivotTable7"/>
    <pivotTable tabId="2" name="Total Jobs"/>
  </pivotTables>
  <data>
    <tabular pivotCacheId="2109194884">
      <items count="14">
        <i x="11" s="1"/>
        <i x="7" s="1"/>
        <i x="6" s="1"/>
        <i x="10" s="1"/>
        <i x="12" s="1"/>
        <i x="3" s="1"/>
        <i x="4" s="1"/>
        <i x="5" s="1"/>
        <i x="9" s="1"/>
        <i x="2" s="1"/>
        <i x="13" s="1"/>
        <i x="8"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F3F43406-3E36-467D-87CD-08FB9C23C8B3}" sourceName="Experience_Level">
  <pivotTables>
    <pivotTable tabId="2" name="PivotTable6"/>
    <pivotTable tabId="3" name="PivotTable10"/>
    <pivotTable tabId="3" name="PivotTable11"/>
    <pivotTable tabId="3" name="PivotTable12"/>
    <pivotTable tabId="3" name="PivotTable13"/>
    <pivotTable tabId="3" name="PivotTable18"/>
    <pivotTable tabId="3" name="PivotTable8"/>
    <pivotTable tabId="3" name="PivotTable9"/>
    <pivotTable tabId="2" name="PivotTable4"/>
    <pivotTable tabId="2" name="PivotTable5"/>
    <pivotTable tabId="2" name="PivotTable7"/>
    <pivotTable tabId="2" name="Total Jobs"/>
  </pivotTables>
  <data>
    <tabular pivotCacheId="210919488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ing_Year" xr10:uid="{CE78DF05-1E7E-4332-BDF7-F862ABFDCD6E}" sourceName="Posting_Year">
  <pivotTables>
    <pivotTable tabId="2" name="PivotTable6"/>
    <pivotTable tabId="3" name="PivotTable10"/>
    <pivotTable tabId="3" name="PivotTable11"/>
    <pivotTable tabId="3" name="PivotTable12"/>
    <pivotTable tabId="3" name="PivotTable13"/>
    <pivotTable tabId="3" name="PivotTable18"/>
    <pivotTable tabId="3" name="PivotTable8"/>
    <pivotTable tabId="3" name="PivotTable9"/>
    <pivotTable tabId="2" name="PivotTable4"/>
    <pivotTable tabId="2" name="PivotTable5"/>
    <pivotTable tabId="2" name="PivotTable7"/>
    <pivotTable tabId="2" name="Total Jobs"/>
  </pivotTables>
  <data>
    <tabular pivotCacheId="210919488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1CA0162-E0CF-4191-B8FF-E4F2CAE6ED8E}" cache="Slicer_Country" caption="Country" style="Slicer Style 1" rowHeight="251883"/>
  <slicer name="Experience_Level 1" xr10:uid="{C91086FE-F2C4-4067-A433-9FE21C707D54}" cache="Slicer_Experience_Level" caption="Experience_Level" style="Slicer Style 1" rowHeight="251883"/>
  <slicer name="Posting_Year 1" xr10:uid="{19889891-D2BA-4C79-93A5-C1FEF177EB95}" cache="Slicer_Posting_Year" caption="Posting_Year"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3A40A42-904A-4D58-B307-459B3554A028}" cache="Slicer_Country" caption="Country" rowHeight="251883"/>
  <slicer name="Experience_Level" xr10:uid="{7C10D256-EE75-4E15-BBC0-D382DAE299A6}" cache="Slicer_Experience_Level" caption="Experience_Level" rowHeight="251883"/>
  <slicer name="Posting_Year" xr10:uid="{ACF68FF7-7E20-43B9-88A0-AC327D6C04E4}" cache="Slicer_Posting_Year" caption="Posting_Yea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DF22-1C50-402A-9EFA-C2B8D95EBC8A}">
  <dimension ref="A1:Y1501"/>
  <sheetViews>
    <sheetView topLeftCell="A70" workbookViewId="0">
      <selection activeCell="F11" sqref="F11"/>
    </sheetView>
  </sheetViews>
  <sheetFormatPr defaultRowHeight="14.5" x14ac:dyDescent="0.35"/>
  <cols>
    <col min="1" max="1" width="9.453125" bestFit="1" customWidth="1"/>
    <col min="2" max="2" width="21.81640625" bestFit="1" customWidth="1"/>
    <col min="3" max="3" width="14.54296875" bestFit="1" customWidth="1"/>
    <col min="4" max="4" width="15.36328125" bestFit="1" customWidth="1"/>
    <col min="5" max="5" width="10.08984375" bestFit="1" customWidth="1"/>
    <col min="6" max="6" width="18.7265625" bestFit="1" customWidth="1"/>
    <col min="7" max="7" width="17" bestFit="1" customWidth="1"/>
    <col min="8" max="8" width="14.08984375" bestFit="1" customWidth="1"/>
    <col min="9" max="9" width="14.36328125" bestFit="1" customWidth="1"/>
    <col min="10" max="10" width="12.1796875" bestFit="1" customWidth="1"/>
    <col min="11" max="11" width="10.7265625" bestFit="1" customWidth="1"/>
    <col min="12" max="12" width="12.36328125" bestFit="1" customWidth="1"/>
    <col min="13" max="13" width="17" bestFit="1" customWidth="1"/>
    <col min="14" max="14" width="12.453125" bestFit="1" customWidth="1"/>
    <col min="15" max="15" width="97.90625" bestFit="1" customWidth="1"/>
    <col min="16" max="16" width="20.6328125" bestFit="1" customWidth="1"/>
    <col min="17" max="17" width="13.54296875" bestFit="1" customWidth="1"/>
    <col min="18" max="18" width="22.36328125" bestFit="1" customWidth="1"/>
    <col min="19" max="19" width="16.1796875" bestFit="1" customWidth="1"/>
    <col min="20" max="20" width="11.54296875" bestFit="1" customWidth="1"/>
    <col min="21" max="21" width="13.1796875" bestFit="1" customWidth="1"/>
    <col min="22" max="22" width="8.453125" bestFit="1" customWidth="1"/>
    <col min="23" max="23" width="17.36328125" bestFit="1" customWidth="1"/>
    <col min="24" max="24" width="10.7265625" bestFit="1" customWidth="1"/>
    <col min="25" max="25" width="19.6328125" bestFit="1"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B2" t="s">
        <v>26</v>
      </c>
      <c r="C2" t="s">
        <v>27</v>
      </c>
      <c r="D2" t="s">
        <v>28</v>
      </c>
      <c r="E2">
        <v>7</v>
      </c>
      <c r="F2" t="s">
        <v>29</v>
      </c>
      <c r="G2">
        <v>239000</v>
      </c>
      <c r="H2">
        <v>155000</v>
      </c>
      <c r="I2">
        <v>290000</v>
      </c>
      <c r="J2" t="s">
        <v>30</v>
      </c>
      <c r="K2" t="s">
        <v>31</v>
      </c>
      <c r="L2" t="s">
        <v>32</v>
      </c>
      <c r="M2" t="s">
        <v>33</v>
      </c>
      <c r="N2" t="s">
        <v>34</v>
      </c>
      <c r="O2" t="s">
        <v>35</v>
      </c>
      <c r="P2">
        <v>13.1</v>
      </c>
      <c r="Q2">
        <v>96</v>
      </c>
      <c r="R2">
        <v>16.899999999999999</v>
      </c>
      <c r="S2">
        <v>6.8</v>
      </c>
      <c r="T2">
        <v>2026</v>
      </c>
      <c r="U2">
        <v>3</v>
      </c>
      <c r="V2">
        <v>1</v>
      </c>
      <c r="W2" t="s">
        <v>36</v>
      </c>
      <c r="X2" t="s">
        <v>37</v>
      </c>
      <c r="Y2" t="s">
        <v>38</v>
      </c>
    </row>
    <row r="3" spans="1:25" x14ac:dyDescent="0.35">
      <c r="A3" t="s">
        <v>39</v>
      </c>
      <c r="B3" t="s">
        <v>40</v>
      </c>
      <c r="C3" t="s">
        <v>27</v>
      </c>
      <c r="D3" t="s">
        <v>28</v>
      </c>
      <c r="E3">
        <v>2</v>
      </c>
      <c r="F3" t="s">
        <v>41</v>
      </c>
      <c r="G3">
        <v>166000</v>
      </c>
      <c r="H3">
        <v>90000</v>
      </c>
      <c r="I3">
        <v>200000</v>
      </c>
      <c r="J3" t="s">
        <v>42</v>
      </c>
      <c r="K3" t="s">
        <v>43</v>
      </c>
      <c r="L3" t="s">
        <v>44</v>
      </c>
      <c r="M3" t="s">
        <v>45</v>
      </c>
      <c r="N3" t="s">
        <v>34</v>
      </c>
      <c r="O3" t="s">
        <v>46</v>
      </c>
      <c r="P3">
        <v>5.4</v>
      </c>
      <c r="Q3">
        <v>82</v>
      </c>
      <c r="R3">
        <v>11.6</v>
      </c>
      <c r="S3">
        <v>6.2</v>
      </c>
      <c r="T3">
        <v>2026</v>
      </c>
      <c r="U3">
        <v>1</v>
      </c>
      <c r="V3">
        <v>1</v>
      </c>
      <c r="W3" t="s">
        <v>47</v>
      </c>
      <c r="X3" t="s">
        <v>37</v>
      </c>
      <c r="Y3" t="s">
        <v>48</v>
      </c>
    </row>
    <row r="4" spans="1:25" x14ac:dyDescent="0.35">
      <c r="A4" t="s">
        <v>49</v>
      </c>
      <c r="B4" t="s">
        <v>50</v>
      </c>
      <c r="C4" t="s">
        <v>27</v>
      </c>
      <c r="D4" t="s">
        <v>28</v>
      </c>
      <c r="E4">
        <v>4</v>
      </c>
      <c r="F4" t="s">
        <v>51</v>
      </c>
      <c r="G4">
        <v>360000</v>
      </c>
      <c r="H4">
        <v>160000</v>
      </c>
      <c r="I4">
        <v>300000</v>
      </c>
      <c r="J4" t="s">
        <v>52</v>
      </c>
      <c r="K4" t="s">
        <v>31</v>
      </c>
      <c r="L4" t="s">
        <v>53</v>
      </c>
      <c r="M4" t="s">
        <v>54</v>
      </c>
      <c r="N4" t="s">
        <v>34</v>
      </c>
      <c r="O4" t="s">
        <v>55</v>
      </c>
      <c r="P4">
        <v>9.1</v>
      </c>
      <c r="Q4">
        <v>98</v>
      </c>
      <c r="R4">
        <v>42.7</v>
      </c>
      <c r="S4">
        <v>7.7</v>
      </c>
      <c r="T4">
        <v>2026</v>
      </c>
      <c r="U4">
        <v>1</v>
      </c>
      <c r="V4">
        <v>1</v>
      </c>
      <c r="W4" t="s">
        <v>47</v>
      </c>
      <c r="X4" t="s">
        <v>37</v>
      </c>
      <c r="Y4" t="s">
        <v>56</v>
      </c>
    </row>
    <row r="5" spans="1:25" x14ac:dyDescent="0.35">
      <c r="A5" t="s">
        <v>57</v>
      </c>
      <c r="B5" t="s">
        <v>58</v>
      </c>
      <c r="C5" t="s">
        <v>59</v>
      </c>
      <c r="D5" t="s">
        <v>28</v>
      </c>
      <c r="E5">
        <v>3</v>
      </c>
      <c r="F5" t="s">
        <v>41</v>
      </c>
      <c r="G5">
        <v>161000</v>
      </c>
      <c r="H5">
        <v>130000</v>
      </c>
      <c r="I5">
        <v>220000</v>
      </c>
      <c r="J5" t="s">
        <v>60</v>
      </c>
      <c r="K5" t="s">
        <v>60</v>
      </c>
      <c r="L5" t="s">
        <v>53</v>
      </c>
      <c r="M5" t="s">
        <v>61</v>
      </c>
      <c r="N5" t="s">
        <v>62</v>
      </c>
      <c r="O5" t="s">
        <v>63</v>
      </c>
      <c r="P5">
        <v>12</v>
      </c>
      <c r="Q5">
        <v>88</v>
      </c>
      <c r="R5">
        <v>6.7</v>
      </c>
      <c r="S5">
        <v>9.5</v>
      </c>
      <c r="T5">
        <v>2026</v>
      </c>
      <c r="U5">
        <v>3</v>
      </c>
      <c r="V5">
        <v>1</v>
      </c>
      <c r="W5" t="s">
        <v>47</v>
      </c>
      <c r="X5" t="s">
        <v>64</v>
      </c>
      <c r="Y5" t="s">
        <v>48</v>
      </c>
    </row>
    <row r="6" spans="1:25" x14ac:dyDescent="0.35">
      <c r="A6" t="s">
        <v>65</v>
      </c>
      <c r="B6" t="s">
        <v>66</v>
      </c>
      <c r="C6" t="s">
        <v>67</v>
      </c>
      <c r="D6" t="s">
        <v>68</v>
      </c>
      <c r="E6">
        <v>5</v>
      </c>
      <c r="F6" t="s">
        <v>69</v>
      </c>
      <c r="G6">
        <v>283000</v>
      </c>
      <c r="H6">
        <v>140000</v>
      </c>
      <c r="I6">
        <v>260000</v>
      </c>
      <c r="J6" t="s">
        <v>70</v>
      </c>
      <c r="K6" t="s">
        <v>31</v>
      </c>
      <c r="L6" t="s">
        <v>53</v>
      </c>
      <c r="M6" t="s">
        <v>45</v>
      </c>
      <c r="N6" t="s">
        <v>71</v>
      </c>
      <c r="O6" t="s">
        <v>72</v>
      </c>
      <c r="P6">
        <v>9.4</v>
      </c>
      <c r="Q6">
        <v>85</v>
      </c>
      <c r="R6">
        <v>17.3</v>
      </c>
      <c r="S6">
        <v>8.9</v>
      </c>
      <c r="T6">
        <v>2026</v>
      </c>
      <c r="U6">
        <v>1</v>
      </c>
      <c r="V6">
        <v>1</v>
      </c>
      <c r="W6" t="s">
        <v>47</v>
      </c>
      <c r="X6" t="s">
        <v>64</v>
      </c>
      <c r="Y6" t="s">
        <v>38</v>
      </c>
    </row>
    <row r="7" spans="1:25" x14ac:dyDescent="0.35">
      <c r="A7" t="s">
        <v>73</v>
      </c>
      <c r="B7" t="s">
        <v>26</v>
      </c>
      <c r="C7" t="s">
        <v>27</v>
      </c>
      <c r="D7" t="s">
        <v>74</v>
      </c>
      <c r="E7">
        <v>5</v>
      </c>
      <c r="F7" t="s">
        <v>69</v>
      </c>
      <c r="G7">
        <v>155000</v>
      </c>
      <c r="H7">
        <v>155000</v>
      </c>
      <c r="I7">
        <v>290000</v>
      </c>
      <c r="J7" t="s">
        <v>75</v>
      </c>
      <c r="K7" t="s">
        <v>31</v>
      </c>
      <c r="L7" t="s">
        <v>32</v>
      </c>
      <c r="M7" t="s">
        <v>45</v>
      </c>
      <c r="N7" t="s">
        <v>76</v>
      </c>
      <c r="O7" t="s">
        <v>77</v>
      </c>
      <c r="P7">
        <v>8</v>
      </c>
      <c r="Q7">
        <v>96</v>
      </c>
      <c r="R7">
        <v>67.7</v>
      </c>
      <c r="S7">
        <v>8.6999999999999993</v>
      </c>
      <c r="T7">
        <v>2026</v>
      </c>
      <c r="U7">
        <v>1</v>
      </c>
      <c r="V7">
        <v>0</v>
      </c>
      <c r="W7" t="s">
        <v>36</v>
      </c>
      <c r="X7" t="s">
        <v>37</v>
      </c>
      <c r="Y7" t="s">
        <v>48</v>
      </c>
    </row>
    <row r="8" spans="1:25" x14ac:dyDescent="0.35">
      <c r="A8" t="s">
        <v>78</v>
      </c>
      <c r="B8" t="s">
        <v>79</v>
      </c>
      <c r="C8" t="s">
        <v>80</v>
      </c>
      <c r="D8" t="s">
        <v>81</v>
      </c>
      <c r="E8">
        <v>5</v>
      </c>
      <c r="F8" t="s">
        <v>29</v>
      </c>
      <c r="G8">
        <v>197000</v>
      </c>
      <c r="H8">
        <v>140000</v>
      </c>
      <c r="I8">
        <v>260000</v>
      </c>
      <c r="J8" t="s">
        <v>30</v>
      </c>
      <c r="K8" t="s">
        <v>31</v>
      </c>
      <c r="L8" t="s">
        <v>53</v>
      </c>
      <c r="M8" t="s">
        <v>82</v>
      </c>
      <c r="N8" t="s">
        <v>83</v>
      </c>
      <c r="O8" t="s">
        <v>84</v>
      </c>
      <c r="P8">
        <v>16.3</v>
      </c>
      <c r="Q8">
        <v>80</v>
      </c>
      <c r="R8">
        <v>12.7</v>
      </c>
      <c r="S8">
        <v>6.2</v>
      </c>
      <c r="T8">
        <v>2026</v>
      </c>
      <c r="U8">
        <v>1</v>
      </c>
      <c r="V8">
        <v>0</v>
      </c>
      <c r="W8" t="s">
        <v>47</v>
      </c>
      <c r="X8" t="s">
        <v>64</v>
      </c>
      <c r="Y8" t="s">
        <v>48</v>
      </c>
    </row>
    <row r="9" spans="1:25" x14ac:dyDescent="0.35">
      <c r="A9" t="s">
        <v>85</v>
      </c>
      <c r="B9" t="s">
        <v>86</v>
      </c>
      <c r="C9" t="s">
        <v>27</v>
      </c>
      <c r="D9" t="s">
        <v>81</v>
      </c>
      <c r="E9">
        <v>7</v>
      </c>
      <c r="F9" t="s">
        <v>29</v>
      </c>
      <c r="G9">
        <v>221000</v>
      </c>
      <c r="H9">
        <v>180000</v>
      </c>
      <c r="I9">
        <v>312000</v>
      </c>
      <c r="J9" t="s">
        <v>47</v>
      </c>
      <c r="K9" t="s">
        <v>87</v>
      </c>
      <c r="L9" t="s">
        <v>53</v>
      </c>
      <c r="M9" t="s">
        <v>33</v>
      </c>
      <c r="N9" t="s">
        <v>88</v>
      </c>
      <c r="O9" t="s">
        <v>89</v>
      </c>
      <c r="P9">
        <v>12.5</v>
      </c>
      <c r="Q9">
        <v>96</v>
      </c>
      <c r="R9">
        <v>33.1</v>
      </c>
      <c r="S9">
        <v>6.2</v>
      </c>
      <c r="T9">
        <v>2025</v>
      </c>
      <c r="U9">
        <v>9</v>
      </c>
      <c r="V9">
        <v>0</v>
      </c>
      <c r="W9" t="s">
        <v>47</v>
      </c>
      <c r="X9" t="s">
        <v>64</v>
      </c>
      <c r="Y9" t="s">
        <v>38</v>
      </c>
    </row>
    <row r="10" spans="1:25" x14ac:dyDescent="0.35">
      <c r="A10" t="s">
        <v>90</v>
      </c>
      <c r="B10" t="s">
        <v>91</v>
      </c>
      <c r="C10" t="s">
        <v>27</v>
      </c>
      <c r="D10" t="s">
        <v>74</v>
      </c>
      <c r="E10">
        <v>3</v>
      </c>
      <c r="F10" t="s">
        <v>41</v>
      </c>
      <c r="G10">
        <v>145000</v>
      </c>
      <c r="H10">
        <v>145000</v>
      </c>
      <c r="I10">
        <v>290000</v>
      </c>
      <c r="J10" t="s">
        <v>92</v>
      </c>
      <c r="K10" t="s">
        <v>93</v>
      </c>
      <c r="L10" t="s">
        <v>44</v>
      </c>
      <c r="M10" t="s">
        <v>61</v>
      </c>
      <c r="N10" t="s">
        <v>71</v>
      </c>
      <c r="O10" t="s">
        <v>94</v>
      </c>
      <c r="P10">
        <v>8.1</v>
      </c>
      <c r="Q10">
        <v>91</v>
      </c>
      <c r="R10">
        <v>79.400000000000006</v>
      </c>
      <c r="S10">
        <v>8.1999999999999993</v>
      </c>
      <c r="T10">
        <v>2025</v>
      </c>
      <c r="U10">
        <v>8</v>
      </c>
      <c r="V10">
        <v>0</v>
      </c>
      <c r="W10" t="s">
        <v>47</v>
      </c>
      <c r="X10" t="s">
        <v>64</v>
      </c>
      <c r="Y10" t="s">
        <v>95</v>
      </c>
    </row>
    <row r="11" spans="1:25" x14ac:dyDescent="0.35">
      <c r="A11" t="s">
        <v>96</v>
      </c>
      <c r="B11" t="s">
        <v>40</v>
      </c>
      <c r="C11" t="s">
        <v>27</v>
      </c>
      <c r="D11" t="s">
        <v>74</v>
      </c>
      <c r="E11">
        <v>4</v>
      </c>
      <c r="F11" t="s">
        <v>69</v>
      </c>
      <c r="G11">
        <v>90000</v>
      </c>
      <c r="H11">
        <v>90000</v>
      </c>
      <c r="I11">
        <v>200000</v>
      </c>
      <c r="J11" t="s">
        <v>70</v>
      </c>
      <c r="K11" t="s">
        <v>31</v>
      </c>
      <c r="L11" t="s">
        <v>32</v>
      </c>
      <c r="M11" t="s">
        <v>33</v>
      </c>
      <c r="N11" t="s">
        <v>71</v>
      </c>
      <c r="O11" t="s">
        <v>97</v>
      </c>
      <c r="P11">
        <v>6.1</v>
      </c>
      <c r="Q11">
        <v>82</v>
      </c>
      <c r="R11">
        <v>15.5</v>
      </c>
      <c r="S11">
        <v>7.1</v>
      </c>
      <c r="T11">
        <v>2025</v>
      </c>
      <c r="U11">
        <v>2</v>
      </c>
      <c r="V11">
        <v>0</v>
      </c>
      <c r="W11" t="s">
        <v>36</v>
      </c>
      <c r="X11" t="s">
        <v>37</v>
      </c>
      <c r="Y11" t="s">
        <v>98</v>
      </c>
    </row>
    <row r="12" spans="1:25" x14ac:dyDescent="0.35">
      <c r="A12" t="s">
        <v>99</v>
      </c>
      <c r="B12" t="s">
        <v>100</v>
      </c>
      <c r="C12" t="s">
        <v>101</v>
      </c>
      <c r="D12" t="s">
        <v>74</v>
      </c>
      <c r="E12">
        <v>7</v>
      </c>
      <c r="F12" t="s">
        <v>51</v>
      </c>
      <c r="G12">
        <v>180000</v>
      </c>
      <c r="H12">
        <v>180000</v>
      </c>
      <c r="I12">
        <v>320000</v>
      </c>
      <c r="J12" t="s">
        <v>102</v>
      </c>
      <c r="K12" t="s">
        <v>103</v>
      </c>
      <c r="L12" t="s">
        <v>32</v>
      </c>
      <c r="M12" t="s">
        <v>33</v>
      </c>
      <c r="N12" t="s">
        <v>62</v>
      </c>
      <c r="O12" t="s">
        <v>104</v>
      </c>
      <c r="P12">
        <v>8</v>
      </c>
      <c r="Q12">
        <v>84</v>
      </c>
      <c r="R12">
        <v>14.8</v>
      </c>
      <c r="S12">
        <v>9.5</v>
      </c>
      <c r="T12">
        <v>2026</v>
      </c>
      <c r="U12">
        <v>2</v>
      </c>
      <c r="V12">
        <v>0</v>
      </c>
      <c r="W12" t="s">
        <v>36</v>
      </c>
      <c r="X12" t="s">
        <v>64</v>
      </c>
      <c r="Y12" t="s">
        <v>48</v>
      </c>
    </row>
    <row r="13" spans="1:25" x14ac:dyDescent="0.35">
      <c r="A13" t="s">
        <v>105</v>
      </c>
      <c r="B13" t="s">
        <v>40</v>
      </c>
      <c r="C13" t="s">
        <v>27</v>
      </c>
      <c r="D13" t="s">
        <v>81</v>
      </c>
      <c r="E13">
        <v>1</v>
      </c>
      <c r="F13" t="s">
        <v>29</v>
      </c>
      <c r="G13">
        <v>118000</v>
      </c>
      <c r="H13">
        <v>90000</v>
      </c>
      <c r="I13">
        <v>200000</v>
      </c>
      <c r="J13" t="s">
        <v>102</v>
      </c>
      <c r="K13" t="s">
        <v>103</v>
      </c>
      <c r="L13" t="s">
        <v>44</v>
      </c>
      <c r="M13" t="s">
        <v>45</v>
      </c>
      <c r="N13" t="s">
        <v>88</v>
      </c>
      <c r="O13" t="s">
        <v>106</v>
      </c>
      <c r="P13">
        <v>9</v>
      </c>
      <c r="Q13">
        <v>82</v>
      </c>
      <c r="R13">
        <v>8.9</v>
      </c>
      <c r="S13">
        <v>9.6999999999999993</v>
      </c>
      <c r="T13">
        <v>2025</v>
      </c>
      <c r="U13">
        <v>3</v>
      </c>
      <c r="V13">
        <v>0</v>
      </c>
      <c r="W13" t="s">
        <v>47</v>
      </c>
      <c r="X13" t="s">
        <v>37</v>
      </c>
      <c r="Y13" t="s">
        <v>95</v>
      </c>
    </row>
    <row r="14" spans="1:25" x14ac:dyDescent="0.35">
      <c r="A14" t="s">
        <v>107</v>
      </c>
      <c r="B14" t="s">
        <v>86</v>
      </c>
      <c r="C14" t="s">
        <v>27</v>
      </c>
      <c r="D14" t="s">
        <v>81</v>
      </c>
      <c r="E14">
        <v>8</v>
      </c>
      <c r="F14" t="s">
        <v>69</v>
      </c>
      <c r="G14">
        <v>180000</v>
      </c>
      <c r="H14">
        <v>180000</v>
      </c>
      <c r="I14">
        <v>312000</v>
      </c>
      <c r="J14" t="s">
        <v>108</v>
      </c>
      <c r="K14" t="s">
        <v>109</v>
      </c>
      <c r="L14" t="s">
        <v>32</v>
      </c>
      <c r="M14" t="s">
        <v>33</v>
      </c>
      <c r="N14" t="s">
        <v>110</v>
      </c>
      <c r="O14" t="s">
        <v>111</v>
      </c>
      <c r="P14">
        <v>15.2</v>
      </c>
      <c r="Q14">
        <v>96</v>
      </c>
      <c r="R14">
        <v>32.4</v>
      </c>
      <c r="S14">
        <v>7.5</v>
      </c>
      <c r="T14">
        <v>2026</v>
      </c>
      <c r="U14">
        <v>2</v>
      </c>
      <c r="V14">
        <v>0</v>
      </c>
      <c r="W14" t="s">
        <v>36</v>
      </c>
      <c r="X14" t="s">
        <v>64</v>
      </c>
      <c r="Y14" t="s">
        <v>48</v>
      </c>
    </row>
    <row r="15" spans="1:25" x14ac:dyDescent="0.35">
      <c r="A15" t="s">
        <v>112</v>
      </c>
      <c r="B15" t="s">
        <v>100</v>
      </c>
      <c r="C15" t="s">
        <v>101</v>
      </c>
      <c r="D15" t="s">
        <v>74</v>
      </c>
      <c r="E15">
        <v>15</v>
      </c>
      <c r="F15" t="s">
        <v>69</v>
      </c>
      <c r="G15">
        <v>180000</v>
      </c>
      <c r="H15">
        <v>180000</v>
      </c>
      <c r="I15">
        <v>320000</v>
      </c>
      <c r="J15" t="s">
        <v>113</v>
      </c>
      <c r="K15" t="s">
        <v>114</v>
      </c>
      <c r="L15" t="s">
        <v>53</v>
      </c>
      <c r="M15" t="s">
        <v>33</v>
      </c>
      <c r="N15" t="s">
        <v>34</v>
      </c>
      <c r="O15" t="s">
        <v>115</v>
      </c>
      <c r="P15">
        <v>11.7</v>
      </c>
      <c r="Q15">
        <v>84</v>
      </c>
      <c r="R15">
        <v>8.9</v>
      </c>
      <c r="S15">
        <v>9.1999999999999993</v>
      </c>
      <c r="T15">
        <v>2026</v>
      </c>
      <c r="U15">
        <v>3</v>
      </c>
      <c r="V15">
        <v>0</v>
      </c>
      <c r="W15" t="s">
        <v>47</v>
      </c>
      <c r="X15" t="s">
        <v>64</v>
      </c>
      <c r="Y15" t="s">
        <v>48</v>
      </c>
    </row>
    <row r="16" spans="1:25" x14ac:dyDescent="0.35">
      <c r="A16" t="s">
        <v>116</v>
      </c>
      <c r="B16" t="s">
        <v>26</v>
      </c>
      <c r="C16" t="s">
        <v>27</v>
      </c>
      <c r="D16" t="s">
        <v>28</v>
      </c>
      <c r="E16">
        <v>3</v>
      </c>
      <c r="F16" t="s">
        <v>41</v>
      </c>
      <c r="G16">
        <v>209000</v>
      </c>
      <c r="H16">
        <v>155000</v>
      </c>
      <c r="I16">
        <v>290000</v>
      </c>
      <c r="J16" t="s">
        <v>117</v>
      </c>
      <c r="K16" t="s">
        <v>118</v>
      </c>
      <c r="L16" t="s">
        <v>44</v>
      </c>
      <c r="M16" t="s">
        <v>33</v>
      </c>
      <c r="N16" t="s">
        <v>119</v>
      </c>
      <c r="O16" t="s">
        <v>120</v>
      </c>
      <c r="P16">
        <v>10.6</v>
      </c>
      <c r="Q16">
        <v>96</v>
      </c>
      <c r="R16">
        <v>50.7</v>
      </c>
      <c r="S16">
        <v>9.4</v>
      </c>
      <c r="T16">
        <v>2026</v>
      </c>
      <c r="U16">
        <v>1</v>
      </c>
      <c r="V16">
        <v>1</v>
      </c>
      <c r="W16" t="s">
        <v>47</v>
      </c>
      <c r="X16" t="s">
        <v>37</v>
      </c>
      <c r="Y16" t="s">
        <v>38</v>
      </c>
    </row>
    <row r="17" spans="1:25" x14ac:dyDescent="0.35">
      <c r="A17" t="s">
        <v>121</v>
      </c>
      <c r="B17" t="s">
        <v>26</v>
      </c>
      <c r="C17" t="s">
        <v>27</v>
      </c>
      <c r="D17" t="s">
        <v>74</v>
      </c>
      <c r="E17">
        <v>3</v>
      </c>
      <c r="F17" t="s">
        <v>41</v>
      </c>
      <c r="G17">
        <v>155000</v>
      </c>
      <c r="H17">
        <v>155000</v>
      </c>
      <c r="I17">
        <v>290000</v>
      </c>
      <c r="J17" t="s">
        <v>122</v>
      </c>
      <c r="K17" t="s">
        <v>123</v>
      </c>
      <c r="L17" t="s">
        <v>53</v>
      </c>
      <c r="M17" t="s">
        <v>82</v>
      </c>
      <c r="N17" t="s">
        <v>124</v>
      </c>
      <c r="O17" t="s">
        <v>125</v>
      </c>
      <c r="P17">
        <v>13.5</v>
      </c>
      <c r="Q17">
        <v>96</v>
      </c>
      <c r="R17">
        <v>75.900000000000006</v>
      </c>
      <c r="S17">
        <v>8.1999999999999993</v>
      </c>
      <c r="T17">
        <v>2025</v>
      </c>
      <c r="U17">
        <v>3</v>
      </c>
      <c r="V17">
        <v>0</v>
      </c>
      <c r="W17" t="s">
        <v>47</v>
      </c>
      <c r="X17" t="s">
        <v>37</v>
      </c>
      <c r="Y17" t="s">
        <v>48</v>
      </c>
    </row>
    <row r="18" spans="1:25" x14ac:dyDescent="0.35">
      <c r="A18" t="s">
        <v>126</v>
      </c>
      <c r="B18" t="s">
        <v>127</v>
      </c>
      <c r="C18" t="s">
        <v>27</v>
      </c>
      <c r="D18" t="s">
        <v>74</v>
      </c>
      <c r="E18">
        <v>6</v>
      </c>
      <c r="F18" t="s">
        <v>128</v>
      </c>
      <c r="G18">
        <v>120000</v>
      </c>
      <c r="H18">
        <v>120000</v>
      </c>
      <c r="I18">
        <v>280000</v>
      </c>
      <c r="J18" t="s">
        <v>129</v>
      </c>
      <c r="K18" t="s">
        <v>130</v>
      </c>
      <c r="L18" t="s">
        <v>53</v>
      </c>
      <c r="M18" t="s">
        <v>82</v>
      </c>
      <c r="N18" t="s">
        <v>131</v>
      </c>
      <c r="O18" t="s">
        <v>132</v>
      </c>
      <c r="P18">
        <v>8.1999999999999993</v>
      </c>
      <c r="Q18">
        <v>97</v>
      </c>
      <c r="R18">
        <v>68.8</v>
      </c>
      <c r="S18">
        <v>7.3</v>
      </c>
      <c r="T18">
        <v>2026</v>
      </c>
      <c r="U18">
        <v>3</v>
      </c>
      <c r="V18">
        <v>0</v>
      </c>
      <c r="W18" t="s">
        <v>47</v>
      </c>
      <c r="X18" t="s">
        <v>64</v>
      </c>
      <c r="Y18" t="s">
        <v>95</v>
      </c>
    </row>
    <row r="19" spans="1:25" x14ac:dyDescent="0.35">
      <c r="A19" t="s">
        <v>133</v>
      </c>
      <c r="B19" t="s">
        <v>134</v>
      </c>
      <c r="C19" t="s">
        <v>27</v>
      </c>
      <c r="D19" t="s">
        <v>81</v>
      </c>
      <c r="E19">
        <v>2</v>
      </c>
      <c r="F19" t="s">
        <v>41</v>
      </c>
      <c r="G19">
        <v>162000</v>
      </c>
      <c r="H19">
        <v>150000</v>
      </c>
      <c r="I19">
        <v>295000</v>
      </c>
      <c r="J19" t="s">
        <v>42</v>
      </c>
      <c r="K19" t="s">
        <v>43</v>
      </c>
      <c r="L19" t="s">
        <v>32</v>
      </c>
      <c r="M19" t="s">
        <v>82</v>
      </c>
      <c r="N19" t="s">
        <v>119</v>
      </c>
      <c r="O19" t="s">
        <v>135</v>
      </c>
      <c r="P19">
        <v>11.3</v>
      </c>
      <c r="Q19">
        <v>95</v>
      </c>
      <c r="R19">
        <v>78.099999999999994</v>
      </c>
      <c r="S19">
        <v>9.6999999999999993</v>
      </c>
      <c r="T19">
        <v>2025</v>
      </c>
      <c r="U19">
        <v>11</v>
      </c>
      <c r="V19">
        <v>0</v>
      </c>
      <c r="W19" t="s">
        <v>36</v>
      </c>
      <c r="X19" t="s">
        <v>37</v>
      </c>
      <c r="Y19" t="s">
        <v>48</v>
      </c>
    </row>
    <row r="20" spans="1:25" x14ac:dyDescent="0.35">
      <c r="A20" t="s">
        <v>136</v>
      </c>
      <c r="B20" t="s">
        <v>79</v>
      </c>
      <c r="C20" t="s">
        <v>80</v>
      </c>
      <c r="D20" t="s">
        <v>28</v>
      </c>
      <c r="E20">
        <v>7</v>
      </c>
      <c r="F20" t="s">
        <v>41</v>
      </c>
      <c r="G20">
        <v>228000</v>
      </c>
      <c r="H20">
        <v>140000</v>
      </c>
      <c r="I20">
        <v>260000</v>
      </c>
      <c r="J20" t="s">
        <v>137</v>
      </c>
      <c r="K20" t="s">
        <v>138</v>
      </c>
      <c r="L20" t="s">
        <v>44</v>
      </c>
      <c r="M20" t="s">
        <v>54</v>
      </c>
      <c r="N20" t="s">
        <v>76</v>
      </c>
      <c r="O20" t="s">
        <v>139</v>
      </c>
      <c r="P20">
        <v>15.9</v>
      </c>
      <c r="Q20">
        <v>80</v>
      </c>
      <c r="R20">
        <v>15.9</v>
      </c>
      <c r="S20">
        <v>9.6999999999999993</v>
      </c>
      <c r="T20">
        <v>2025</v>
      </c>
      <c r="U20">
        <v>10</v>
      </c>
      <c r="V20">
        <v>1</v>
      </c>
      <c r="W20" t="s">
        <v>47</v>
      </c>
      <c r="X20" t="s">
        <v>64</v>
      </c>
      <c r="Y20" t="s">
        <v>38</v>
      </c>
    </row>
    <row r="21" spans="1:25" x14ac:dyDescent="0.35">
      <c r="A21" t="s">
        <v>140</v>
      </c>
      <c r="B21" t="s">
        <v>141</v>
      </c>
      <c r="C21" t="s">
        <v>27</v>
      </c>
      <c r="D21" t="s">
        <v>68</v>
      </c>
      <c r="E21">
        <v>6</v>
      </c>
      <c r="F21" t="s">
        <v>41</v>
      </c>
      <c r="G21">
        <v>185000</v>
      </c>
      <c r="H21">
        <v>141000</v>
      </c>
      <c r="I21">
        <v>270000</v>
      </c>
      <c r="J21" t="s">
        <v>142</v>
      </c>
      <c r="K21" t="s">
        <v>143</v>
      </c>
      <c r="L21" t="s">
        <v>44</v>
      </c>
      <c r="M21" t="s">
        <v>33</v>
      </c>
      <c r="N21" t="s">
        <v>119</v>
      </c>
      <c r="O21" t="s">
        <v>144</v>
      </c>
      <c r="P21">
        <v>5.8</v>
      </c>
      <c r="Q21">
        <v>89</v>
      </c>
      <c r="R21">
        <v>12.4</v>
      </c>
      <c r="S21">
        <v>6.5</v>
      </c>
      <c r="T21">
        <v>2026</v>
      </c>
      <c r="U21">
        <v>2</v>
      </c>
      <c r="V21">
        <v>1</v>
      </c>
      <c r="W21" t="s">
        <v>47</v>
      </c>
      <c r="X21" t="s">
        <v>64</v>
      </c>
      <c r="Y21" t="s">
        <v>48</v>
      </c>
    </row>
    <row r="22" spans="1:25" x14ac:dyDescent="0.35">
      <c r="A22" t="s">
        <v>145</v>
      </c>
      <c r="B22" t="s">
        <v>146</v>
      </c>
      <c r="C22" t="s">
        <v>27</v>
      </c>
      <c r="D22" t="s">
        <v>28</v>
      </c>
      <c r="E22">
        <v>3</v>
      </c>
      <c r="F22" t="s">
        <v>69</v>
      </c>
      <c r="G22">
        <v>329000</v>
      </c>
      <c r="H22">
        <v>160000</v>
      </c>
      <c r="I22">
        <v>300000</v>
      </c>
      <c r="J22" t="s">
        <v>75</v>
      </c>
      <c r="K22" t="s">
        <v>31</v>
      </c>
      <c r="L22" t="s">
        <v>32</v>
      </c>
      <c r="M22" t="s">
        <v>54</v>
      </c>
      <c r="N22" t="s">
        <v>119</v>
      </c>
      <c r="O22" t="s">
        <v>147</v>
      </c>
      <c r="P22">
        <v>12.7</v>
      </c>
      <c r="Q22">
        <v>90</v>
      </c>
      <c r="R22">
        <v>27.5</v>
      </c>
      <c r="S22">
        <v>9</v>
      </c>
      <c r="T22">
        <v>2025</v>
      </c>
      <c r="U22">
        <v>2</v>
      </c>
      <c r="V22">
        <v>1</v>
      </c>
      <c r="W22" t="s">
        <v>36</v>
      </c>
      <c r="X22" t="s">
        <v>64</v>
      </c>
      <c r="Y22" t="s">
        <v>56</v>
      </c>
    </row>
    <row r="23" spans="1:25" x14ac:dyDescent="0.35">
      <c r="A23" t="s">
        <v>148</v>
      </c>
      <c r="B23" t="s">
        <v>149</v>
      </c>
      <c r="C23" t="s">
        <v>150</v>
      </c>
      <c r="D23" t="s">
        <v>28</v>
      </c>
      <c r="E23">
        <v>9</v>
      </c>
      <c r="F23" t="s">
        <v>41</v>
      </c>
      <c r="G23">
        <v>272000</v>
      </c>
      <c r="H23">
        <v>130000</v>
      </c>
      <c r="I23">
        <v>260000</v>
      </c>
      <c r="J23" t="s">
        <v>117</v>
      </c>
      <c r="K23" t="s">
        <v>118</v>
      </c>
      <c r="L23" t="s">
        <v>32</v>
      </c>
      <c r="M23" t="s">
        <v>54</v>
      </c>
      <c r="N23" t="s">
        <v>62</v>
      </c>
      <c r="O23" t="s">
        <v>151</v>
      </c>
      <c r="P23">
        <v>12.8</v>
      </c>
      <c r="Q23">
        <v>93</v>
      </c>
      <c r="R23">
        <v>77</v>
      </c>
      <c r="S23">
        <v>6.3</v>
      </c>
      <c r="T23">
        <v>2026</v>
      </c>
      <c r="U23">
        <v>3</v>
      </c>
      <c r="V23">
        <v>1</v>
      </c>
      <c r="W23" t="s">
        <v>36</v>
      </c>
      <c r="X23" t="s">
        <v>64</v>
      </c>
      <c r="Y23" t="s">
        <v>38</v>
      </c>
    </row>
    <row r="24" spans="1:25" x14ac:dyDescent="0.35">
      <c r="A24" t="s">
        <v>152</v>
      </c>
      <c r="B24" t="s">
        <v>153</v>
      </c>
      <c r="C24" t="s">
        <v>154</v>
      </c>
      <c r="D24" t="s">
        <v>68</v>
      </c>
      <c r="E24">
        <v>7</v>
      </c>
      <c r="F24" t="s">
        <v>69</v>
      </c>
      <c r="G24">
        <v>201000</v>
      </c>
      <c r="H24">
        <v>95000</v>
      </c>
      <c r="I24">
        <v>180000</v>
      </c>
      <c r="J24" t="s">
        <v>70</v>
      </c>
      <c r="K24" t="s">
        <v>31</v>
      </c>
      <c r="L24" t="s">
        <v>32</v>
      </c>
      <c r="M24" t="s">
        <v>45</v>
      </c>
      <c r="N24" t="s">
        <v>155</v>
      </c>
      <c r="O24" t="s">
        <v>156</v>
      </c>
      <c r="P24">
        <v>16.5</v>
      </c>
      <c r="Q24">
        <v>78</v>
      </c>
      <c r="R24">
        <v>16.399999999999999</v>
      </c>
      <c r="S24">
        <v>9</v>
      </c>
      <c r="T24">
        <v>2026</v>
      </c>
      <c r="U24">
        <v>3</v>
      </c>
      <c r="V24">
        <v>1</v>
      </c>
      <c r="W24" t="s">
        <v>36</v>
      </c>
      <c r="X24" t="s">
        <v>64</v>
      </c>
      <c r="Y24" t="s">
        <v>38</v>
      </c>
    </row>
    <row r="25" spans="1:25" x14ac:dyDescent="0.35">
      <c r="A25" t="s">
        <v>157</v>
      </c>
      <c r="B25" t="s">
        <v>158</v>
      </c>
      <c r="C25" t="s">
        <v>27</v>
      </c>
      <c r="D25" t="s">
        <v>68</v>
      </c>
      <c r="E25">
        <v>3</v>
      </c>
      <c r="F25" t="s">
        <v>51</v>
      </c>
      <c r="G25">
        <v>230000</v>
      </c>
      <c r="H25">
        <v>145000</v>
      </c>
      <c r="I25">
        <v>280000</v>
      </c>
      <c r="J25" t="s">
        <v>113</v>
      </c>
      <c r="K25" t="s">
        <v>114</v>
      </c>
      <c r="L25" t="s">
        <v>53</v>
      </c>
      <c r="M25" t="s">
        <v>45</v>
      </c>
      <c r="N25" t="s">
        <v>34</v>
      </c>
      <c r="O25" t="s">
        <v>159</v>
      </c>
      <c r="P25">
        <v>4.5999999999999996</v>
      </c>
      <c r="Q25">
        <v>94</v>
      </c>
      <c r="R25">
        <v>39.5</v>
      </c>
      <c r="S25">
        <v>9.4</v>
      </c>
      <c r="T25">
        <v>2025</v>
      </c>
      <c r="U25">
        <v>3</v>
      </c>
      <c r="V25">
        <v>1</v>
      </c>
      <c r="W25" t="s">
        <v>47</v>
      </c>
      <c r="X25" t="s">
        <v>37</v>
      </c>
      <c r="Y25" t="s">
        <v>38</v>
      </c>
    </row>
    <row r="26" spans="1:25" x14ac:dyDescent="0.35">
      <c r="A26" t="s">
        <v>160</v>
      </c>
      <c r="B26" t="s">
        <v>91</v>
      </c>
      <c r="C26" t="s">
        <v>27</v>
      </c>
      <c r="D26" t="s">
        <v>81</v>
      </c>
      <c r="E26">
        <v>8</v>
      </c>
      <c r="F26" t="s">
        <v>41</v>
      </c>
      <c r="G26">
        <v>145000</v>
      </c>
      <c r="H26">
        <v>145000</v>
      </c>
      <c r="I26">
        <v>290000</v>
      </c>
      <c r="J26" t="s">
        <v>137</v>
      </c>
      <c r="K26" t="s">
        <v>138</v>
      </c>
      <c r="L26" t="s">
        <v>44</v>
      </c>
      <c r="M26" t="s">
        <v>61</v>
      </c>
      <c r="N26" t="s">
        <v>83</v>
      </c>
      <c r="O26" t="s">
        <v>161</v>
      </c>
      <c r="P26">
        <v>5.7</v>
      </c>
      <c r="Q26">
        <v>91</v>
      </c>
      <c r="R26">
        <v>80.099999999999994</v>
      </c>
      <c r="S26">
        <v>9.1999999999999993</v>
      </c>
      <c r="T26">
        <v>2026</v>
      </c>
      <c r="U26">
        <v>3</v>
      </c>
      <c r="V26">
        <v>0</v>
      </c>
      <c r="W26" t="s">
        <v>47</v>
      </c>
      <c r="X26" t="s">
        <v>64</v>
      </c>
      <c r="Y26" t="s">
        <v>95</v>
      </c>
    </row>
    <row r="27" spans="1:25" x14ac:dyDescent="0.35">
      <c r="A27" t="s">
        <v>162</v>
      </c>
      <c r="B27" t="s">
        <v>163</v>
      </c>
      <c r="C27" t="s">
        <v>164</v>
      </c>
      <c r="D27" t="s">
        <v>68</v>
      </c>
      <c r="E27">
        <v>10</v>
      </c>
      <c r="F27" t="s">
        <v>29</v>
      </c>
      <c r="G27">
        <v>125000</v>
      </c>
      <c r="H27">
        <v>125000</v>
      </c>
      <c r="I27">
        <v>240000</v>
      </c>
      <c r="J27" t="s">
        <v>108</v>
      </c>
      <c r="K27" t="s">
        <v>109</v>
      </c>
      <c r="L27" t="s">
        <v>44</v>
      </c>
      <c r="M27" t="s">
        <v>61</v>
      </c>
      <c r="N27" t="s">
        <v>165</v>
      </c>
      <c r="O27" t="s">
        <v>166</v>
      </c>
      <c r="P27">
        <v>17.100000000000001</v>
      </c>
      <c r="Q27">
        <v>76</v>
      </c>
      <c r="R27">
        <v>19.8</v>
      </c>
      <c r="S27">
        <v>8.5</v>
      </c>
      <c r="T27">
        <v>2025</v>
      </c>
      <c r="U27">
        <v>7</v>
      </c>
      <c r="V27">
        <v>1</v>
      </c>
      <c r="W27" t="s">
        <v>47</v>
      </c>
      <c r="X27" t="s">
        <v>64</v>
      </c>
      <c r="Y27" t="s">
        <v>95</v>
      </c>
    </row>
    <row r="28" spans="1:25" x14ac:dyDescent="0.35">
      <c r="A28" t="s">
        <v>167</v>
      </c>
      <c r="B28" t="s">
        <v>168</v>
      </c>
      <c r="C28" t="s">
        <v>169</v>
      </c>
      <c r="D28" t="s">
        <v>74</v>
      </c>
      <c r="E28">
        <v>8</v>
      </c>
      <c r="F28" t="s">
        <v>128</v>
      </c>
      <c r="G28">
        <v>157000</v>
      </c>
      <c r="H28">
        <v>157000</v>
      </c>
      <c r="I28">
        <v>218000</v>
      </c>
      <c r="J28" t="s">
        <v>170</v>
      </c>
      <c r="K28" t="s">
        <v>171</v>
      </c>
      <c r="L28" t="s">
        <v>53</v>
      </c>
      <c r="M28" t="s">
        <v>61</v>
      </c>
      <c r="N28" t="s">
        <v>62</v>
      </c>
      <c r="O28" t="s">
        <v>172</v>
      </c>
      <c r="P28">
        <v>3.4</v>
      </c>
      <c r="Q28">
        <v>90</v>
      </c>
      <c r="R28">
        <v>28.8</v>
      </c>
      <c r="S28">
        <v>6.9</v>
      </c>
      <c r="T28">
        <v>2025</v>
      </c>
      <c r="U28">
        <v>11</v>
      </c>
      <c r="V28">
        <v>0</v>
      </c>
      <c r="W28" t="s">
        <v>47</v>
      </c>
      <c r="X28" t="s">
        <v>64</v>
      </c>
      <c r="Y28" t="s">
        <v>48</v>
      </c>
    </row>
    <row r="29" spans="1:25" x14ac:dyDescent="0.35">
      <c r="A29" t="s">
        <v>173</v>
      </c>
      <c r="B29" t="s">
        <v>127</v>
      </c>
      <c r="C29" t="s">
        <v>27</v>
      </c>
      <c r="D29" t="s">
        <v>81</v>
      </c>
      <c r="E29">
        <v>6</v>
      </c>
      <c r="F29" t="s">
        <v>41</v>
      </c>
      <c r="G29">
        <v>224000</v>
      </c>
      <c r="H29">
        <v>120000</v>
      </c>
      <c r="I29">
        <v>280000</v>
      </c>
      <c r="J29" t="s">
        <v>174</v>
      </c>
      <c r="K29" t="s">
        <v>31</v>
      </c>
      <c r="L29" t="s">
        <v>44</v>
      </c>
      <c r="M29" t="s">
        <v>61</v>
      </c>
      <c r="N29" t="s">
        <v>165</v>
      </c>
      <c r="O29" t="s">
        <v>175</v>
      </c>
      <c r="P29">
        <v>15.5</v>
      </c>
      <c r="Q29">
        <v>97</v>
      </c>
      <c r="R29">
        <v>23.4</v>
      </c>
      <c r="S29">
        <v>9.1</v>
      </c>
      <c r="T29">
        <v>2026</v>
      </c>
      <c r="U29">
        <v>1</v>
      </c>
      <c r="V29">
        <v>0</v>
      </c>
      <c r="W29" t="s">
        <v>47</v>
      </c>
      <c r="X29" t="s">
        <v>64</v>
      </c>
      <c r="Y29" t="s">
        <v>38</v>
      </c>
    </row>
    <row r="30" spans="1:25" x14ac:dyDescent="0.35">
      <c r="A30" t="s">
        <v>176</v>
      </c>
      <c r="B30" t="s">
        <v>153</v>
      </c>
      <c r="C30" t="s">
        <v>154</v>
      </c>
      <c r="D30" t="s">
        <v>68</v>
      </c>
      <c r="E30">
        <v>3</v>
      </c>
      <c r="F30" t="s">
        <v>69</v>
      </c>
      <c r="G30">
        <v>216000</v>
      </c>
      <c r="H30">
        <v>95000</v>
      </c>
      <c r="I30">
        <v>180000</v>
      </c>
      <c r="J30" t="s">
        <v>174</v>
      </c>
      <c r="K30" t="s">
        <v>31</v>
      </c>
      <c r="L30" t="s">
        <v>44</v>
      </c>
      <c r="M30" t="s">
        <v>82</v>
      </c>
      <c r="N30" t="s">
        <v>83</v>
      </c>
      <c r="O30" t="s">
        <v>177</v>
      </c>
      <c r="P30">
        <v>14.6</v>
      </c>
      <c r="Q30">
        <v>78</v>
      </c>
      <c r="R30">
        <v>6.7</v>
      </c>
      <c r="S30">
        <v>8.5</v>
      </c>
      <c r="T30">
        <v>2025</v>
      </c>
      <c r="U30">
        <v>7</v>
      </c>
      <c r="V30">
        <v>1</v>
      </c>
      <c r="W30" t="s">
        <v>47</v>
      </c>
      <c r="X30" t="s">
        <v>64</v>
      </c>
      <c r="Y30" t="s">
        <v>38</v>
      </c>
    </row>
    <row r="31" spans="1:25" x14ac:dyDescent="0.35">
      <c r="A31" t="s">
        <v>178</v>
      </c>
      <c r="B31" t="s">
        <v>179</v>
      </c>
      <c r="C31" t="s">
        <v>180</v>
      </c>
      <c r="D31" t="s">
        <v>28</v>
      </c>
      <c r="E31">
        <v>10</v>
      </c>
      <c r="F31" t="s">
        <v>69</v>
      </c>
      <c r="G31">
        <v>208000</v>
      </c>
      <c r="H31">
        <v>110000</v>
      </c>
      <c r="I31">
        <v>210000</v>
      </c>
      <c r="J31" t="s">
        <v>30</v>
      </c>
      <c r="K31" t="s">
        <v>31</v>
      </c>
      <c r="L31" t="s">
        <v>44</v>
      </c>
      <c r="M31" t="s">
        <v>45</v>
      </c>
      <c r="N31" t="s">
        <v>124</v>
      </c>
      <c r="O31" t="s">
        <v>181</v>
      </c>
      <c r="P31">
        <v>11.2</v>
      </c>
      <c r="Q31">
        <v>72</v>
      </c>
      <c r="R31">
        <v>11.1</v>
      </c>
      <c r="S31">
        <v>9.6</v>
      </c>
      <c r="T31">
        <v>2025</v>
      </c>
      <c r="U31">
        <v>8</v>
      </c>
      <c r="V31">
        <v>1</v>
      </c>
      <c r="W31" t="s">
        <v>47</v>
      </c>
      <c r="X31" t="s">
        <v>64</v>
      </c>
      <c r="Y31" t="s">
        <v>38</v>
      </c>
    </row>
    <row r="32" spans="1:25" x14ac:dyDescent="0.35">
      <c r="A32" t="s">
        <v>182</v>
      </c>
      <c r="B32" t="s">
        <v>91</v>
      </c>
      <c r="C32" t="s">
        <v>27</v>
      </c>
      <c r="D32" t="s">
        <v>68</v>
      </c>
      <c r="E32">
        <v>8</v>
      </c>
      <c r="F32" t="s">
        <v>128</v>
      </c>
      <c r="G32">
        <v>348000</v>
      </c>
      <c r="H32">
        <v>145000</v>
      </c>
      <c r="I32">
        <v>290000</v>
      </c>
      <c r="J32" t="s">
        <v>170</v>
      </c>
      <c r="K32" t="s">
        <v>171</v>
      </c>
      <c r="L32" t="s">
        <v>32</v>
      </c>
      <c r="M32" t="s">
        <v>54</v>
      </c>
      <c r="N32" t="s">
        <v>155</v>
      </c>
      <c r="O32" t="s">
        <v>183</v>
      </c>
      <c r="P32">
        <v>9.6</v>
      </c>
      <c r="Q32">
        <v>91</v>
      </c>
      <c r="R32">
        <v>21.2</v>
      </c>
      <c r="S32">
        <v>8.6999999999999993</v>
      </c>
      <c r="T32">
        <v>2026</v>
      </c>
      <c r="U32">
        <v>1</v>
      </c>
      <c r="V32">
        <v>1</v>
      </c>
      <c r="W32" t="s">
        <v>36</v>
      </c>
      <c r="X32" t="s">
        <v>64</v>
      </c>
      <c r="Y32" t="s">
        <v>56</v>
      </c>
    </row>
    <row r="33" spans="1:25" x14ac:dyDescent="0.35">
      <c r="A33" t="s">
        <v>184</v>
      </c>
      <c r="B33" t="s">
        <v>185</v>
      </c>
      <c r="C33" t="s">
        <v>186</v>
      </c>
      <c r="D33" t="s">
        <v>68</v>
      </c>
      <c r="E33">
        <v>4</v>
      </c>
      <c r="F33" t="s">
        <v>41</v>
      </c>
      <c r="G33">
        <v>285000</v>
      </c>
      <c r="H33">
        <v>140000</v>
      </c>
      <c r="I33">
        <v>270000</v>
      </c>
      <c r="J33" t="s">
        <v>47</v>
      </c>
      <c r="K33" t="s">
        <v>87</v>
      </c>
      <c r="L33" t="s">
        <v>44</v>
      </c>
      <c r="M33" t="s">
        <v>45</v>
      </c>
      <c r="N33" t="s">
        <v>124</v>
      </c>
      <c r="O33" t="s">
        <v>187</v>
      </c>
      <c r="P33">
        <v>11.5</v>
      </c>
      <c r="Q33">
        <v>85</v>
      </c>
      <c r="R33">
        <v>16.3</v>
      </c>
      <c r="S33">
        <v>7.2</v>
      </c>
      <c r="T33">
        <v>2025</v>
      </c>
      <c r="U33">
        <v>12</v>
      </c>
      <c r="V33">
        <v>1</v>
      </c>
      <c r="W33" t="s">
        <v>47</v>
      </c>
      <c r="X33" t="s">
        <v>64</v>
      </c>
      <c r="Y33" t="s">
        <v>38</v>
      </c>
    </row>
    <row r="34" spans="1:25" x14ac:dyDescent="0.35">
      <c r="A34" t="s">
        <v>188</v>
      </c>
      <c r="B34" t="s">
        <v>141</v>
      </c>
      <c r="C34" t="s">
        <v>27</v>
      </c>
      <c r="D34" t="s">
        <v>81</v>
      </c>
      <c r="E34">
        <v>10</v>
      </c>
      <c r="F34" t="s">
        <v>29</v>
      </c>
      <c r="G34">
        <v>141000</v>
      </c>
      <c r="H34">
        <v>141000</v>
      </c>
      <c r="I34">
        <v>270000</v>
      </c>
      <c r="J34" t="s">
        <v>113</v>
      </c>
      <c r="K34" t="s">
        <v>114</v>
      </c>
      <c r="L34" t="s">
        <v>44</v>
      </c>
      <c r="M34" t="s">
        <v>33</v>
      </c>
      <c r="N34" t="s">
        <v>131</v>
      </c>
      <c r="O34" t="s">
        <v>189</v>
      </c>
      <c r="P34">
        <v>8</v>
      </c>
      <c r="Q34">
        <v>89</v>
      </c>
      <c r="R34">
        <v>8.1999999999999993</v>
      </c>
      <c r="S34">
        <v>6.2</v>
      </c>
      <c r="T34">
        <v>2025</v>
      </c>
      <c r="U34">
        <v>5</v>
      </c>
      <c r="V34">
        <v>0</v>
      </c>
      <c r="W34" t="s">
        <v>47</v>
      </c>
      <c r="X34" t="s">
        <v>64</v>
      </c>
      <c r="Y34" t="s">
        <v>95</v>
      </c>
    </row>
    <row r="35" spans="1:25" x14ac:dyDescent="0.35">
      <c r="A35" t="s">
        <v>190</v>
      </c>
      <c r="B35" t="s">
        <v>185</v>
      </c>
      <c r="C35" t="s">
        <v>186</v>
      </c>
      <c r="D35" t="s">
        <v>74</v>
      </c>
      <c r="E35">
        <v>6</v>
      </c>
      <c r="F35" t="s">
        <v>41</v>
      </c>
      <c r="G35">
        <v>160000</v>
      </c>
      <c r="H35">
        <v>140000</v>
      </c>
      <c r="I35">
        <v>270000</v>
      </c>
      <c r="J35" t="s">
        <v>191</v>
      </c>
      <c r="K35" t="s">
        <v>31</v>
      </c>
      <c r="L35" t="s">
        <v>44</v>
      </c>
      <c r="M35" t="s">
        <v>45</v>
      </c>
      <c r="N35" t="s">
        <v>76</v>
      </c>
      <c r="O35" t="s">
        <v>192</v>
      </c>
      <c r="P35">
        <v>13.8</v>
      </c>
      <c r="Q35">
        <v>85</v>
      </c>
      <c r="R35">
        <v>22.2</v>
      </c>
      <c r="S35">
        <v>6.6</v>
      </c>
      <c r="T35">
        <v>2026</v>
      </c>
      <c r="U35">
        <v>2</v>
      </c>
      <c r="V35">
        <v>0</v>
      </c>
      <c r="W35" t="s">
        <v>47</v>
      </c>
      <c r="X35" t="s">
        <v>64</v>
      </c>
      <c r="Y35" t="s">
        <v>48</v>
      </c>
    </row>
    <row r="36" spans="1:25" x14ac:dyDescent="0.35">
      <c r="A36" t="s">
        <v>193</v>
      </c>
      <c r="B36" t="s">
        <v>86</v>
      </c>
      <c r="C36" t="s">
        <v>27</v>
      </c>
      <c r="D36" t="s">
        <v>68</v>
      </c>
      <c r="E36">
        <v>8</v>
      </c>
      <c r="F36" t="s">
        <v>51</v>
      </c>
      <c r="G36">
        <v>223000</v>
      </c>
      <c r="H36">
        <v>180000</v>
      </c>
      <c r="I36">
        <v>312000</v>
      </c>
      <c r="J36" t="s">
        <v>42</v>
      </c>
      <c r="K36" t="s">
        <v>43</v>
      </c>
      <c r="L36" t="s">
        <v>44</v>
      </c>
      <c r="M36" t="s">
        <v>33</v>
      </c>
      <c r="N36" t="s">
        <v>71</v>
      </c>
      <c r="O36" t="s">
        <v>194</v>
      </c>
      <c r="P36">
        <v>10.6</v>
      </c>
      <c r="Q36">
        <v>96</v>
      </c>
      <c r="R36">
        <v>20.9</v>
      </c>
      <c r="S36">
        <v>6.9</v>
      </c>
      <c r="T36">
        <v>2026</v>
      </c>
      <c r="U36">
        <v>1</v>
      </c>
      <c r="V36">
        <v>1</v>
      </c>
      <c r="W36" t="s">
        <v>47</v>
      </c>
      <c r="X36" t="s">
        <v>64</v>
      </c>
      <c r="Y36" t="s">
        <v>38</v>
      </c>
    </row>
    <row r="37" spans="1:25" x14ac:dyDescent="0.35">
      <c r="A37" t="s">
        <v>195</v>
      </c>
      <c r="B37" t="s">
        <v>196</v>
      </c>
      <c r="C37" t="s">
        <v>27</v>
      </c>
      <c r="D37" t="s">
        <v>68</v>
      </c>
      <c r="E37">
        <v>4</v>
      </c>
      <c r="F37" t="s">
        <v>128</v>
      </c>
      <c r="G37">
        <v>221000</v>
      </c>
      <c r="H37">
        <v>100000</v>
      </c>
      <c r="I37">
        <v>250000</v>
      </c>
      <c r="J37" t="s">
        <v>122</v>
      </c>
      <c r="K37" t="s">
        <v>123</v>
      </c>
      <c r="L37" t="s">
        <v>44</v>
      </c>
      <c r="M37" t="s">
        <v>45</v>
      </c>
      <c r="N37" t="s">
        <v>34</v>
      </c>
      <c r="O37" t="s">
        <v>197</v>
      </c>
      <c r="P37">
        <v>14.5</v>
      </c>
      <c r="Q37">
        <v>95</v>
      </c>
      <c r="R37">
        <v>81.3</v>
      </c>
      <c r="S37">
        <v>9.1</v>
      </c>
      <c r="T37">
        <v>2025</v>
      </c>
      <c r="U37">
        <v>3</v>
      </c>
      <c r="V37">
        <v>1</v>
      </c>
      <c r="W37" t="s">
        <v>47</v>
      </c>
      <c r="X37" t="s">
        <v>64</v>
      </c>
      <c r="Y37" t="s">
        <v>38</v>
      </c>
    </row>
    <row r="38" spans="1:25" x14ac:dyDescent="0.35">
      <c r="A38" t="s">
        <v>198</v>
      </c>
      <c r="B38" t="s">
        <v>149</v>
      </c>
      <c r="C38" t="s">
        <v>150</v>
      </c>
      <c r="D38" t="s">
        <v>28</v>
      </c>
      <c r="E38">
        <v>8</v>
      </c>
      <c r="F38" t="s">
        <v>69</v>
      </c>
      <c r="G38">
        <v>130000</v>
      </c>
      <c r="H38">
        <v>130000</v>
      </c>
      <c r="I38">
        <v>260000</v>
      </c>
      <c r="J38" t="s">
        <v>108</v>
      </c>
      <c r="K38" t="s">
        <v>109</v>
      </c>
      <c r="L38" t="s">
        <v>53</v>
      </c>
      <c r="M38" t="s">
        <v>54</v>
      </c>
      <c r="N38" t="s">
        <v>62</v>
      </c>
      <c r="O38" t="s">
        <v>199</v>
      </c>
      <c r="P38">
        <v>15.3</v>
      </c>
      <c r="Q38">
        <v>93</v>
      </c>
      <c r="R38">
        <v>59.1</v>
      </c>
      <c r="S38">
        <v>6.1</v>
      </c>
      <c r="T38">
        <v>2025</v>
      </c>
      <c r="U38">
        <v>11</v>
      </c>
      <c r="V38">
        <v>1</v>
      </c>
      <c r="W38" t="s">
        <v>47</v>
      </c>
      <c r="X38" t="s">
        <v>64</v>
      </c>
      <c r="Y38" t="s">
        <v>95</v>
      </c>
    </row>
    <row r="39" spans="1:25" x14ac:dyDescent="0.35">
      <c r="A39" t="s">
        <v>200</v>
      </c>
      <c r="B39" t="s">
        <v>153</v>
      </c>
      <c r="C39" t="s">
        <v>154</v>
      </c>
      <c r="D39" t="s">
        <v>28</v>
      </c>
      <c r="E39">
        <v>8</v>
      </c>
      <c r="F39" t="s">
        <v>51</v>
      </c>
      <c r="G39">
        <v>95000</v>
      </c>
      <c r="H39">
        <v>95000</v>
      </c>
      <c r="I39">
        <v>180000</v>
      </c>
      <c r="J39" t="s">
        <v>92</v>
      </c>
      <c r="K39" t="s">
        <v>93</v>
      </c>
      <c r="L39" t="s">
        <v>44</v>
      </c>
      <c r="M39" t="s">
        <v>33</v>
      </c>
      <c r="N39" t="s">
        <v>76</v>
      </c>
      <c r="O39" t="s">
        <v>201</v>
      </c>
      <c r="P39">
        <v>12.9</v>
      </c>
      <c r="Q39">
        <v>78</v>
      </c>
      <c r="R39">
        <v>7.3</v>
      </c>
      <c r="S39">
        <v>7.3</v>
      </c>
      <c r="T39">
        <v>2025</v>
      </c>
      <c r="U39">
        <v>11</v>
      </c>
      <c r="V39">
        <v>1</v>
      </c>
      <c r="W39" t="s">
        <v>47</v>
      </c>
      <c r="X39" t="s">
        <v>64</v>
      </c>
      <c r="Y39" t="s">
        <v>98</v>
      </c>
    </row>
    <row r="40" spans="1:25" x14ac:dyDescent="0.35">
      <c r="A40" t="s">
        <v>202</v>
      </c>
      <c r="B40" t="s">
        <v>203</v>
      </c>
      <c r="C40" t="s">
        <v>169</v>
      </c>
      <c r="D40" t="s">
        <v>68</v>
      </c>
      <c r="E40">
        <v>5</v>
      </c>
      <c r="F40" t="s">
        <v>69</v>
      </c>
      <c r="G40">
        <v>198000</v>
      </c>
      <c r="H40">
        <v>138000</v>
      </c>
      <c r="I40">
        <v>195000</v>
      </c>
      <c r="J40" t="s">
        <v>75</v>
      </c>
      <c r="K40" t="s">
        <v>31</v>
      </c>
      <c r="L40" t="s">
        <v>53</v>
      </c>
      <c r="M40" t="s">
        <v>82</v>
      </c>
      <c r="N40" t="s">
        <v>76</v>
      </c>
      <c r="O40" t="s">
        <v>204</v>
      </c>
      <c r="P40">
        <v>8.8000000000000007</v>
      </c>
      <c r="Q40">
        <v>92</v>
      </c>
      <c r="R40">
        <v>15.1</v>
      </c>
      <c r="S40">
        <v>9.3000000000000007</v>
      </c>
      <c r="T40">
        <v>2026</v>
      </c>
      <c r="U40">
        <v>1</v>
      </c>
      <c r="V40">
        <v>1</v>
      </c>
      <c r="W40" t="s">
        <v>47</v>
      </c>
      <c r="X40" t="s">
        <v>64</v>
      </c>
      <c r="Y40" t="s">
        <v>48</v>
      </c>
    </row>
    <row r="41" spans="1:25" x14ac:dyDescent="0.35">
      <c r="A41" t="s">
        <v>205</v>
      </c>
      <c r="B41" t="s">
        <v>141</v>
      </c>
      <c r="C41" t="s">
        <v>27</v>
      </c>
      <c r="D41" t="s">
        <v>68</v>
      </c>
      <c r="E41">
        <v>6</v>
      </c>
      <c r="F41" t="s">
        <v>69</v>
      </c>
      <c r="G41">
        <v>238000</v>
      </c>
      <c r="H41">
        <v>141000</v>
      </c>
      <c r="I41">
        <v>270000</v>
      </c>
      <c r="J41" t="s">
        <v>117</v>
      </c>
      <c r="K41" t="s">
        <v>118</v>
      </c>
      <c r="L41" t="s">
        <v>44</v>
      </c>
      <c r="M41" t="s">
        <v>82</v>
      </c>
      <c r="N41" t="s">
        <v>119</v>
      </c>
      <c r="O41" t="s">
        <v>206</v>
      </c>
      <c r="P41">
        <v>4.7</v>
      </c>
      <c r="Q41">
        <v>89</v>
      </c>
      <c r="R41">
        <v>9</v>
      </c>
      <c r="S41">
        <v>8.1</v>
      </c>
      <c r="T41">
        <v>2026</v>
      </c>
      <c r="U41">
        <v>1</v>
      </c>
      <c r="V41">
        <v>1</v>
      </c>
      <c r="W41" t="s">
        <v>47</v>
      </c>
      <c r="X41" t="s">
        <v>64</v>
      </c>
      <c r="Y41" t="s">
        <v>38</v>
      </c>
    </row>
    <row r="42" spans="1:25" x14ac:dyDescent="0.35">
      <c r="A42" t="s">
        <v>207</v>
      </c>
      <c r="B42" t="s">
        <v>91</v>
      </c>
      <c r="C42" t="s">
        <v>27</v>
      </c>
      <c r="D42" t="s">
        <v>74</v>
      </c>
      <c r="E42">
        <v>7</v>
      </c>
      <c r="F42" t="s">
        <v>29</v>
      </c>
      <c r="G42">
        <v>192000</v>
      </c>
      <c r="H42">
        <v>145000</v>
      </c>
      <c r="I42">
        <v>290000</v>
      </c>
      <c r="J42" t="s">
        <v>30</v>
      </c>
      <c r="K42" t="s">
        <v>31</v>
      </c>
      <c r="L42" t="s">
        <v>44</v>
      </c>
      <c r="M42" t="s">
        <v>45</v>
      </c>
      <c r="N42" t="s">
        <v>165</v>
      </c>
      <c r="O42" t="s">
        <v>208</v>
      </c>
      <c r="P42">
        <v>9.1999999999999993</v>
      </c>
      <c r="Q42">
        <v>91</v>
      </c>
      <c r="R42">
        <v>78.099999999999994</v>
      </c>
      <c r="S42">
        <v>7</v>
      </c>
      <c r="T42">
        <v>2026</v>
      </c>
      <c r="U42">
        <v>2</v>
      </c>
      <c r="V42">
        <v>0</v>
      </c>
      <c r="W42" t="s">
        <v>47</v>
      </c>
      <c r="X42" t="s">
        <v>64</v>
      </c>
      <c r="Y42" t="s">
        <v>48</v>
      </c>
    </row>
    <row r="43" spans="1:25" x14ac:dyDescent="0.35">
      <c r="A43" t="s">
        <v>209</v>
      </c>
      <c r="B43" t="s">
        <v>66</v>
      </c>
      <c r="C43" t="s">
        <v>67</v>
      </c>
      <c r="D43" t="s">
        <v>74</v>
      </c>
      <c r="E43">
        <v>10</v>
      </c>
      <c r="F43" t="s">
        <v>128</v>
      </c>
      <c r="G43">
        <v>149000</v>
      </c>
      <c r="H43">
        <v>140000</v>
      </c>
      <c r="I43">
        <v>260000</v>
      </c>
      <c r="J43" t="s">
        <v>117</v>
      </c>
      <c r="K43" t="s">
        <v>118</v>
      </c>
      <c r="L43" t="s">
        <v>44</v>
      </c>
      <c r="M43" t="s">
        <v>82</v>
      </c>
      <c r="N43" t="s">
        <v>155</v>
      </c>
      <c r="O43" t="s">
        <v>210</v>
      </c>
      <c r="P43">
        <v>17.3</v>
      </c>
      <c r="Q43">
        <v>85</v>
      </c>
      <c r="R43">
        <v>26.7</v>
      </c>
      <c r="S43">
        <v>9.6999999999999993</v>
      </c>
      <c r="T43">
        <v>2025</v>
      </c>
      <c r="U43">
        <v>7</v>
      </c>
      <c r="V43">
        <v>0</v>
      </c>
      <c r="W43" t="s">
        <v>47</v>
      </c>
      <c r="X43" t="s">
        <v>64</v>
      </c>
      <c r="Y43" t="s">
        <v>95</v>
      </c>
    </row>
    <row r="44" spans="1:25" x14ac:dyDescent="0.35">
      <c r="A44" t="s">
        <v>211</v>
      </c>
      <c r="B44" t="s">
        <v>91</v>
      </c>
      <c r="C44" t="s">
        <v>27</v>
      </c>
      <c r="D44" t="s">
        <v>28</v>
      </c>
      <c r="E44">
        <v>9</v>
      </c>
      <c r="F44" t="s">
        <v>69</v>
      </c>
      <c r="G44">
        <v>164000</v>
      </c>
      <c r="H44">
        <v>145000</v>
      </c>
      <c r="I44">
        <v>290000</v>
      </c>
      <c r="J44" t="s">
        <v>122</v>
      </c>
      <c r="K44" t="s">
        <v>123</v>
      </c>
      <c r="L44" t="s">
        <v>44</v>
      </c>
      <c r="M44" t="s">
        <v>33</v>
      </c>
      <c r="N44" t="s">
        <v>34</v>
      </c>
      <c r="O44" t="s">
        <v>212</v>
      </c>
      <c r="P44">
        <v>6.2</v>
      </c>
      <c r="Q44">
        <v>91</v>
      </c>
      <c r="R44">
        <v>67.7</v>
      </c>
      <c r="S44">
        <v>7.6</v>
      </c>
      <c r="T44">
        <v>2026</v>
      </c>
      <c r="U44">
        <v>1</v>
      </c>
      <c r="V44">
        <v>1</v>
      </c>
      <c r="W44" t="s">
        <v>47</v>
      </c>
      <c r="X44" t="s">
        <v>64</v>
      </c>
      <c r="Y44" t="s">
        <v>48</v>
      </c>
    </row>
    <row r="45" spans="1:25" x14ac:dyDescent="0.35">
      <c r="A45" t="s">
        <v>213</v>
      </c>
      <c r="B45" t="s">
        <v>86</v>
      </c>
      <c r="C45" t="s">
        <v>27</v>
      </c>
      <c r="D45" t="s">
        <v>28</v>
      </c>
      <c r="E45">
        <v>6</v>
      </c>
      <c r="F45" t="s">
        <v>51</v>
      </c>
      <c r="G45">
        <v>272000</v>
      </c>
      <c r="H45">
        <v>180000</v>
      </c>
      <c r="I45">
        <v>312000</v>
      </c>
      <c r="J45" t="s">
        <v>47</v>
      </c>
      <c r="K45" t="s">
        <v>87</v>
      </c>
      <c r="L45" t="s">
        <v>44</v>
      </c>
      <c r="M45" t="s">
        <v>82</v>
      </c>
      <c r="N45" t="s">
        <v>119</v>
      </c>
      <c r="O45" t="s">
        <v>214</v>
      </c>
      <c r="P45">
        <v>10.9</v>
      </c>
      <c r="Q45">
        <v>96</v>
      </c>
      <c r="R45">
        <v>31.6</v>
      </c>
      <c r="S45">
        <v>6.3</v>
      </c>
      <c r="T45">
        <v>2026</v>
      </c>
      <c r="U45">
        <v>3</v>
      </c>
      <c r="V45">
        <v>1</v>
      </c>
      <c r="W45" t="s">
        <v>47</v>
      </c>
      <c r="X45" t="s">
        <v>64</v>
      </c>
      <c r="Y45" t="s">
        <v>38</v>
      </c>
    </row>
    <row r="46" spans="1:25" x14ac:dyDescent="0.35">
      <c r="A46" t="s">
        <v>215</v>
      </c>
      <c r="B46" t="s">
        <v>185</v>
      </c>
      <c r="C46" t="s">
        <v>186</v>
      </c>
      <c r="D46" t="s">
        <v>81</v>
      </c>
      <c r="E46">
        <v>3</v>
      </c>
      <c r="F46" t="s">
        <v>128</v>
      </c>
      <c r="G46">
        <v>275000</v>
      </c>
      <c r="H46">
        <v>140000</v>
      </c>
      <c r="I46">
        <v>270000</v>
      </c>
      <c r="J46" t="s">
        <v>30</v>
      </c>
      <c r="K46" t="s">
        <v>31</v>
      </c>
      <c r="L46" t="s">
        <v>44</v>
      </c>
      <c r="M46" t="s">
        <v>45</v>
      </c>
      <c r="N46" t="s">
        <v>155</v>
      </c>
      <c r="O46" t="s">
        <v>216</v>
      </c>
      <c r="P46">
        <v>14.8</v>
      </c>
      <c r="Q46">
        <v>85</v>
      </c>
      <c r="R46">
        <v>9.5</v>
      </c>
      <c r="S46">
        <v>6.7</v>
      </c>
      <c r="T46">
        <v>2026</v>
      </c>
      <c r="U46">
        <v>2</v>
      </c>
      <c r="V46">
        <v>0</v>
      </c>
      <c r="W46" t="s">
        <v>47</v>
      </c>
      <c r="X46" t="s">
        <v>64</v>
      </c>
      <c r="Y46" t="s">
        <v>38</v>
      </c>
    </row>
    <row r="47" spans="1:25" x14ac:dyDescent="0.35">
      <c r="A47" t="s">
        <v>217</v>
      </c>
      <c r="B47" t="s">
        <v>158</v>
      </c>
      <c r="C47" t="s">
        <v>27</v>
      </c>
      <c r="D47" t="s">
        <v>81</v>
      </c>
      <c r="E47">
        <v>4</v>
      </c>
      <c r="F47" t="s">
        <v>29</v>
      </c>
      <c r="G47">
        <v>189000</v>
      </c>
      <c r="H47">
        <v>145000</v>
      </c>
      <c r="I47">
        <v>280000</v>
      </c>
      <c r="J47" t="s">
        <v>42</v>
      </c>
      <c r="K47" t="s">
        <v>43</v>
      </c>
      <c r="L47" t="s">
        <v>53</v>
      </c>
      <c r="M47" t="s">
        <v>45</v>
      </c>
      <c r="N47" t="s">
        <v>119</v>
      </c>
      <c r="O47" t="s">
        <v>218</v>
      </c>
      <c r="P47">
        <v>7.8</v>
      </c>
      <c r="Q47">
        <v>94</v>
      </c>
      <c r="R47">
        <v>48.3</v>
      </c>
      <c r="S47">
        <v>7.1</v>
      </c>
      <c r="T47">
        <v>2026</v>
      </c>
      <c r="U47">
        <v>2</v>
      </c>
      <c r="V47">
        <v>0</v>
      </c>
      <c r="W47" t="s">
        <v>47</v>
      </c>
      <c r="X47" t="s">
        <v>37</v>
      </c>
      <c r="Y47" t="s">
        <v>48</v>
      </c>
    </row>
    <row r="48" spans="1:25" x14ac:dyDescent="0.35">
      <c r="A48" t="s">
        <v>219</v>
      </c>
      <c r="B48" t="s">
        <v>203</v>
      </c>
      <c r="C48" t="s">
        <v>169</v>
      </c>
      <c r="D48" t="s">
        <v>28</v>
      </c>
      <c r="E48">
        <v>7</v>
      </c>
      <c r="F48" t="s">
        <v>51</v>
      </c>
      <c r="G48">
        <v>146000</v>
      </c>
      <c r="H48">
        <v>138000</v>
      </c>
      <c r="I48">
        <v>195000</v>
      </c>
      <c r="J48" t="s">
        <v>42</v>
      </c>
      <c r="K48" t="s">
        <v>43</v>
      </c>
      <c r="L48" t="s">
        <v>53</v>
      </c>
      <c r="M48" t="s">
        <v>45</v>
      </c>
      <c r="N48" t="s">
        <v>165</v>
      </c>
      <c r="O48" t="s">
        <v>220</v>
      </c>
      <c r="P48">
        <v>4.5</v>
      </c>
      <c r="Q48">
        <v>92</v>
      </c>
      <c r="R48">
        <v>28.9</v>
      </c>
      <c r="S48">
        <v>7</v>
      </c>
      <c r="T48">
        <v>2026</v>
      </c>
      <c r="U48">
        <v>3</v>
      </c>
      <c r="V48">
        <v>1</v>
      </c>
      <c r="W48" t="s">
        <v>47</v>
      </c>
      <c r="X48" t="s">
        <v>64</v>
      </c>
      <c r="Y48" t="s">
        <v>95</v>
      </c>
    </row>
    <row r="49" spans="1:25" x14ac:dyDescent="0.35">
      <c r="A49" t="s">
        <v>221</v>
      </c>
      <c r="B49" t="s">
        <v>146</v>
      </c>
      <c r="C49" t="s">
        <v>27</v>
      </c>
      <c r="D49" t="s">
        <v>74</v>
      </c>
      <c r="E49">
        <v>3</v>
      </c>
      <c r="F49" t="s">
        <v>128</v>
      </c>
      <c r="G49">
        <v>180000</v>
      </c>
      <c r="H49">
        <v>160000</v>
      </c>
      <c r="I49">
        <v>300000</v>
      </c>
      <c r="J49" t="s">
        <v>191</v>
      </c>
      <c r="K49" t="s">
        <v>31</v>
      </c>
      <c r="L49" t="s">
        <v>53</v>
      </c>
      <c r="M49" t="s">
        <v>33</v>
      </c>
      <c r="N49" t="s">
        <v>131</v>
      </c>
      <c r="O49" t="s">
        <v>222</v>
      </c>
      <c r="P49">
        <v>16.8</v>
      </c>
      <c r="Q49">
        <v>90</v>
      </c>
      <c r="R49">
        <v>14.1</v>
      </c>
      <c r="S49">
        <v>7.9</v>
      </c>
      <c r="T49">
        <v>2025</v>
      </c>
      <c r="U49">
        <v>3</v>
      </c>
      <c r="V49">
        <v>0</v>
      </c>
      <c r="W49" t="s">
        <v>47</v>
      </c>
      <c r="X49" t="s">
        <v>64</v>
      </c>
      <c r="Y49" t="s">
        <v>48</v>
      </c>
    </row>
    <row r="50" spans="1:25" x14ac:dyDescent="0.35">
      <c r="A50" t="s">
        <v>223</v>
      </c>
      <c r="B50" t="s">
        <v>224</v>
      </c>
      <c r="C50" t="s">
        <v>27</v>
      </c>
      <c r="D50" t="s">
        <v>28</v>
      </c>
      <c r="E50">
        <v>4</v>
      </c>
      <c r="F50" t="s">
        <v>41</v>
      </c>
      <c r="G50">
        <v>234000</v>
      </c>
      <c r="H50">
        <v>145000</v>
      </c>
      <c r="I50">
        <v>280000</v>
      </c>
      <c r="J50" t="s">
        <v>47</v>
      </c>
      <c r="K50" t="s">
        <v>87</v>
      </c>
      <c r="L50" t="s">
        <v>32</v>
      </c>
      <c r="M50" t="s">
        <v>82</v>
      </c>
      <c r="N50" t="s">
        <v>155</v>
      </c>
      <c r="O50" t="s">
        <v>225</v>
      </c>
      <c r="P50">
        <v>5.6</v>
      </c>
      <c r="Q50">
        <v>87</v>
      </c>
      <c r="R50">
        <v>23.7</v>
      </c>
      <c r="S50">
        <v>7</v>
      </c>
      <c r="T50">
        <v>2025</v>
      </c>
      <c r="U50">
        <v>11</v>
      </c>
      <c r="V50">
        <v>1</v>
      </c>
      <c r="W50" t="s">
        <v>36</v>
      </c>
      <c r="X50" t="s">
        <v>64</v>
      </c>
      <c r="Y50" t="s">
        <v>38</v>
      </c>
    </row>
    <row r="51" spans="1:25" x14ac:dyDescent="0.35">
      <c r="A51" t="s">
        <v>226</v>
      </c>
      <c r="B51" t="s">
        <v>58</v>
      </c>
      <c r="C51" t="s">
        <v>59</v>
      </c>
      <c r="D51" t="s">
        <v>68</v>
      </c>
      <c r="E51">
        <v>6</v>
      </c>
      <c r="F51" t="s">
        <v>41</v>
      </c>
      <c r="G51">
        <v>240000</v>
      </c>
      <c r="H51">
        <v>130000</v>
      </c>
      <c r="I51">
        <v>220000</v>
      </c>
      <c r="J51" t="s">
        <v>30</v>
      </c>
      <c r="K51" t="s">
        <v>31</v>
      </c>
      <c r="L51" t="s">
        <v>32</v>
      </c>
      <c r="M51" t="s">
        <v>61</v>
      </c>
      <c r="N51" t="s">
        <v>131</v>
      </c>
      <c r="O51" t="s">
        <v>227</v>
      </c>
      <c r="P51">
        <v>8.4</v>
      </c>
      <c r="Q51">
        <v>88</v>
      </c>
      <c r="R51">
        <v>29.9</v>
      </c>
      <c r="S51">
        <v>6.4</v>
      </c>
      <c r="T51">
        <v>2025</v>
      </c>
      <c r="U51">
        <v>9</v>
      </c>
      <c r="V51">
        <v>1</v>
      </c>
      <c r="W51" t="s">
        <v>36</v>
      </c>
      <c r="X51" t="s">
        <v>64</v>
      </c>
      <c r="Y51" t="s">
        <v>38</v>
      </c>
    </row>
    <row r="52" spans="1:25" x14ac:dyDescent="0.35">
      <c r="A52" t="s">
        <v>228</v>
      </c>
      <c r="B52" t="s">
        <v>168</v>
      </c>
      <c r="C52" t="s">
        <v>169</v>
      </c>
      <c r="D52" t="s">
        <v>28</v>
      </c>
      <c r="E52">
        <v>7</v>
      </c>
      <c r="F52" t="s">
        <v>51</v>
      </c>
      <c r="G52">
        <v>169000</v>
      </c>
      <c r="H52">
        <v>157000</v>
      </c>
      <c r="I52">
        <v>218000</v>
      </c>
      <c r="J52" t="s">
        <v>137</v>
      </c>
      <c r="K52" t="s">
        <v>138</v>
      </c>
      <c r="L52" t="s">
        <v>44</v>
      </c>
      <c r="M52" t="s">
        <v>45</v>
      </c>
      <c r="N52" t="s">
        <v>71</v>
      </c>
      <c r="O52" t="s">
        <v>229</v>
      </c>
      <c r="P52">
        <v>9.6999999999999993</v>
      </c>
      <c r="Q52">
        <v>90</v>
      </c>
      <c r="R52">
        <v>26.4</v>
      </c>
      <c r="S52">
        <v>6.4</v>
      </c>
      <c r="T52">
        <v>2026</v>
      </c>
      <c r="U52">
        <v>3</v>
      </c>
      <c r="V52">
        <v>1</v>
      </c>
      <c r="W52" t="s">
        <v>47</v>
      </c>
      <c r="X52" t="s">
        <v>64</v>
      </c>
      <c r="Y52" t="s">
        <v>48</v>
      </c>
    </row>
    <row r="53" spans="1:25" x14ac:dyDescent="0.35">
      <c r="A53" t="s">
        <v>230</v>
      </c>
      <c r="B53" t="s">
        <v>26</v>
      </c>
      <c r="C53" t="s">
        <v>27</v>
      </c>
      <c r="D53" t="s">
        <v>68</v>
      </c>
      <c r="E53">
        <v>2</v>
      </c>
      <c r="F53" t="s">
        <v>128</v>
      </c>
      <c r="G53">
        <v>257000</v>
      </c>
      <c r="H53">
        <v>155000</v>
      </c>
      <c r="I53">
        <v>290000</v>
      </c>
      <c r="J53" t="s">
        <v>60</v>
      </c>
      <c r="K53" t="s">
        <v>60</v>
      </c>
      <c r="L53" t="s">
        <v>32</v>
      </c>
      <c r="M53" t="s">
        <v>33</v>
      </c>
      <c r="N53" t="s">
        <v>71</v>
      </c>
      <c r="O53" t="s">
        <v>231</v>
      </c>
      <c r="P53">
        <v>15.7</v>
      </c>
      <c r="Q53">
        <v>96</v>
      </c>
      <c r="R53">
        <v>30.1</v>
      </c>
      <c r="S53">
        <v>6.8</v>
      </c>
      <c r="T53">
        <v>2026</v>
      </c>
      <c r="U53">
        <v>2</v>
      </c>
      <c r="V53">
        <v>1</v>
      </c>
      <c r="W53" t="s">
        <v>36</v>
      </c>
      <c r="X53" t="s">
        <v>37</v>
      </c>
      <c r="Y53" t="s">
        <v>38</v>
      </c>
    </row>
    <row r="54" spans="1:25" x14ac:dyDescent="0.35">
      <c r="A54" t="s">
        <v>232</v>
      </c>
      <c r="B54" t="s">
        <v>233</v>
      </c>
      <c r="C54" t="s">
        <v>180</v>
      </c>
      <c r="D54" t="s">
        <v>74</v>
      </c>
      <c r="E54">
        <v>5</v>
      </c>
      <c r="F54" t="s">
        <v>128</v>
      </c>
      <c r="G54">
        <v>188000</v>
      </c>
      <c r="H54">
        <v>100000</v>
      </c>
      <c r="I54">
        <v>200000</v>
      </c>
      <c r="J54" t="s">
        <v>191</v>
      </c>
      <c r="K54" t="s">
        <v>31</v>
      </c>
      <c r="L54" t="s">
        <v>32</v>
      </c>
      <c r="M54" t="s">
        <v>54</v>
      </c>
      <c r="N54" t="s">
        <v>131</v>
      </c>
      <c r="O54" t="s">
        <v>234</v>
      </c>
      <c r="P54">
        <v>15.9</v>
      </c>
      <c r="Q54">
        <v>68</v>
      </c>
      <c r="R54">
        <v>10.9</v>
      </c>
      <c r="S54">
        <v>7.2</v>
      </c>
      <c r="T54">
        <v>2025</v>
      </c>
      <c r="U54">
        <v>1</v>
      </c>
      <c r="V54">
        <v>0</v>
      </c>
      <c r="W54" t="s">
        <v>36</v>
      </c>
      <c r="X54" t="s">
        <v>64</v>
      </c>
      <c r="Y54" t="s">
        <v>48</v>
      </c>
    </row>
    <row r="55" spans="1:25" x14ac:dyDescent="0.35">
      <c r="A55" t="s">
        <v>235</v>
      </c>
      <c r="B55" t="s">
        <v>168</v>
      </c>
      <c r="C55" t="s">
        <v>169</v>
      </c>
      <c r="D55" t="s">
        <v>74</v>
      </c>
      <c r="E55">
        <v>10</v>
      </c>
      <c r="F55" t="s">
        <v>41</v>
      </c>
      <c r="G55">
        <v>157000</v>
      </c>
      <c r="H55">
        <v>157000</v>
      </c>
      <c r="I55">
        <v>218000</v>
      </c>
      <c r="J55" t="s">
        <v>122</v>
      </c>
      <c r="K55" t="s">
        <v>123</v>
      </c>
      <c r="L55" t="s">
        <v>44</v>
      </c>
      <c r="M55" t="s">
        <v>54</v>
      </c>
      <c r="N55" t="s">
        <v>88</v>
      </c>
      <c r="O55" t="s">
        <v>236</v>
      </c>
      <c r="P55">
        <v>3.2</v>
      </c>
      <c r="Q55">
        <v>90</v>
      </c>
      <c r="R55">
        <v>30</v>
      </c>
      <c r="S55">
        <v>9.1999999999999993</v>
      </c>
      <c r="T55">
        <v>2026</v>
      </c>
      <c r="U55">
        <v>1</v>
      </c>
      <c r="V55">
        <v>0</v>
      </c>
      <c r="W55" t="s">
        <v>47</v>
      </c>
      <c r="X55" t="s">
        <v>64</v>
      </c>
      <c r="Y55" t="s">
        <v>48</v>
      </c>
    </row>
    <row r="56" spans="1:25" x14ac:dyDescent="0.35">
      <c r="A56" t="s">
        <v>237</v>
      </c>
      <c r="B56" t="s">
        <v>179</v>
      </c>
      <c r="C56" t="s">
        <v>180</v>
      </c>
      <c r="D56" t="s">
        <v>74</v>
      </c>
      <c r="E56">
        <v>5</v>
      </c>
      <c r="F56" t="s">
        <v>128</v>
      </c>
      <c r="G56">
        <v>110000</v>
      </c>
      <c r="H56">
        <v>110000</v>
      </c>
      <c r="I56">
        <v>210000</v>
      </c>
      <c r="J56" t="s">
        <v>170</v>
      </c>
      <c r="K56" t="s">
        <v>171</v>
      </c>
      <c r="L56" t="s">
        <v>44</v>
      </c>
      <c r="M56" t="s">
        <v>33</v>
      </c>
      <c r="N56" t="s">
        <v>155</v>
      </c>
      <c r="O56" t="s">
        <v>238</v>
      </c>
      <c r="P56">
        <v>9</v>
      </c>
      <c r="Q56">
        <v>72</v>
      </c>
      <c r="R56">
        <v>22.5</v>
      </c>
      <c r="S56">
        <v>9.1999999999999993</v>
      </c>
      <c r="T56">
        <v>2026</v>
      </c>
      <c r="U56">
        <v>3</v>
      </c>
      <c r="V56">
        <v>0</v>
      </c>
      <c r="W56" t="s">
        <v>47</v>
      </c>
      <c r="X56" t="s">
        <v>64</v>
      </c>
      <c r="Y56" t="s">
        <v>95</v>
      </c>
    </row>
    <row r="57" spans="1:25" x14ac:dyDescent="0.35">
      <c r="A57" t="s">
        <v>239</v>
      </c>
      <c r="B57" t="s">
        <v>134</v>
      </c>
      <c r="C57" t="s">
        <v>27</v>
      </c>
      <c r="D57" t="s">
        <v>68</v>
      </c>
      <c r="E57">
        <v>8</v>
      </c>
      <c r="F57" t="s">
        <v>29</v>
      </c>
      <c r="G57">
        <v>354000</v>
      </c>
      <c r="H57">
        <v>150000</v>
      </c>
      <c r="I57">
        <v>295000</v>
      </c>
      <c r="J57" t="s">
        <v>70</v>
      </c>
      <c r="K57" t="s">
        <v>31</v>
      </c>
      <c r="L57" t="s">
        <v>53</v>
      </c>
      <c r="M57" t="s">
        <v>45</v>
      </c>
      <c r="N57" t="s">
        <v>119</v>
      </c>
      <c r="O57" t="s">
        <v>240</v>
      </c>
      <c r="P57">
        <v>8.6999999999999993</v>
      </c>
      <c r="Q57">
        <v>95</v>
      </c>
      <c r="R57">
        <v>75.7</v>
      </c>
      <c r="S57">
        <v>6.4</v>
      </c>
      <c r="T57">
        <v>2025</v>
      </c>
      <c r="U57">
        <v>12</v>
      </c>
      <c r="V57">
        <v>1</v>
      </c>
      <c r="W57" t="s">
        <v>47</v>
      </c>
      <c r="X57" t="s">
        <v>37</v>
      </c>
      <c r="Y57" t="s">
        <v>56</v>
      </c>
    </row>
    <row r="58" spans="1:25" x14ac:dyDescent="0.35">
      <c r="A58" t="s">
        <v>241</v>
      </c>
      <c r="B58" t="s">
        <v>58</v>
      </c>
      <c r="C58" t="s">
        <v>59</v>
      </c>
      <c r="D58" t="s">
        <v>74</v>
      </c>
      <c r="E58">
        <v>6</v>
      </c>
      <c r="F58" t="s">
        <v>51</v>
      </c>
      <c r="G58">
        <v>160000</v>
      </c>
      <c r="H58">
        <v>130000</v>
      </c>
      <c r="I58">
        <v>220000</v>
      </c>
      <c r="J58" t="s">
        <v>191</v>
      </c>
      <c r="K58" t="s">
        <v>31</v>
      </c>
      <c r="L58" t="s">
        <v>44</v>
      </c>
      <c r="M58" t="s">
        <v>54</v>
      </c>
      <c r="N58" t="s">
        <v>165</v>
      </c>
      <c r="O58" t="s">
        <v>242</v>
      </c>
      <c r="P58">
        <v>9</v>
      </c>
      <c r="Q58">
        <v>88</v>
      </c>
      <c r="R58">
        <v>17.7</v>
      </c>
      <c r="S58">
        <v>6.6</v>
      </c>
      <c r="T58">
        <v>2026</v>
      </c>
      <c r="U58">
        <v>1</v>
      </c>
      <c r="V58">
        <v>0</v>
      </c>
      <c r="W58" t="s">
        <v>47</v>
      </c>
      <c r="X58" t="s">
        <v>64</v>
      </c>
      <c r="Y58" t="s">
        <v>48</v>
      </c>
    </row>
    <row r="59" spans="1:25" x14ac:dyDescent="0.35">
      <c r="A59" t="s">
        <v>243</v>
      </c>
      <c r="B59" t="s">
        <v>58</v>
      </c>
      <c r="C59" t="s">
        <v>59</v>
      </c>
      <c r="D59" t="s">
        <v>74</v>
      </c>
      <c r="E59">
        <v>8</v>
      </c>
      <c r="F59" t="s">
        <v>128</v>
      </c>
      <c r="G59">
        <v>130000</v>
      </c>
      <c r="H59">
        <v>130000</v>
      </c>
      <c r="I59">
        <v>220000</v>
      </c>
      <c r="J59" t="s">
        <v>102</v>
      </c>
      <c r="K59" t="s">
        <v>103</v>
      </c>
      <c r="L59" t="s">
        <v>53</v>
      </c>
      <c r="M59" t="s">
        <v>82</v>
      </c>
      <c r="N59" t="s">
        <v>110</v>
      </c>
      <c r="O59" t="s">
        <v>244</v>
      </c>
      <c r="P59">
        <v>11.1</v>
      </c>
      <c r="Q59">
        <v>88</v>
      </c>
      <c r="R59">
        <v>13.5</v>
      </c>
      <c r="S59">
        <v>6</v>
      </c>
      <c r="T59">
        <v>2026</v>
      </c>
      <c r="U59">
        <v>3</v>
      </c>
      <c r="V59">
        <v>0</v>
      </c>
      <c r="W59" t="s">
        <v>47</v>
      </c>
      <c r="X59" t="s">
        <v>64</v>
      </c>
      <c r="Y59" t="s">
        <v>95</v>
      </c>
    </row>
    <row r="60" spans="1:25" x14ac:dyDescent="0.35">
      <c r="A60" t="s">
        <v>245</v>
      </c>
      <c r="B60" t="s">
        <v>146</v>
      </c>
      <c r="C60" t="s">
        <v>27</v>
      </c>
      <c r="D60" t="s">
        <v>81</v>
      </c>
      <c r="E60">
        <v>7</v>
      </c>
      <c r="F60" t="s">
        <v>41</v>
      </c>
      <c r="G60">
        <v>160000</v>
      </c>
      <c r="H60">
        <v>160000</v>
      </c>
      <c r="I60">
        <v>300000</v>
      </c>
      <c r="J60" t="s">
        <v>137</v>
      </c>
      <c r="K60" t="s">
        <v>138</v>
      </c>
      <c r="L60" t="s">
        <v>53</v>
      </c>
      <c r="M60" t="s">
        <v>33</v>
      </c>
      <c r="N60" t="s">
        <v>110</v>
      </c>
      <c r="O60" t="s">
        <v>246</v>
      </c>
      <c r="P60">
        <v>15.8</v>
      </c>
      <c r="Q60">
        <v>90</v>
      </c>
      <c r="R60">
        <v>19.2</v>
      </c>
      <c r="S60">
        <v>6.3</v>
      </c>
      <c r="T60">
        <v>2025</v>
      </c>
      <c r="U60">
        <v>3</v>
      </c>
      <c r="V60">
        <v>0</v>
      </c>
      <c r="W60" t="s">
        <v>47</v>
      </c>
      <c r="X60" t="s">
        <v>64</v>
      </c>
      <c r="Y60" t="s">
        <v>48</v>
      </c>
    </row>
    <row r="61" spans="1:25" x14ac:dyDescent="0.35">
      <c r="A61" t="s">
        <v>247</v>
      </c>
      <c r="B61" t="s">
        <v>233</v>
      </c>
      <c r="C61" t="s">
        <v>180</v>
      </c>
      <c r="D61" t="s">
        <v>74</v>
      </c>
      <c r="E61">
        <v>9</v>
      </c>
      <c r="F61" t="s">
        <v>128</v>
      </c>
      <c r="G61">
        <v>100000</v>
      </c>
      <c r="H61">
        <v>100000</v>
      </c>
      <c r="I61">
        <v>200000</v>
      </c>
      <c r="J61" t="s">
        <v>108</v>
      </c>
      <c r="K61" t="s">
        <v>109</v>
      </c>
      <c r="L61" t="s">
        <v>44</v>
      </c>
      <c r="M61" t="s">
        <v>33</v>
      </c>
      <c r="N61" t="s">
        <v>34</v>
      </c>
      <c r="O61" t="s">
        <v>248</v>
      </c>
      <c r="P61">
        <v>9.1</v>
      </c>
      <c r="Q61">
        <v>68</v>
      </c>
      <c r="R61">
        <v>22</v>
      </c>
      <c r="S61">
        <v>8.3000000000000007</v>
      </c>
      <c r="T61">
        <v>2026</v>
      </c>
      <c r="U61">
        <v>2</v>
      </c>
      <c r="V61">
        <v>0</v>
      </c>
      <c r="W61" t="s">
        <v>47</v>
      </c>
      <c r="X61" t="s">
        <v>64</v>
      </c>
      <c r="Y61" t="s">
        <v>98</v>
      </c>
    </row>
    <row r="62" spans="1:25" x14ac:dyDescent="0.35">
      <c r="A62" t="s">
        <v>249</v>
      </c>
      <c r="B62" t="s">
        <v>127</v>
      </c>
      <c r="C62" t="s">
        <v>27</v>
      </c>
      <c r="D62" t="s">
        <v>74</v>
      </c>
      <c r="E62">
        <v>6</v>
      </c>
      <c r="F62" t="s">
        <v>41</v>
      </c>
      <c r="G62">
        <v>120000</v>
      </c>
      <c r="H62">
        <v>120000</v>
      </c>
      <c r="I62">
        <v>280000</v>
      </c>
      <c r="J62" t="s">
        <v>42</v>
      </c>
      <c r="K62" t="s">
        <v>43</v>
      </c>
      <c r="L62" t="s">
        <v>44</v>
      </c>
      <c r="M62" t="s">
        <v>45</v>
      </c>
      <c r="N62" t="s">
        <v>124</v>
      </c>
      <c r="O62" t="s">
        <v>250</v>
      </c>
      <c r="P62">
        <v>9.3000000000000007</v>
      </c>
      <c r="Q62">
        <v>97</v>
      </c>
      <c r="R62">
        <v>53.9</v>
      </c>
      <c r="S62">
        <v>6.9</v>
      </c>
      <c r="T62">
        <v>2026</v>
      </c>
      <c r="U62">
        <v>3</v>
      </c>
      <c r="V62">
        <v>0</v>
      </c>
      <c r="W62" t="s">
        <v>47</v>
      </c>
      <c r="X62" t="s">
        <v>64</v>
      </c>
      <c r="Y62" t="s">
        <v>95</v>
      </c>
    </row>
    <row r="63" spans="1:25" x14ac:dyDescent="0.35">
      <c r="A63" t="s">
        <v>251</v>
      </c>
      <c r="B63" t="s">
        <v>58</v>
      </c>
      <c r="C63" t="s">
        <v>59</v>
      </c>
      <c r="D63" t="s">
        <v>74</v>
      </c>
      <c r="E63">
        <v>2</v>
      </c>
      <c r="F63" t="s">
        <v>69</v>
      </c>
      <c r="G63">
        <v>130000</v>
      </c>
      <c r="H63">
        <v>130000</v>
      </c>
      <c r="I63">
        <v>220000</v>
      </c>
      <c r="J63" t="s">
        <v>52</v>
      </c>
      <c r="K63" t="s">
        <v>31</v>
      </c>
      <c r="L63" t="s">
        <v>32</v>
      </c>
      <c r="M63" t="s">
        <v>45</v>
      </c>
      <c r="N63" t="s">
        <v>76</v>
      </c>
      <c r="O63" t="s">
        <v>252</v>
      </c>
      <c r="P63">
        <v>11.2</v>
      </c>
      <c r="Q63">
        <v>88</v>
      </c>
      <c r="R63">
        <v>25</v>
      </c>
      <c r="S63">
        <v>8.3000000000000007</v>
      </c>
      <c r="T63">
        <v>2026</v>
      </c>
      <c r="U63">
        <v>2</v>
      </c>
      <c r="V63">
        <v>0</v>
      </c>
      <c r="W63" t="s">
        <v>36</v>
      </c>
      <c r="X63" t="s">
        <v>64</v>
      </c>
      <c r="Y63" t="s">
        <v>95</v>
      </c>
    </row>
    <row r="64" spans="1:25" x14ac:dyDescent="0.35">
      <c r="A64" t="s">
        <v>253</v>
      </c>
      <c r="B64" t="s">
        <v>86</v>
      </c>
      <c r="C64" t="s">
        <v>27</v>
      </c>
      <c r="D64" t="s">
        <v>81</v>
      </c>
      <c r="E64">
        <v>6</v>
      </c>
      <c r="F64" t="s">
        <v>69</v>
      </c>
      <c r="G64">
        <v>180000</v>
      </c>
      <c r="H64">
        <v>180000</v>
      </c>
      <c r="I64">
        <v>312000</v>
      </c>
      <c r="J64" t="s">
        <v>122</v>
      </c>
      <c r="K64" t="s">
        <v>123</v>
      </c>
      <c r="L64" t="s">
        <v>44</v>
      </c>
      <c r="M64" t="s">
        <v>33</v>
      </c>
      <c r="N64" t="s">
        <v>83</v>
      </c>
      <c r="O64" t="s">
        <v>254</v>
      </c>
      <c r="P64">
        <v>17.600000000000001</v>
      </c>
      <c r="Q64">
        <v>96</v>
      </c>
      <c r="R64">
        <v>62.1</v>
      </c>
      <c r="S64">
        <v>6.6</v>
      </c>
      <c r="T64">
        <v>2025</v>
      </c>
      <c r="U64">
        <v>5</v>
      </c>
      <c r="V64">
        <v>0</v>
      </c>
      <c r="W64" t="s">
        <v>47</v>
      </c>
      <c r="X64" t="s">
        <v>64</v>
      </c>
      <c r="Y64" t="s">
        <v>48</v>
      </c>
    </row>
    <row r="65" spans="1:25" x14ac:dyDescent="0.35">
      <c r="A65" t="s">
        <v>255</v>
      </c>
      <c r="B65" t="s">
        <v>141</v>
      </c>
      <c r="C65" t="s">
        <v>27</v>
      </c>
      <c r="D65" t="s">
        <v>81</v>
      </c>
      <c r="E65">
        <v>10</v>
      </c>
      <c r="F65" t="s">
        <v>41</v>
      </c>
      <c r="G65">
        <v>222000</v>
      </c>
      <c r="H65">
        <v>141000</v>
      </c>
      <c r="I65">
        <v>270000</v>
      </c>
      <c r="J65" t="s">
        <v>75</v>
      </c>
      <c r="K65" t="s">
        <v>31</v>
      </c>
      <c r="L65" t="s">
        <v>44</v>
      </c>
      <c r="M65" t="s">
        <v>54</v>
      </c>
      <c r="N65" t="s">
        <v>34</v>
      </c>
      <c r="O65" t="s">
        <v>256</v>
      </c>
      <c r="P65">
        <v>7.4</v>
      </c>
      <c r="Q65">
        <v>89</v>
      </c>
      <c r="R65">
        <v>24.9</v>
      </c>
      <c r="S65">
        <v>8.1999999999999993</v>
      </c>
      <c r="T65">
        <v>2025</v>
      </c>
      <c r="U65">
        <v>2</v>
      </c>
      <c r="V65">
        <v>0</v>
      </c>
      <c r="W65" t="s">
        <v>47</v>
      </c>
      <c r="X65" t="s">
        <v>64</v>
      </c>
      <c r="Y65" t="s">
        <v>38</v>
      </c>
    </row>
    <row r="66" spans="1:25" x14ac:dyDescent="0.35">
      <c r="A66" t="s">
        <v>257</v>
      </c>
      <c r="B66" t="s">
        <v>149</v>
      </c>
      <c r="C66" t="s">
        <v>150</v>
      </c>
      <c r="D66" t="s">
        <v>74</v>
      </c>
      <c r="E66">
        <v>5</v>
      </c>
      <c r="F66" t="s">
        <v>41</v>
      </c>
      <c r="G66">
        <v>131000</v>
      </c>
      <c r="H66">
        <v>130000</v>
      </c>
      <c r="I66">
        <v>260000</v>
      </c>
      <c r="J66" t="s">
        <v>170</v>
      </c>
      <c r="K66" t="s">
        <v>171</v>
      </c>
      <c r="L66" t="s">
        <v>44</v>
      </c>
      <c r="M66" t="s">
        <v>45</v>
      </c>
      <c r="N66" t="s">
        <v>165</v>
      </c>
      <c r="O66" t="s">
        <v>258</v>
      </c>
      <c r="P66">
        <v>15.9</v>
      </c>
      <c r="Q66">
        <v>93</v>
      </c>
      <c r="R66">
        <v>80.400000000000006</v>
      </c>
      <c r="S66">
        <v>7.7</v>
      </c>
      <c r="T66">
        <v>2026</v>
      </c>
      <c r="U66">
        <v>3</v>
      </c>
      <c r="V66">
        <v>0</v>
      </c>
      <c r="W66" t="s">
        <v>47</v>
      </c>
      <c r="X66" t="s">
        <v>64</v>
      </c>
      <c r="Y66" t="s">
        <v>95</v>
      </c>
    </row>
    <row r="67" spans="1:25" x14ac:dyDescent="0.35">
      <c r="A67" t="s">
        <v>259</v>
      </c>
      <c r="B67" t="s">
        <v>141</v>
      </c>
      <c r="C67" t="s">
        <v>27</v>
      </c>
      <c r="D67" t="s">
        <v>68</v>
      </c>
      <c r="E67">
        <v>3</v>
      </c>
      <c r="F67" t="s">
        <v>51</v>
      </c>
      <c r="G67">
        <v>247000</v>
      </c>
      <c r="H67">
        <v>141000</v>
      </c>
      <c r="I67">
        <v>270000</v>
      </c>
      <c r="J67" t="s">
        <v>113</v>
      </c>
      <c r="K67" t="s">
        <v>114</v>
      </c>
      <c r="L67" t="s">
        <v>44</v>
      </c>
      <c r="M67" t="s">
        <v>54</v>
      </c>
      <c r="N67" t="s">
        <v>88</v>
      </c>
      <c r="O67" t="s">
        <v>260</v>
      </c>
      <c r="P67">
        <v>7.3</v>
      </c>
      <c r="Q67">
        <v>89</v>
      </c>
      <c r="R67">
        <v>14.1</v>
      </c>
      <c r="S67">
        <v>9.5</v>
      </c>
      <c r="T67">
        <v>2025</v>
      </c>
      <c r="U67">
        <v>6</v>
      </c>
      <c r="V67">
        <v>1</v>
      </c>
      <c r="W67" t="s">
        <v>47</v>
      </c>
      <c r="X67" t="s">
        <v>64</v>
      </c>
      <c r="Y67" t="s">
        <v>38</v>
      </c>
    </row>
    <row r="68" spans="1:25" x14ac:dyDescent="0.35">
      <c r="A68" t="s">
        <v>261</v>
      </c>
      <c r="B68" t="s">
        <v>146</v>
      </c>
      <c r="C68" t="s">
        <v>27</v>
      </c>
      <c r="D68" t="s">
        <v>28</v>
      </c>
      <c r="E68">
        <v>7</v>
      </c>
      <c r="F68" t="s">
        <v>41</v>
      </c>
      <c r="G68">
        <v>160000</v>
      </c>
      <c r="H68">
        <v>160000</v>
      </c>
      <c r="I68">
        <v>300000</v>
      </c>
      <c r="J68" t="s">
        <v>108</v>
      </c>
      <c r="K68" t="s">
        <v>109</v>
      </c>
      <c r="L68" t="s">
        <v>32</v>
      </c>
      <c r="M68" t="s">
        <v>33</v>
      </c>
      <c r="N68" t="s">
        <v>119</v>
      </c>
      <c r="O68" t="s">
        <v>262</v>
      </c>
      <c r="P68">
        <v>11.5</v>
      </c>
      <c r="Q68">
        <v>90</v>
      </c>
      <c r="R68">
        <v>29.2</v>
      </c>
      <c r="S68">
        <v>8.6999999999999993</v>
      </c>
      <c r="T68">
        <v>2025</v>
      </c>
      <c r="U68">
        <v>10</v>
      </c>
      <c r="V68">
        <v>1</v>
      </c>
      <c r="W68" t="s">
        <v>36</v>
      </c>
      <c r="X68" t="s">
        <v>64</v>
      </c>
      <c r="Y68" t="s">
        <v>48</v>
      </c>
    </row>
    <row r="69" spans="1:25" x14ac:dyDescent="0.35">
      <c r="A69" t="s">
        <v>263</v>
      </c>
      <c r="B69" t="s">
        <v>185</v>
      </c>
      <c r="C69" t="s">
        <v>186</v>
      </c>
      <c r="D69" t="s">
        <v>68</v>
      </c>
      <c r="E69">
        <v>8</v>
      </c>
      <c r="F69" t="s">
        <v>128</v>
      </c>
      <c r="G69">
        <v>324000</v>
      </c>
      <c r="H69">
        <v>140000</v>
      </c>
      <c r="I69">
        <v>270000</v>
      </c>
      <c r="J69" t="s">
        <v>52</v>
      </c>
      <c r="K69" t="s">
        <v>31</v>
      </c>
      <c r="L69" t="s">
        <v>32</v>
      </c>
      <c r="M69" t="s">
        <v>82</v>
      </c>
      <c r="N69" t="s">
        <v>110</v>
      </c>
      <c r="O69" t="s">
        <v>264</v>
      </c>
      <c r="P69">
        <v>10.1</v>
      </c>
      <c r="Q69">
        <v>85</v>
      </c>
      <c r="R69">
        <v>28.7</v>
      </c>
      <c r="S69">
        <v>7.8</v>
      </c>
      <c r="T69">
        <v>2025</v>
      </c>
      <c r="U69">
        <v>3</v>
      </c>
      <c r="V69">
        <v>1</v>
      </c>
      <c r="W69" t="s">
        <v>36</v>
      </c>
      <c r="X69" t="s">
        <v>64</v>
      </c>
      <c r="Y69" t="s">
        <v>56</v>
      </c>
    </row>
    <row r="70" spans="1:25" x14ac:dyDescent="0.35">
      <c r="A70" t="s">
        <v>265</v>
      </c>
      <c r="B70" t="s">
        <v>168</v>
      </c>
      <c r="C70" t="s">
        <v>169</v>
      </c>
      <c r="D70" t="s">
        <v>74</v>
      </c>
      <c r="E70">
        <v>5</v>
      </c>
      <c r="F70" t="s">
        <v>51</v>
      </c>
      <c r="G70">
        <v>157000</v>
      </c>
      <c r="H70">
        <v>157000</v>
      </c>
      <c r="I70">
        <v>218000</v>
      </c>
      <c r="J70" t="s">
        <v>52</v>
      </c>
      <c r="K70" t="s">
        <v>31</v>
      </c>
      <c r="L70" t="s">
        <v>53</v>
      </c>
      <c r="M70" t="s">
        <v>82</v>
      </c>
      <c r="N70" t="s">
        <v>131</v>
      </c>
      <c r="O70" t="s">
        <v>266</v>
      </c>
      <c r="P70">
        <v>3.3</v>
      </c>
      <c r="Q70">
        <v>90</v>
      </c>
      <c r="R70">
        <v>14.1</v>
      </c>
      <c r="S70">
        <v>8.6999999999999993</v>
      </c>
      <c r="T70">
        <v>2026</v>
      </c>
      <c r="U70">
        <v>3</v>
      </c>
      <c r="V70">
        <v>0</v>
      </c>
      <c r="W70" t="s">
        <v>47</v>
      </c>
      <c r="X70" t="s">
        <v>64</v>
      </c>
      <c r="Y70" t="s">
        <v>48</v>
      </c>
    </row>
    <row r="71" spans="1:25" x14ac:dyDescent="0.35">
      <c r="A71" t="s">
        <v>267</v>
      </c>
      <c r="B71" t="s">
        <v>149</v>
      </c>
      <c r="C71" t="s">
        <v>150</v>
      </c>
      <c r="D71" t="s">
        <v>81</v>
      </c>
      <c r="E71">
        <v>9</v>
      </c>
      <c r="F71" t="s">
        <v>128</v>
      </c>
      <c r="G71">
        <v>191000</v>
      </c>
      <c r="H71">
        <v>130000</v>
      </c>
      <c r="I71">
        <v>260000</v>
      </c>
      <c r="J71" t="s">
        <v>170</v>
      </c>
      <c r="K71" t="s">
        <v>171</v>
      </c>
      <c r="L71" t="s">
        <v>53</v>
      </c>
      <c r="M71" t="s">
        <v>61</v>
      </c>
      <c r="N71" t="s">
        <v>76</v>
      </c>
      <c r="O71" t="s">
        <v>268</v>
      </c>
      <c r="P71">
        <v>16.2</v>
      </c>
      <c r="Q71">
        <v>93</v>
      </c>
      <c r="R71">
        <v>73.5</v>
      </c>
      <c r="S71">
        <v>6.5</v>
      </c>
      <c r="T71">
        <v>2025</v>
      </c>
      <c r="U71">
        <v>11</v>
      </c>
      <c r="V71">
        <v>0</v>
      </c>
      <c r="W71" t="s">
        <v>47</v>
      </c>
      <c r="X71" t="s">
        <v>64</v>
      </c>
      <c r="Y71" t="s">
        <v>48</v>
      </c>
    </row>
    <row r="72" spans="1:25" x14ac:dyDescent="0.35">
      <c r="A72" t="s">
        <v>269</v>
      </c>
      <c r="B72" t="s">
        <v>179</v>
      </c>
      <c r="C72" t="s">
        <v>180</v>
      </c>
      <c r="D72" t="s">
        <v>74</v>
      </c>
      <c r="E72">
        <v>8</v>
      </c>
      <c r="F72" t="s">
        <v>51</v>
      </c>
      <c r="G72">
        <v>126000</v>
      </c>
      <c r="H72">
        <v>110000</v>
      </c>
      <c r="I72">
        <v>210000</v>
      </c>
      <c r="J72" t="s">
        <v>60</v>
      </c>
      <c r="K72" t="s">
        <v>60</v>
      </c>
      <c r="L72" t="s">
        <v>53</v>
      </c>
      <c r="M72" t="s">
        <v>54</v>
      </c>
      <c r="N72" t="s">
        <v>71</v>
      </c>
      <c r="O72" t="s">
        <v>270</v>
      </c>
      <c r="P72">
        <v>16.8</v>
      </c>
      <c r="Q72">
        <v>72</v>
      </c>
      <c r="R72">
        <v>28.3</v>
      </c>
      <c r="S72">
        <v>7.6</v>
      </c>
      <c r="T72">
        <v>2025</v>
      </c>
      <c r="U72">
        <v>6</v>
      </c>
      <c r="V72">
        <v>0</v>
      </c>
      <c r="W72" t="s">
        <v>47</v>
      </c>
      <c r="X72" t="s">
        <v>64</v>
      </c>
      <c r="Y72" t="s">
        <v>95</v>
      </c>
    </row>
    <row r="73" spans="1:25" x14ac:dyDescent="0.35">
      <c r="A73" t="s">
        <v>271</v>
      </c>
      <c r="B73" t="s">
        <v>91</v>
      </c>
      <c r="C73" t="s">
        <v>27</v>
      </c>
      <c r="D73" t="s">
        <v>28</v>
      </c>
      <c r="E73">
        <v>4</v>
      </c>
      <c r="F73" t="s">
        <v>29</v>
      </c>
      <c r="G73">
        <v>167000</v>
      </c>
      <c r="H73">
        <v>145000</v>
      </c>
      <c r="I73">
        <v>290000</v>
      </c>
      <c r="J73" t="s">
        <v>137</v>
      </c>
      <c r="K73" t="s">
        <v>138</v>
      </c>
      <c r="L73" t="s">
        <v>32</v>
      </c>
      <c r="M73" t="s">
        <v>33</v>
      </c>
      <c r="N73" t="s">
        <v>165</v>
      </c>
      <c r="O73" t="s">
        <v>272</v>
      </c>
      <c r="P73">
        <v>3.6</v>
      </c>
      <c r="Q73">
        <v>91</v>
      </c>
      <c r="R73">
        <v>33.700000000000003</v>
      </c>
      <c r="S73">
        <v>9.1999999999999993</v>
      </c>
      <c r="T73">
        <v>2026</v>
      </c>
      <c r="U73">
        <v>3</v>
      </c>
      <c r="V73">
        <v>1</v>
      </c>
      <c r="W73" t="s">
        <v>36</v>
      </c>
      <c r="X73" t="s">
        <v>64</v>
      </c>
      <c r="Y73" t="s">
        <v>48</v>
      </c>
    </row>
    <row r="74" spans="1:25" x14ac:dyDescent="0.35">
      <c r="A74" t="s">
        <v>273</v>
      </c>
      <c r="B74" t="s">
        <v>158</v>
      </c>
      <c r="C74" t="s">
        <v>27</v>
      </c>
      <c r="D74" t="s">
        <v>74</v>
      </c>
      <c r="E74">
        <v>2</v>
      </c>
      <c r="F74" t="s">
        <v>128</v>
      </c>
      <c r="G74">
        <v>157000</v>
      </c>
      <c r="H74">
        <v>145000</v>
      </c>
      <c r="I74">
        <v>280000</v>
      </c>
      <c r="J74" t="s">
        <v>117</v>
      </c>
      <c r="K74" t="s">
        <v>118</v>
      </c>
      <c r="L74" t="s">
        <v>44</v>
      </c>
      <c r="M74" t="s">
        <v>45</v>
      </c>
      <c r="N74" t="s">
        <v>88</v>
      </c>
      <c r="O74" t="s">
        <v>274</v>
      </c>
      <c r="P74">
        <v>3.1</v>
      </c>
      <c r="Q74">
        <v>94</v>
      </c>
      <c r="R74">
        <v>52.6</v>
      </c>
      <c r="S74">
        <v>6.9</v>
      </c>
      <c r="T74">
        <v>2025</v>
      </c>
      <c r="U74">
        <v>7</v>
      </c>
      <c r="V74">
        <v>0</v>
      </c>
      <c r="W74" t="s">
        <v>47</v>
      </c>
      <c r="X74" t="s">
        <v>37</v>
      </c>
      <c r="Y74" t="s">
        <v>48</v>
      </c>
    </row>
    <row r="75" spans="1:25" x14ac:dyDescent="0.35">
      <c r="A75" t="s">
        <v>275</v>
      </c>
      <c r="B75" t="s">
        <v>196</v>
      </c>
      <c r="C75" t="s">
        <v>27</v>
      </c>
      <c r="D75" t="s">
        <v>81</v>
      </c>
      <c r="E75">
        <v>7</v>
      </c>
      <c r="F75" t="s">
        <v>51</v>
      </c>
      <c r="G75">
        <v>100000</v>
      </c>
      <c r="H75">
        <v>100000</v>
      </c>
      <c r="I75">
        <v>250000</v>
      </c>
      <c r="J75" t="s">
        <v>108</v>
      </c>
      <c r="K75" t="s">
        <v>109</v>
      </c>
      <c r="L75" t="s">
        <v>44</v>
      </c>
      <c r="M75" t="s">
        <v>82</v>
      </c>
      <c r="N75" t="s">
        <v>83</v>
      </c>
      <c r="O75" t="s">
        <v>276</v>
      </c>
      <c r="P75">
        <v>8.1999999999999993</v>
      </c>
      <c r="Q75">
        <v>95</v>
      </c>
      <c r="R75">
        <v>72.599999999999994</v>
      </c>
      <c r="S75">
        <v>7.3</v>
      </c>
      <c r="T75">
        <v>2026</v>
      </c>
      <c r="U75">
        <v>3</v>
      </c>
      <c r="V75">
        <v>0</v>
      </c>
      <c r="W75" t="s">
        <v>47</v>
      </c>
      <c r="X75" t="s">
        <v>64</v>
      </c>
      <c r="Y75" t="s">
        <v>98</v>
      </c>
    </row>
    <row r="76" spans="1:25" x14ac:dyDescent="0.35">
      <c r="A76" t="s">
        <v>277</v>
      </c>
      <c r="B76" t="s">
        <v>203</v>
      </c>
      <c r="C76" t="s">
        <v>169</v>
      </c>
      <c r="D76" t="s">
        <v>81</v>
      </c>
      <c r="E76">
        <v>4</v>
      </c>
      <c r="F76" t="s">
        <v>41</v>
      </c>
      <c r="G76">
        <v>138000</v>
      </c>
      <c r="H76">
        <v>138000</v>
      </c>
      <c r="I76">
        <v>195000</v>
      </c>
      <c r="J76" t="s">
        <v>92</v>
      </c>
      <c r="K76" t="s">
        <v>93</v>
      </c>
      <c r="L76" t="s">
        <v>53</v>
      </c>
      <c r="M76" t="s">
        <v>82</v>
      </c>
      <c r="N76" t="s">
        <v>34</v>
      </c>
      <c r="O76" t="s">
        <v>278</v>
      </c>
      <c r="P76">
        <v>9.6</v>
      </c>
      <c r="Q76">
        <v>92</v>
      </c>
      <c r="R76">
        <v>17.7</v>
      </c>
      <c r="S76">
        <v>6.8</v>
      </c>
      <c r="T76">
        <v>2026</v>
      </c>
      <c r="U76">
        <v>1</v>
      </c>
      <c r="V76">
        <v>0</v>
      </c>
      <c r="W76" t="s">
        <v>47</v>
      </c>
      <c r="X76" t="s">
        <v>64</v>
      </c>
      <c r="Y76" t="s">
        <v>95</v>
      </c>
    </row>
    <row r="77" spans="1:25" x14ac:dyDescent="0.35">
      <c r="A77" t="s">
        <v>279</v>
      </c>
      <c r="B77" t="s">
        <v>66</v>
      </c>
      <c r="C77" t="s">
        <v>67</v>
      </c>
      <c r="D77" t="s">
        <v>68</v>
      </c>
      <c r="E77">
        <v>4</v>
      </c>
      <c r="F77" t="s">
        <v>51</v>
      </c>
      <c r="G77">
        <v>258000</v>
      </c>
      <c r="H77">
        <v>140000</v>
      </c>
      <c r="I77">
        <v>260000</v>
      </c>
      <c r="J77" t="s">
        <v>129</v>
      </c>
      <c r="K77" t="s">
        <v>130</v>
      </c>
      <c r="L77" t="s">
        <v>53</v>
      </c>
      <c r="M77" t="s">
        <v>54</v>
      </c>
      <c r="N77" t="s">
        <v>76</v>
      </c>
      <c r="O77" t="s">
        <v>280</v>
      </c>
      <c r="P77">
        <v>15.4</v>
      </c>
      <c r="Q77">
        <v>85</v>
      </c>
      <c r="R77">
        <v>27.4</v>
      </c>
      <c r="S77">
        <v>7.5</v>
      </c>
      <c r="T77">
        <v>2026</v>
      </c>
      <c r="U77">
        <v>2</v>
      </c>
      <c r="V77">
        <v>1</v>
      </c>
      <c r="W77" t="s">
        <v>47</v>
      </c>
      <c r="X77" t="s">
        <v>64</v>
      </c>
      <c r="Y77" t="s">
        <v>38</v>
      </c>
    </row>
    <row r="78" spans="1:25" x14ac:dyDescent="0.35">
      <c r="A78" t="s">
        <v>281</v>
      </c>
      <c r="B78" t="s">
        <v>185</v>
      </c>
      <c r="C78" t="s">
        <v>186</v>
      </c>
      <c r="D78" t="s">
        <v>28</v>
      </c>
      <c r="E78">
        <v>3</v>
      </c>
      <c r="F78" t="s">
        <v>41</v>
      </c>
      <c r="G78">
        <v>248000</v>
      </c>
      <c r="H78">
        <v>140000</v>
      </c>
      <c r="I78">
        <v>270000</v>
      </c>
      <c r="J78" t="s">
        <v>47</v>
      </c>
      <c r="K78" t="s">
        <v>87</v>
      </c>
      <c r="L78" t="s">
        <v>44</v>
      </c>
      <c r="M78" t="s">
        <v>82</v>
      </c>
      <c r="N78" t="s">
        <v>88</v>
      </c>
      <c r="O78" t="s">
        <v>282</v>
      </c>
      <c r="P78">
        <v>12.3</v>
      </c>
      <c r="Q78">
        <v>85</v>
      </c>
      <c r="R78">
        <v>22.2</v>
      </c>
      <c r="S78">
        <v>7.3</v>
      </c>
      <c r="T78">
        <v>2025</v>
      </c>
      <c r="U78">
        <v>6</v>
      </c>
      <c r="V78">
        <v>1</v>
      </c>
      <c r="W78" t="s">
        <v>47</v>
      </c>
      <c r="X78" t="s">
        <v>64</v>
      </c>
      <c r="Y78" t="s">
        <v>38</v>
      </c>
    </row>
    <row r="79" spans="1:25" x14ac:dyDescent="0.35">
      <c r="A79" t="s">
        <v>283</v>
      </c>
      <c r="B79" t="s">
        <v>158</v>
      </c>
      <c r="C79" t="s">
        <v>27</v>
      </c>
      <c r="D79" t="s">
        <v>74</v>
      </c>
      <c r="E79">
        <v>5</v>
      </c>
      <c r="F79" t="s">
        <v>41</v>
      </c>
      <c r="G79">
        <v>145000</v>
      </c>
      <c r="H79">
        <v>145000</v>
      </c>
      <c r="I79">
        <v>280000</v>
      </c>
      <c r="J79" t="s">
        <v>122</v>
      </c>
      <c r="K79" t="s">
        <v>123</v>
      </c>
      <c r="L79" t="s">
        <v>32</v>
      </c>
      <c r="M79" t="s">
        <v>82</v>
      </c>
      <c r="N79" t="s">
        <v>34</v>
      </c>
      <c r="O79" t="s">
        <v>284</v>
      </c>
      <c r="P79">
        <v>7.5</v>
      </c>
      <c r="Q79">
        <v>94</v>
      </c>
      <c r="R79">
        <v>41.4</v>
      </c>
      <c r="S79">
        <v>9.6</v>
      </c>
      <c r="T79">
        <v>2025</v>
      </c>
      <c r="U79">
        <v>3</v>
      </c>
      <c r="V79">
        <v>0</v>
      </c>
      <c r="W79" t="s">
        <v>36</v>
      </c>
      <c r="X79" t="s">
        <v>37</v>
      </c>
      <c r="Y79" t="s">
        <v>95</v>
      </c>
    </row>
    <row r="80" spans="1:25" x14ac:dyDescent="0.35">
      <c r="A80" t="s">
        <v>285</v>
      </c>
      <c r="B80" t="s">
        <v>146</v>
      </c>
      <c r="C80" t="s">
        <v>27</v>
      </c>
      <c r="D80" t="s">
        <v>28</v>
      </c>
      <c r="E80">
        <v>7</v>
      </c>
      <c r="F80" t="s">
        <v>69</v>
      </c>
      <c r="G80">
        <v>244000</v>
      </c>
      <c r="H80">
        <v>160000</v>
      </c>
      <c r="I80">
        <v>300000</v>
      </c>
      <c r="J80" t="s">
        <v>170</v>
      </c>
      <c r="K80" t="s">
        <v>171</v>
      </c>
      <c r="L80" t="s">
        <v>32</v>
      </c>
      <c r="M80" t="s">
        <v>82</v>
      </c>
      <c r="N80" t="s">
        <v>34</v>
      </c>
      <c r="O80" t="s">
        <v>286</v>
      </c>
      <c r="P80">
        <v>9.9</v>
      </c>
      <c r="Q80">
        <v>90</v>
      </c>
      <c r="R80">
        <v>17.899999999999999</v>
      </c>
      <c r="S80">
        <v>9.5</v>
      </c>
      <c r="T80">
        <v>2025</v>
      </c>
      <c r="U80">
        <v>5</v>
      </c>
      <c r="V80">
        <v>1</v>
      </c>
      <c r="W80" t="s">
        <v>36</v>
      </c>
      <c r="X80" t="s">
        <v>64</v>
      </c>
      <c r="Y80" t="s">
        <v>38</v>
      </c>
    </row>
    <row r="81" spans="1:25" x14ac:dyDescent="0.35">
      <c r="A81" t="s">
        <v>287</v>
      </c>
      <c r="B81" t="s">
        <v>185</v>
      </c>
      <c r="C81" t="s">
        <v>186</v>
      </c>
      <c r="D81" t="s">
        <v>28</v>
      </c>
      <c r="E81">
        <v>4</v>
      </c>
      <c r="F81" t="s">
        <v>69</v>
      </c>
      <c r="G81">
        <v>167000</v>
      </c>
      <c r="H81">
        <v>140000</v>
      </c>
      <c r="I81">
        <v>270000</v>
      </c>
      <c r="J81" t="s">
        <v>170</v>
      </c>
      <c r="K81" t="s">
        <v>171</v>
      </c>
      <c r="L81" t="s">
        <v>44</v>
      </c>
      <c r="M81" t="s">
        <v>61</v>
      </c>
      <c r="N81" t="s">
        <v>119</v>
      </c>
      <c r="O81" t="s">
        <v>288</v>
      </c>
      <c r="P81">
        <v>8.6</v>
      </c>
      <c r="Q81">
        <v>85</v>
      </c>
      <c r="R81">
        <v>18.600000000000001</v>
      </c>
      <c r="S81">
        <v>9.4</v>
      </c>
      <c r="T81">
        <v>2026</v>
      </c>
      <c r="U81">
        <v>3</v>
      </c>
      <c r="V81">
        <v>1</v>
      </c>
      <c r="W81" t="s">
        <v>47</v>
      </c>
      <c r="X81" t="s">
        <v>64</v>
      </c>
      <c r="Y81" t="s">
        <v>48</v>
      </c>
    </row>
    <row r="82" spans="1:25" x14ac:dyDescent="0.35">
      <c r="A82" t="s">
        <v>289</v>
      </c>
      <c r="B82" t="s">
        <v>185</v>
      </c>
      <c r="C82" t="s">
        <v>186</v>
      </c>
      <c r="D82" t="s">
        <v>81</v>
      </c>
      <c r="E82">
        <v>9</v>
      </c>
      <c r="F82" t="s">
        <v>41</v>
      </c>
      <c r="G82">
        <v>196000</v>
      </c>
      <c r="H82">
        <v>140000</v>
      </c>
      <c r="I82">
        <v>270000</v>
      </c>
      <c r="J82" t="s">
        <v>75</v>
      </c>
      <c r="K82" t="s">
        <v>31</v>
      </c>
      <c r="L82" t="s">
        <v>32</v>
      </c>
      <c r="M82" t="s">
        <v>82</v>
      </c>
      <c r="N82" t="s">
        <v>155</v>
      </c>
      <c r="O82" t="s">
        <v>290</v>
      </c>
      <c r="P82">
        <v>16.8</v>
      </c>
      <c r="Q82">
        <v>85</v>
      </c>
      <c r="R82">
        <v>6.6</v>
      </c>
      <c r="S82">
        <v>7.5</v>
      </c>
      <c r="T82">
        <v>2026</v>
      </c>
      <c r="U82">
        <v>2</v>
      </c>
      <c r="V82">
        <v>0</v>
      </c>
      <c r="W82" t="s">
        <v>36</v>
      </c>
      <c r="X82" t="s">
        <v>64</v>
      </c>
      <c r="Y82" t="s">
        <v>48</v>
      </c>
    </row>
    <row r="83" spans="1:25" x14ac:dyDescent="0.35">
      <c r="A83" t="s">
        <v>291</v>
      </c>
      <c r="B83" t="s">
        <v>79</v>
      </c>
      <c r="C83" t="s">
        <v>80</v>
      </c>
      <c r="D83" t="s">
        <v>74</v>
      </c>
      <c r="E83">
        <v>4</v>
      </c>
      <c r="F83" t="s">
        <v>29</v>
      </c>
      <c r="G83">
        <v>146000</v>
      </c>
      <c r="H83">
        <v>140000</v>
      </c>
      <c r="I83">
        <v>260000</v>
      </c>
      <c r="J83" t="s">
        <v>122</v>
      </c>
      <c r="K83" t="s">
        <v>123</v>
      </c>
      <c r="L83" t="s">
        <v>53</v>
      </c>
      <c r="M83" t="s">
        <v>45</v>
      </c>
      <c r="N83" t="s">
        <v>155</v>
      </c>
      <c r="O83" t="s">
        <v>292</v>
      </c>
      <c r="P83">
        <v>8.6</v>
      </c>
      <c r="Q83">
        <v>80</v>
      </c>
      <c r="R83">
        <v>8.1</v>
      </c>
      <c r="S83">
        <v>6.6</v>
      </c>
      <c r="T83">
        <v>2025</v>
      </c>
      <c r="U83">
        <v>6</v>
      </c>
      <c r="V83">
        <v>0</v>
      </c>
      <c r="W83" t="s">
        <v>47</v>
      </c>
      <c r="X83" t="s">
        <v>64</v>
      </c>
      <c r="Y83" t="s">
        <v>95</v>
      </c>
    </row>
    <row r="84" spans="1:25" x14ac:dyDescent="0.35">
      <c r="A84" t="s">
        <v>293</v>
      </c>
      <c r="B84" t="s">
        <v>185</v>
      </c>
      <c r="C84" t="s">
        <v>186</v>
      </c>
      <c r="D84" t="s">
        <v>28</v>
      </c>
      <c r="E84">
        <v>8</v>
      </c>
      <c r="F84" t="s">
        <v>41</v>
      </c>
      <c r="G84">
        <v>179000</v>
      </c>
      <c r="H84">
        <v>140000</v>
      </c>
      <c r="I84">
        <v>270000</v>
      </c>
      <c r="J84" t="s">
        <v>42</v>
      </c>
      <c r="K84" t="s">
        <v>43</v>
      </c>
      <c r="L84" t="s">
        <v>44</v>
      </c>
      <c r="M84" t="s">
        <v>82</v>
      </c>
      <c r="N84" t="s">
        <v>119</v>
      </c>
      <c r="O84" t="s">
        <v>294</v>
      </c>
      <c r="P84">
        <v>17</v>
      </c>
      <c r="Q84">
        <v>85</v>
      </c>
      <c r="R84">
        <v>13.4</v>
      </c>
      <c r="S84">
        <v>9.5</v>
      </c>
      <c r="T84">
        <v>2025</v>
      </c>
      <c r="U84">
        <v>1</v>
      </c>
      <c r="V84">
        <v>1</v>
      </c>
      <c r="W84" t="s">
        <v>47</v>
      </c>
      <c r="X84" t="s">
        <v>64</v>
      </c>
      <c r="Y84" t="s">
        <v>48</v>
      </c>
    </row>
    <row r="85" spans="1:25" x14ac:dyDescent="0.35">
      <c r="A85" t="s">
        <v>295</v>
      </c>
      <c r="B85" t="s">
        <v>86</v>
      </c>
      <c r="C85" t="s">
        <v>27</v>
      </c>
      <c r="D85" t="s">
        <v>28</v>
      </c>
      <c r="E85">
        <v>11</v>
      </c>
      <c r="F85" t="s">
        <v>29</v>
      </c>
      <c r="G85">
        <v>374400</v>
      </c>
      <c r="H85">
        <v>180000</v>
      </c>
      <c r="I85">
        <v>312000</v>
      </c>
      <c r="J85" t="s">
        <v>296</v>
      </c>
      <c r="K85" t="s">
        <v>31</v>
      </c>
      <c r="L85" t="s">
        <v>44</v>
      </c>
      <c r="M85" t="s">
        <v>54</v>
      </c>
      <c r="N85" t="s">
        <v>119</v>
      </c>
      <c r="O85" t="s">
        <v>297</v>
      </c>
      <c r="P85">
        <v>12.5</v>
      </c>
      <c r="Q85">
        <v>96</v>
      </c>
      <c r="R85">
        <v>65.3</v>
      </c>
      <c r="S85">
        <v>6.6</v>
      </c>
      <c r="T85">
        <v>2026</v>
      </c>
      <c r="U85">
        <v>2</v>
      </c>
      <c r="V85">
        <v>1</v>
      </c>
      <c r="W85" t="s">
        <v>47</v>
      </c>
      <c r="X85" t="s">
        <v>64</v>
      </c>
      <c r="Y85" t="s">
        <v>56</v>
      </c>
    </row>
    <row r="86" spans="1:25" x14ac:dyDescent="0.35">
      <c r="A86" t="s">
        <v>298</v>
      </c>
      <c r="B86" t="s">
        <v>141</v>
      </c>
      <c r="C86" t="s">
        <v>27</v>
      </c>
      <c r="D86" t="s">
        <v>81</v>
      </c>
      <c r="E86">
        <v>8</v>
      </c>
      <c r="F86" t="s">
        <v>128</v>
      </c>
      <c r="G86">
        <v>253000</v>
      </c>
      <c r="H86">
        <v>141000</v>
      </c>
      <c r="I86">
        <v>270000</v>
      </c>
      <c r="J86" t="s">
        <v>113</v>
      </c>
      <c r="K86" t="s">
        <v>114</v>
      </c>
      <c r="L86" t="s">
        <v>44</v>
      </c>
      <c r="M86" t="s">
        <v>54</v>
      </c>
      <c r="N86" t="s">
        <v>34</v>
      </c>
      <c r="O86" t="s">
        <v>299</v>
      </c>
      <c r="P86">
        <v>4.7</v>
      </c>
      <c r="Q86">
        <v>89</v>
      </c>
      <c r="R86">
        <v>7.4</v>
      </c>
      <c r="S86">
        <v>7.1</v>
      </c>
      <c r="T86">
        <v>2025</v>
      </c>
      <c r="U86">
        <v>10</v>
      </c>
      <c r="V86">
        <v>0</v>
      </c>
      <c r="W86" t="s">
        <v>47</v>
      </c>
      <c r="X86" t="s">
        <v>64</v>
      </c>
      <c r="Y86" t="s">
        <v>38</v>
      </c>
    </row>
    <row r="87" spans="1:25" x14ac:dyDescent="0.35">
      <c r="A87" t="s">
        <v>300</v>
      </c>
      <c r="B87" t="s">
        <v>40</v>
      </c>
      <c r="C87" t="s">
        <v>27</v>
      </c>
      <c r="D87" t="s">
        <v>28</v>
      </c>
      <c r="E87">
        <v>2</v>
      </c>
      <c r="F87" t="s">
        <v>51</v>
      </c>
      <c r="G87">
        <v>121000</v>
      </c>
      <c r="H87">
        <v>90000</v>
      </c>
      <c r="I87">
        <v>200000</v>
      </c>
      <c r="J87" t="s">
        <v>42</v>
      </c>
      <c r="K87" t="s">
        <v>43</v>
      </c>
      <c r="L87" t="s">
        <v>53</v>
      </c>
      <c r="M87" t="s">
        <v>61</v>
      </c>
      <c r="N87" t="s">
        <v>34</v>
      </c>
      <c r="O87" t="s">
        <v>301</v>
      </c>
      <c r="P87">
        <v>6.5</v>
      </c>
      <c r="Q87">
        <v>82</v>
      </c>
      <c r="R87">
        <v>29.2</v>
      </c>
      <c r="S87">
        <v>6.8</v>
      </c>
      <c r="T87">
        <v>2025</v>
      </c>
      <c r="U87">
        <v>1</v>
      </c>
      <c r="V87">
        <v>1</v>
      </c>
      <c r="W87" t="s">
        <v>47</v>
      </c>
      <c r="X87" t="s">
        <v>37</v>
      </c>
      <c r="Y87" t="s">
        <v>95</v>
      </c>
    </row>
    <row r="88" spans="1:25" x14ac:dyDescent="0.35">
      <c r="A88" t="s">
        <v>302</v>
      </c>
      <c r="B88" t="s">
        <v>149</v>
      </c>
      <c r="C88" t="s">
        <v>150</v>
      </c>
      <c r="D88" t="s">
        <v>68</v>
      </c>
      <c r="E88">
        <v>9</v>
      </c>
      <c r="F88" t="s">
        <v>128</v>
      </c>
      <c r="G88">
        <v>312000</v>
      </c>
      <c r="H88">
        <v>130000</v>
      </c>
      <c r="I88">
        <v>260000</v>
      </c>
      <c r="J88" t="s">
        <v>47</v>
      </c>
      <c r="K88" t="s">
        <v>87</v>
      </c>
      <c r="L88" t="s">
        <v>44</v>
      </c>
      <c r="M88" t="s">
        <v>54</v>
      </c>
      <c r="N88" t="s">
        <v>62</v>
      </c>
      <c r="O88" t="s">
        <v>303</v>
      </c>
      <c r="P88">
        <v>13.7</v>
      </c>
      <c r="Q88">
        <v>93</v>
      </c>
      <c r="R88">
        <v>29.2</v>
      </c>
      <c r="S88">
        <v>8.1</v>
      </c>
      <c r="T88">
        <v>2025</v>
      </c>
      <c r="U88">
        <v>9</v>
      </c>
      <c r="V88">
        <v>1</v>
      </c>
      <c r="W88" t="s">
        <v>47</v>
      </c>
      <c r="X88" t="s">
        <v>64</v>
      </c>
      <c r="Y88" t="s">
        <v>56</v>
      </c>
    </row>
    <row r="89" spans="1:25" x14ac:dyDescent="0.35">
      <c r="A89" t="s">
        <v>304</v>
      </c>
      <c r="B89" t="s">
        <v>100</v>
      </c>
      <c r="C89" t="s">
        <v>101</v>
      </c>
      <c r="D89" t="s">
        <v>74</v>
      </c>
      <c r="E89">
        <v>12</v>
      </c>
      <c r="F89" t="s">
        <v>29</v>
      </c>
      <c r="G89">
        <v>180000</v>
      </c>
      <c r="H89">
        <v>180000</v>
      </c>
      <c r="I89">
        <v>320000</v>
      </c>
      <c r="J89" t="s">
        <v>102</v>
      </c>
      <c r="K89" t="s">
        <v>103</v>
      </c>
      <c r="L89" t="s">
        <v>32</v>
      </c>
      <c r="M89" t="s">
        <v>82</v>
      </c>
      <c r="N89" t="s">
        <v>62</v>
      </c>
      <c r="O89" t="s">
        <v>305</v>
      </c>
      <c r="P89">
        <v>15.1</v>
      </c>
      <c r="Q89">
        <v>84</v>
      </c>
      <c r="R89">
        <v>25.1</v>
      </c>
      <c r="S89">
        <v>8</v>
      </c>
      <c r="T89">
        <v>2025</v>
      </c>
      <c r="U89">
        <v>9</v>
      </c>
      <c r="V89">
        <v>0</v>
      </c>
      <c r="W89" t="s">
        <v>36</v>
      </c>
      <c r="X89" t="s">
        <v>64</v>
      </c>
      <c r="Y89" t="s">
        <v>48</v>
      </c>
    </row>
    <row r="90" spans="1:25" x14ac:dyDescent="0.35">
      <c r="A90" t="s">
        <v>306</v>
      </c>
      <c r="B90" t="s">
        <v>168</v>
      </c>
      <c r="C90" t="s">
        <v>169</v>
      </c>
      <c r="D90" t="s">
        <v>28</v>
      </c>
      <c r="E90">
        <v>9</v>
      </c>
      <c r="F90" t="s">
        <v>29</v>
      </c>
      <c r="G90">
        <v>244000</v>
      </c>
      <c r="H90">
        <v>157000</v>
      </c>
      <c r="I90">
        <v>218000</v>
      </c>
      <c r="J90" t="s">
        <v>113</v>
      </c>
      <c r="K90" t="s">
        <v>114</v>
      </c>
      <c r="L90" t="s">
        <v>44</v>
      </c>
      <c r="M90" t="s">
        <v>54</v>
      </c>
      <c r="N90" t="s">
        <v>83</v>
      </c>
      <c r="O90" t="s">
        <v>307</v>
      </c>
      <c r="P90">
        <v>9.9</v>
      </c>
      <c r="Q90">
        <v>90</v>
      </c>
      <c r="R90">
        <v>19.600000000000001</v>
      </c>
      <c r="S90">
        <v>9</v>
      </c>
      <c r="T90">
        <v>2026</v>
      </c>
      <c r="U90">
        <v>3</v>
      </c>
      <c r="V90">
        <v>1</v>
      </c>
      <c r="W90" t="s">
        <v>47</v>
      </c>
      <c r="X90" t="s">
        <v>64</v>
      </c>
      <c r="Y90" t="s">
        <v>38</v>
      </c>
    </row>
    <row r="91" spans="1:25" x14ac:dyDescent="0.35">
      <c r="A91" t="s">
        <v>308</v>
      </c>
      <c r="B91" t="s">
        <v>26</v>
      </c>
      <c r="C91" t="s">
        <v>27</v>
      </c>
      <c r="D91" t="s">
        <v>68</v>
      </c>
      <c r="E91">
        <v>6</v>
      </c>
      <c r="F91" t="s">
        <v>128</v>
      </c>
      <c r="G91">
        <v>348000</v>
      </c>
      <c r="H91">
        <v>155000</v>
      </c>
      <c r="I91">
        <v>290000</v>
      </c>
      <c r="J91" t="s">
        <v>174</v>
      </c>
      <c r="K91" t="s">
        <v>31</v>
      </c>
      <c r="L91" t="s">
        <v>32</v>
      </c>
      <c r="M91" t="s">
        <v>54</v>
      </c>
      <c r="N91" t="s">
        <v>119</v>
      </c>
      <c r="O91" t="s">
        <v>309</v>
      </c>
      <c r="P91">
        <v>13.7</v>
      </c>
      <c r="Q91">
        <v>96</v>
      </c>
      <c r="R91">
        <v>66.099999999999994</v>
      </c>
      <c r="S91">
        <v>6.7</v>
      </c>
      <c r="T91">
        <v>2026</v>
      </c>
      <c r="U91">
        <v>2</v>
      </c>
      <c r="V91">
        <v>1</v>
      </c>
      <c r="W91" t="s">
        <v>36</v>
      </c>
      <c r="X91" t="s">
        <v>37</v>
      </c>
      <c r="Y91" t="s">
        <v>56</v>
      </c>
    </row>
    <row r="92" spans="1:25" x14ac:dyDescent="0.35">
      <c r="A92" t="s">
        <v>310</v>
      </c>
      <c r="B92" t="s">
        <v>168</v>
      </c>
      <c r="C92" t="s">
        <v>169</v>
      </c>
      <c r="D92" t="s">
        <v>68</v>
      </c>
      <c r="E92">
        <v>12</v>
      </c>
      <c r="F92" t="s">
        <v>51</v>
      </c>
      <c r="G92">
        <v>183000</v>
      </c>
      <c r="H92">
        <v>157000</v>
      </c>
      <c r="I92">
        <v>218000</v>
      </c>
      <c r="J92" t="s">
        <v>122</v>
      </c>
      <c r="K92" t="s">
        <v>123</v>
      </c>
      <c r="L92" t="s">
        <v>53</v>
      </c>
      <c r="M92" t="s">
        <v>61</v>
      </c>
      <c r="N92" t="s">
        <v>83</v>
      </c>
      <c r="O92" t="s">
        <v>311</v>
      </c>
      <c r="P92">
        <v>6.2</v>
      </c>
      <c r="Q92">
        <v>90</v>
      </c>
      <c r="R92">
        <v>18.3</v>
      </c>
      <c r="S92">
        <v>8.1</v>
      </c>
      <c r="T92">
        <v>2026</v>
      </c>
      <c r="U92">
        <v>3</v>
      </c>
      <c r="V92">
        <v>1</v>
      </c>
      <c r="W92" t="s">
        <v>47</v>
      </c>
      <c r="X92" t="s">
        <v>64</v>
      </c>
      <c r="Y92" t="s">
        <v>48</v>
      </c>
    </row>
    <row r="93" spans="1:25" x14ac:dyDescent="0.35">
      <c r="A93" t="s">
        <v>312</v>
      </c>
      <c r="B93" t="s">
        <v>146</v>
      </c>
      <c r="C93" t="s">
        <v>27</v>
      </c>
      <c r="D93" t="s">
        <v>68</v>
      </c>
      <c r="E93">
        <v>5</v>
      </c>
      <c r="F93" t="s">
        <v>29</v>
      </c>
      <c r="G93">
        <v>360000</v>
      </c>
      <c r="H93">
        <v>160000</v>
      </c>
      <c r="I93">
        <v>300000</v>
      </c>
      <c r="J93" t="s">
        <v>142</v>
      </c>
      <c r="K93" t="s">
        <v>143</v>
      </c>
      <c r="L93" t="s">
        <v>44</v>
      </c>
      <c r="M93" t="s">
        <v>54</v>
      </c>
      <c r="N93" t="s">
        <v>83</v>
      </c>
      <c r="O93" t="s">
        <v>313</v>
      </c>
      <c r="P93">
        <v>17.3</v>
      </c>
      <c r="Q93">
        <v>90</v>
      </c>
      <c r="R93">
        <v>23</v>
      </c>
      <c r="S93">
        <v>7.1</v>
      </c>
      <c r="T93">
        <v>2026</v>
      </c>
      <c r="U93">
        <v>3</v>
      </c>
      <c r="V93">
        <v>1</v>
      </c>
      <c r="W93" t="s">
        <v>47</v>
      </c>
      <c r="X93" t="s">
        <v>64</v>
      </c>
      <c r="Y93" t="s">
        <v>56</v>
      </c>
    </row>
    <row r="94" spans="1:25" x14ac:dyDescent="0.35">
      <c r="A94" t="s">
        <v>314</v>
      </c>
      <c r="B94" t="s">
        <v>50</v>
      </c>
      <c r="C94" t="s">
        <v>27</v>
      </c>
      <c r="D94" t="s">
        <v>81</v>
      </c>
      <c r="E94">
        <v>7</v>
      </c>
      <c r="F94" t="s">
        <v>128</v>
      </c>
      <c r="G94">
        <v>181000</v>
      </c>
      <c r="H94">
        <v>160000</v>
      </c>
      <c r="I94">
        <v>300000</v>
      </c>
      <c r="J94" t="s">
        <v>137</v>
      </c>
      <c r="K94" t="s">
        <v>138</v>
      </c>
      <c r="L94" t="s">
        <v>44</v>
      </c>
      <c r="M94" t="s">
        <v>82</v>
      </c>
      <c r="N94" t="s">
        <v>155</v>
      </c>
      <c r="O94" t="s">
        <v>315</v>
      </c>
      <c r="P94">
        <v>6.9</v>
      </c>
      <c r="Q94">
        <v>98</v>
      </c>
      <c r="R94">
        <v>34.799999999999997</v>
      </c>
      <c r="S94">
        <v>6.4</v>
      </c>
      <c r="T94">
        <v>2026</v>
      </c>
      <c r="U94">
        <v>1</v>
      </c>
      <c r="V94">
        <v>0</v>
      </c>
      <c r="W94" t="s">
        <v>47</v>
      </c>
      <c r="X94" t="s">
        <v>37</v>
      </c>
      <c r="Y94" t="s">
        <v>48</v>
      </c>
    </row>
    <row r="95" spans="1:25" x14ac:dyDescent="0.35">
      <c r="A95" t="s">
        <v>316</v>
      </c>
      <c r="B95" t="s">
        <v>91</v>
      </c>
      <c r="C95" t="s">
        <v>27</v>
      </c>
      <c r="D95" t="s">
        <v>81</v>
      </c>
      <c r="E95">
        <v>9</v>
      </c>
      <c r="F95" t="s">
        <v>29</v>
      </c>
      <c r="G95">
        <v>295000</v>
      </c>
      <c r="H95">
        <v>145000</v>
      </c>
      <c r="I95">
        <v>290000</v>
      </c>
      <c r="J95" t="s">
        <v>296</v>
      </c>
      <c r="K95" t="s">
        <v>31</v>
      </c>
      <c r="L95" t="s">
        <v>44</v>
      </c>
      <c r="M95" t="s">
        <v>54</v>
      </c>
      <c r="N95" t="s">
        <v>131</v>
      </c>
      <c r="O95" t="s">
        <v>317</v>
      </c>
      <c r="P95">
        <v>9.5</v>
      </c>
      <c r="Q95">
        <v>91</v>
      </c>
      <c r="R95">
        <v>79.099999999999994</v>
      </c>
      <c r="S95">
        <v>7.8</v>
      </c>
      <c r="T95">
        <v>2025</v>
      </c>
      <c r="U95">
        <v>5</v>
      </c>
      <c r="V95">
        <v>0</v>
      </c>
      <c r="W95" t="s">
        <v>47</v>
      </c>
      <c r="X95" t="s">
        <v>64</v>
      </c>
      <c r="Y95" t="s">
        <v>38</v>
      </c>
    </row>
    <row r="96" spans="1:25" x14ac:dyDescent="0.35">
      <c r="A96" t="s">
        <v>318</v>
      </c>
      <c r="B96" t="s">
        <v>66</v>
      </c>
      <c r="C96" t="s">
        <v>67</v>
      </c>
      <c r="D96" t="s">
        <v>74</v>
      </c>
      <c r="E96">
        <v>9</v>
      </c>
      <c r="F96" t="s">
        <v>51</v>
      </c>
      <c r="G96">
        <v>140000</v>
      </c>
      <c r="H96">
        <v>140000</v>
      </c>
      <c r="I96">
        <v>260000</v>
      </c>
      <c r="J96" t="s">
        <v>129</v>
      </c>
      <c r="K96" t="s">
        <v>130</v>
      </c>
      <c r="L96" t="s">
        <v>53</v>
      </c>
      <c r="M96" t="s">
        <v>33</v>
      </c>
      <c r="N96" t="s">
        <v>124</v>
      </c>
      <c r="O96" t="s">
        <v>319</v>
      </c>
      <c r="P96">
        <v>17.3</v>
      </c>
      <c r="Q96">
        <v>85</v>
      </c>
      <c r="R96">
        <v>26.9</v>
      </c>
      <c r="S96">
        <v>6</v>
      </c>
      <c r="T96">
        <v>2026</v>
      </c>
      <c r="U96">
        <v>1</v>
      </c>
      <c r="V96">
        <v>0</v>
      </c>
      <c r="W96" t="s">
        <v>47</v>
      </c>
      <c r="X96" t="s">
        <v>64</v>
      </c>
      <c r="Y96" t="s">
        <v>95</v>
      </c>
    </row>
    <row r="97" spans="1:25" x14ac:dyDescent="0.35">
      <c r="A97" t="s">
        <v>320</v>
      </c>
      <c r="B97" t="s">
        <v>66</v>
      </c>
      <c r="C97" t="s">
        <v>67</v>
      </c>
      <c r="D97" t="s">
        <v>68</v>
      </c>
      <c r="E97">
        <v>7</v>
      </c>
      <c r="F97" t="s">
        <v>29</v>
      </c>
      <c r="G97">
        <v>281000</v>
      </c>
      <c r="H97">
        <v>140000</v>
      </c>
      <c r="I97">
        <v>260000</v>
      </c>
      <c r="J97" t="s">
        <v>129</v>
      </c>
      <c r="K97" t="s">
        <v>130</v>
      </c>
      <c r="L97" t="s">
        <v>53</v>
      </c>
      <c r="M97" t="s">
        <v>45</v>
      </c>
      <c r="N97" t="s">
        <v>62</v>
      </c>
      <c r="O97" t="s">
        <v>321</v>
      </c>
      <c r="P97">
        <v>15.9</v>
      </c>
      <c r="Q97">
        <v>85</v>
      </c>
      <c r="R97">
        <v>19.2</v>
      </c>
      <c r="S97">
        <v>8.9</v>
      </c>
      <c r="T97">
        <v>2025</v>
      </c>
      <c r="U97">
        <v>11</v>
      </c>
      <c r="V97">
        <v>1</v>
      </c>
      <c r="W97" t="s">
        <v>47</v>
      </c>
      <c r="X97" t="s">
        <v>64</v>
      </c>
      <c r="Y97" t="s">
        <v>38</v>
      </c>
    </row>
    <row r="98" spans="1:25" x14ac:dyDescent="0.35">
      <c r="A98" t="s">
        <v>322</v>
      </c>
      <c r="B98" t="s">
        <v>50</v>
      </c>
      <c r="C98" t="s">
        <v>27</v>
      </c>
      <c r="D98" t="s">
        <v>28</v>
      </c>
      <c r="E98">
        <v>2</v>
      </c>
      <c r="F98" t="s">
        <v>41</v>
      </c>
      <c r="G98">
        <v>283000</v>
      </c>
      <c r="H98">
        <v>160000</v>
      </c>
      <c r="I98">
        <v>300000</v>
      </c>
      <c r="J98" t="s">
        <v>122</v>
      </c>
      <c r="K98" t="s">
        <v>123</v>
      </c>
      <c r="L98" t="s">
        <v>32</v>
      </c>
      <c r="M98" t="s">
        <v>54</v>
      </c>
      <c r="N98" t="s">
        <v>76</v>
      </c>
      <c r="O98" t="s">
        <v>323</v>
      </c>
      <c r="P98">
        <v>8.3000000000000007</v>
      </c>
      <c r="Q98">
        <v>98</v>
      </c>
      <c r="R98">
        <v>84.6</v>
      </c>
      <c r="S98">
        <v>7.1</v>
      </c>
      <c r="T98">
        <v>2026</v>
      </c>
      <c r="U98">
        <v>1</v>
      </c>
      <c r="V98">
        <v>1</v>
      </c>
      <c r="W98" t="s">
        <v>36</v>
      </c>
      <c r="X98" t="s">
        <v>37</v>
      </c>
      <c r="Y98" t="s">
        <v>38</v>
      </c>
    </row>
    <row r="99" spans="1:25" x14ac:dyDescent="0.35">
      <c r="A99" t="s">
        <v>324</v>
      </c>
      <c r="B99" t="s">
        <v>224</v>
      </c>
      <c r="C99" t="s">
        <v>27</v>
      </c>
      <c r="D99" t="s">
        <v>74</v>
      </c>
      <c r="E99">
        <v>5</v>
      </c>
      <c r="F99" t="s">
        <v>41</v>
      </c>
      <c r="G99">
        <v>145000</v>
      </c>
      <c r="H99">
        <v>145000</v>
      </c>
      <c r="I99">
        <v>280000</v>
      </c>
      <c r="J99" t="s">
        <v>60</v>
      </c>
      <c r="K99" t="s">
        <v>60</v>
      </c>
      <c r="L99" t="s">
        <v>53</v>
      </c>
      <c r="M99" t="s">
        <v>61</v>
      </c>
      <c r="N99" t="s">
        <v>71</v>
      </c>
      <c r="O99" t="s">
        <v>325</v>
      </c>
      <c r="P99">
        <v>6.3</v>
      </c>
      <c r="Q99">
        <v>87</v>
      </c>
      <c r="R99">
        <v>16.399999999999999</v>
      </c>
      <c r="S99">
        <v>9.8000000000000007</v>
      </c>
      <c r="T99">
        <v>2025</v>
      </c>
      <c r="U99">
        <v>12</v>
      </c>
      <c r="V99">
        <v>0</v>
      </c>
      <c r="W99" t="s">
        <v>47</v>
      </c>
      <c r="X99" t="s">
        <v>64</v>
      </c>
      <c r="Y99" t="s">
        <v>95</v>
      </c>
    </row>
    <row r="100" spans="1:25" x14ac:dyDescent="0.35">
      <c r="A100" t="s">
        <v>326</v>
      </c>
      <c r="B100" t="s">
        <v>163</v>
      </c>
      <c r="C100" t="s">
        <v>164</v>
      </c>
      <c r="D100" t="s">
        <v>81</v>
      </c>
      <c r="E100">
        <v>4</v>
      </c>
      <c r="F100" t="s">
        <v>29</v>
      </c>
      <c r="G100">
        <v>252000</v>
      </c>
      <c r="H100">
        <v>125000</v>
      </c>
      <c r="I100">
        <v>240000</v>
      </c>
      <c r="J100" t="s">
        <v>47</v>
      </c>
      <c r="K100" t="s">
        <v>87</v>
      </c>
      <c r="L100" t="s">
        <v>44</v>
      </c>
      <c r="M100" t="s">
        <v>54</v>
      </c>
      <c r="N100" t="s">
        <v>131</v>
      </c>
      <c r="O100" t="s">
        <v>327</v>
      </c>
      <c r="P100">
        <v>13.2</v>
      </c>
      <c r="Q100">
        <v>76</v>
      </c>
      <c r="R100">
        <v>7.9</v>
      </c>
      <c r="S100">
        <v>6.8</v>
      </c>
      <c r="T100">
        <v>2026</v>
      </c>
      <c r="U100">
        <v>1</v>
      </c>
      <c r="V100">
        <v>0</v>
      </c>
      <c r="W100" t="s">
        <v>47</v>
      </c>
      <c r="X100" t="s">
        <v>64</v>
      </c>
      <c r="Y100" t="s">
        <v>38</v>
      </c>
    </row>
    <row r="101" spans="1:25" x14ac:dyDescent="0.35">
      <c r="A101" t="s">
        <v>328</v>
      </c>
      <c r="B101" t="s">
        <v>79</v>
      </c>
      <c r="C101" t="s">
        <v>80</v>
      </c>
      <c r="D101" t="s">
        <v>68</v>
      </c>
      <c r="E101">
        <v>10</v>
      </c>
      <c r="F101" t="s">
        <v>29</v>
      </c>
      <c r="G101">
        <v>233000</v>
      </c>
      <c r="H101">
        <v>140000</v>
      </c>
      <c r="I101">
        <v>260000</v>
      </c>
      <c r="J101" t="s">
        <v>170</v>
      </c>
      <c r="K101" t="s">
        <v>171</v>
      </c>
      <c r="L101" t="s">
        <v>32</v>
      </c>
      <c r="M101" t="s">
        <v>33</v>
      </c>
      <c r="N101" t="s">
        <v>124</v>
      </c>
      <c r="O101" t="s">
        <v>329</v>
      </c>
      <c r="P101">
        <v>8.6999999999999993</v>
      </c>
      <c r="Q101">
        <v>80</v>
      </c>
      <c r="R101">
        <v>15.6</v>
      </c>
      <c r="S101">
        <v>8.6999999999999993</v>
      </c>
      <c r="T101">
        <v>2026</v>
      </c>
      <c r="U101">
        <v>1</v>
      </c>
      <c r="V101">
        <v>1</v>
      </c>
      <c r="W101" t="s">
        <v>36</v>
      </c>
      <c r="X101" t="s">
        <v>64</v>
      </c>
      <c r="Y101" t="s">
        <v>38</v>
      </c>
    </row>
    <row r="102" spans="1:25" x14ac:dyDescent="0.35">
      <c r="A102" t="s">
        <v>330</v>
      </c>
      <c r="B102" t="s">
        <v>86</v>
      </c>
      <c r="C102" t="s">
        <v>27</v>
      </c>
      <c r="D102" t="s">
        <v>28</v>
      </c>
      <c r="E102">
        <v>7</v>
      </c>
      <c r="F102" t="s">
        <v>69</v>
      </c>
      <c r="G102">
        <v>214000</v>
      </c>
      <c r="H102">
        <v>180000</v>
      </c>
      <c r="I102">
        <v>312000</v>
      </c>
      <c r="J102" t="s">
        <v>47</v>
      </c>
      <c r="K102" t="s">
        <v>87</v>
      </c>
      <c r="L102" t="s">
        <v>32</v>
      </c>
      <c r="M102" t="s">
        <v>33</v>
      </c>
      <c r="N102" t="s">
        <v>34</v>
      </c>
      <c r="O102" t="s">
        <v>331</v>
      </c>
      <c r="P102">
        <v>13.4</v>
      </c>
      <c r="Q102">
        <v>96</v>
      </c>
      <c r="R102">
        <v>53.6</v>
      </c>
      <c r="S102">
        <v>8.8000000000000007</v>
      </c>
      <c r="T102">
        <v>2025</v>
      </c>
      <c r="U102">
        <v>1</v>
      </c>
      <c r="V102">
        <v>1</v>
      </c>
      <c r="W102" t="s">
        <v>36</v>
      </c>
      <c r="X102" t="s">
        <v>64</v>
      </c>
      <c r="Y102" t="s">
        <v>38</v>
      </c>
    </row>
    <row r="103" spans="1:25" x14ac:dyDescent="0.35">
      <c r="A103" t="s">
        <v>332</v>
      </c>
      <c r="B103" t="s">
        <v>233</v>
      </c>
      <c r="C103" t="s">
        <v>180</v>
      </c>
      <c r="D103" t="s">
        <v>68</v>
      </c>
      <c r="E103">
        <v>9</v>
      </c>
      <c r="F103" t="s">
        <v>51</v>
      </c>
      <c r="G103">
        <v>240000</v>
      </c>
      <c r="H103">
        <v>100000</v>
      </c>
      <c r="I103">
        <v>200000</v>
      </c>
      <c r="J103" t="s">
        <v>174</v>
      </c>
      <c r="K103" t="s">
        <v>31</v>
      </c>
      <c r="L103" t="s">
        <v>53</v>
      </c>
      <c r="M103" t="s">
        <v>82</v>
      </c>
      <c r="N103" t="s">
        <v>71</v>
      </c>
      <c r="O103" t="s">
        <v>333</v>
      </c>
      <c r="P103">
        <v>15.3</v>
      </c>
      <c r="Q103">
        <v>68</v>
      </c>
      <c r="R103">
        <v>7.8</v>
      </c>
      <c r="S103">
        <v>9.1</v>
      </c>
      <c r="T103">
        <v>2026</v>
      </c>
      <c r="U103">
        <v>1</v>
      </c>
      <c r="V103">
        <v>1</v>
      </c>
      <c r="W103" t="s">
        <v>47</v>
      </c>
      <c r="X103" t="s">
        <v>64</v>
      </c>
      <c r="Y103" t="s">
        <v>38</v>
      </c>
    </row>
    <row r="104" spans="1:25" x14ac:dyDescent="0.35">
      <c r="A104" t="s">
        <v>334</v>
      </c>
      <c r="B104" t="s">
        <v>91</v>
      </c>
      <c r="C104" t="s">
        <v>27</v>
      </c>
      <c r="D104" t="s">
        <v>74</v>
      </c>
      <c r="E104">
        <v>3</v>
      </c>
      <c r="F104" t="s">
        <v>51</v>
      </c>
      <c r="G104">
        <v>145000</v>
      </c>
      <c r="H104">
        <v>145000</v>
      </c>
      <c r="I104">
        <v>290000</v>
      </c>
      <c r="J104" t="s">
        <v>70</v>
      </c>
      <c r="K104" t="s">
        <v>31</v>
      </c>
      <c r="L104" t="s">
        <v>53</v>
      </c>
      <c r="M104" t="s">
        <v>33</v>
      </c>
      <c r="N104" t="s">
        <v>71</v>
      </c>
      <c r="O104" t="s">
        <v>335</v>
      </c>
      <c r="P104">
        <v>8.4</v>
      </c>
      <c r="Q104">
        <v>91</v>
      </c>
      <c r="R104">
        <v>25.2</v>
      </c>
      <c r="S104">
        <v>9.8000000000000007</v>
      </c>
      <c r="T104">
        <v>2025</v>
      </c>
      <c r="U104">
        <v>12</v>
      </c>
      <c r="V104">
        <v>0</v>
      </c>
      <c r="W104" t="s">
        <v>47</v>
      </c>
      <c r="X104" t="s">
        <v>64</v>
      </c>
      <c r="Y104" t="s">
        <v>95</v>
      </c>
    </row>
    <row r="105" spans="1:25" x14ac:dyDescent="0.35">
      <c r="A105" t="s">
        <v>336</v>
      </c>
      <c r="B105" t="s">
        <v>153</v>
      </c>
      <c r="C105" t="s">
        <v>154</v>
      </c>
      <c r="D105" t="s">
        <v>28</v>
      </c>
      <c r="E105">
        <v>3</v>
      </c>
      <c r="F105" t="s">
        <v>29</v>
      </c>
      <c r="G105">
        <v>177000</v>
      </c>
      <c r="H105">
        <v>95000</v>
      </c>
      <c r="I105">
        <v>180000</v>
      </c>
      <c r="J105" t="s">
        <v>113</v>
      </c>
      <c r="K105" t="s">
        <v>114</v>
      </c>
      <c r="L105" t="s">
        <v>53</v>
      </c>
      <c r="M105" t="s">
        <v>54</v>
      </c>
      <c r="N105" t="s">
        <v>165</v>
      </c>
      <c r="O105" t="s">
        <v>337</v>
      </c>
      <c r="P105">
        <v>17.100000000000001</v>
      </c>
      <c r="Q105">
        <v>78</v>
      </c>
      <c r="R105">
        <v>20.6</v>
      </c>
      <c r="S105">
        <v>7.6</v>
      </c>
      <c r="T105">
        <v>2026</v>
      </c>
      <c r="U105">
        <v>2</v>
      </c>
      <c r="V105">
        <v>1</v>
      </c>
      <c r="W105" t="s">
        <v>47</v>
      </c>
      <c r="X105" t="s">
        <v>64</v>
      </c>
      <c r="Y105" t="s">
        <v>48</v>
      </c>
    </row>
    <row r="106" spans="1:25" x14ac:dyDescent="0.35">
      <c r="A106" t="s">
        <v>338</v>
      </c>
      <c r="B106" t="s">
        <v>26</v>
      </c>
      <c r="C106" t="s">
        <v>27</v>
      </c>
      <c r="D106" t="s">
        <v>28</v>
      </c>
      <c r="E106">
        <v>4</v>
      </c>
      <c r="F106" t="s">
        <v>69</v>
      </c>
      <c r="G106">
        <v>261000</v>
      </c>
      <c r="H106">
        <v>155000</v>
      </c>
      <c r="I106">
        <v>290000</v>
      </c>
      <c r="J106" t="s">
        <v>137</v>
      </c>
      <c r="K106" t="s">
        <v>138</v>
      </c>
      <c r="L106" t="s">
        <v>44</v>
      </c>
      <c r="M106" t="s">
        <v>54</v>
      </c>
      <c r="N106" t="s">
        <v>155</v>
      </c>
      <c r="O106" t="s">
        <v>339</v>
      </c>
      <c r="P106">
        <v>12.2</v>
      </c>
      <c r="Q106">
        <v>96</v>
      </c>
      <c r="R106">
        <v>53.7</v>
      </c>
      <c r="S106">
        <v>7.5</v>
      </c>
      <c r="T106">
        <v>2025</v>
      </c>
      <c r="U106">
        <v>6</v>
      </c>
      <c r="V106">
        <v>1</v>
      </c>
      <c r="W106" t="s">
        <v>47</v>
      </c>
      <c r="X106" t="s">
        <v>37</v>
      </c>
      <c r="Y106" t="s">
        <v>38</v>
      </c>
    </row>
    <row r="107" spans="1:25" x14ac:dyDescent="0.35">
      <c r="A107" t="s">
        <v>340</v>
      </c>
      <c r="B107" t="s">
        <v>26</v>
      </c>
      <c r="C107" t="s">
        <v>27</v>
      </c>
      <c r="D107" t="s">
        <v>28</v>
      </c>
      <c r="E107">
        <v>3</v>
      </c>
      <c r="F107" t="s">
        <v>41</v>
      </c>
      <c r="G107">
        <v>323000</v>
      </c>
      <c r="H107">
        <v>155000</v>
      </c>
      <c r="I107">
        <v>290000</v>
      </c>
      <c r="J107" t="s">
        <v>52</v>
      </c>
      <c r="K107" t="s">
        <v>31</v>
      </c>
      <c r="L107" t="s">
        <v>53</v>
      </c>
      <c r="M107" t="s">
        <v>45</v>
      </c>
      <c r="N107" t="s">
        <v>165</v>
      </c>
      <c r="O107" t="s">
        <v>341</v>
      </c>
      <c r="P107">
        <v>13.6</v>
      </c>
      <c r="Q107">
        <v>96</v>
      </c>
      <c r="R107">
        <v>50</v>
      </c>
      <c r="S107">
        <v>9.3000000000000007</v>
      </c>
      <c r="T107">
        <v>2025</v>
      </c>
      <c r="U107">
        <v>1</v>
      </c>
      <c r="V107">
        <v>1</v>
      </c>
      <c r="W107" t="s">
        <v>47</v>
      </c>
      <c r="X107" t="s">
        <v>37</v>
      </c>
      <c r="Y107" t="s">
        <v>56</v>
      </c>
    </row>
    <row r="108" spans="1:25" x14ac:dyDescent="0.35">
      <c r="A108" t="s">
        <v>342</v>
      </c>
      <c r="B108" t="s">
        <v>141</v>
      </c>
      <c r="C108" t="s">
        <v>27</v>
      </c>
      <c r="D108" t="s">
        <v>68</v>
      </c>
      <c r="E108">
        <v>6</v>
      </c>
      <c r="F108" t="s">
        <v>29</v>
      </c>
      <c r="G108">
        <v>298000</v>
      </c>
      <c r="H108">
        <v>141000</v>
      </c>
      <c r="I108">
        <v>270000</v>
      </c>
      <c r="J108" t="s">
        <v>70</v>
      </c>
      <c r="K108" t="s">
        <v>31</v>
      </c>
      <c r="L108" t="s">
        <v>44</v>
      </c>
      <c r="M108" t="s">
        <v>33</v>
      </c>
      <c r="N108" t="s">
        <v>83</v>
      </c>
      <c r="O108" t="s">
        <v>343</v>
      </c>
      <c r="P108">
        <v>6.5</v>
      </c>
      <c r="Q108">
        <v>89</v>
      </c>
      <c r="R108">
        <v>7.5</v>
      </c>
      <c r="S108">
        <v>9.6999999999999993</v>
      </c>
      <c r="T108">
        <v>2026</v>
      </c>
      <c r="U108">
        <v>2</v>
      </c>
      <c r="V108">
        <v>1</v>
      </c>
      <c r="W108" t="s">
        <v>47</v>
      </c>
      <c r="X108" t="s">
        <v>64</v>
      </c>
      <c r="Y108" t="s">
        <v>38</v>
      </c>
    </row>
    <row r="109" spans="1:25" x14ac:dyDescent="0.35">
      <c r="A109" t="s">
        <v>344</v>
      </c>
      <c r="B109" t="s">
        <v>141</v>
      </c>
      <c r="C109" t="s">
        <v>27</v>
      </c>
      <c r="D109" t="s">
        <v>68</v>
      </c>
      <c r="E109">
        <v>6</v>
      </c>
      <c r="F109" t="s">
        <v>41</v>
      </c>
      <c r="G109">
        <v>253000</v>
      </c>
      <c r="H109">
        <v>141000</v>
      </c>
      <c r="I109">
        <v>270000</v>
      </c>
      <c r="J109" t="s">
        <v>60</v>
      </c>
      <c r="K109" t="s">
        <v>60</v>
      </c>
      <c r="L109" t="s">
        <v>32</v>
      </c>
      <c r="M109" t="s">
        <v>82</v>
      </c>
      <c r="N109" t="s">
        <v>83</v>
      </c>
      <c r="O109" t="s">
        <v>345</v>
      </c>
      <c r="P109">
        <v>7</v>
      </c>
      <c r="Q109">
        <v>89</v>
      </c>
      <c r="R109">
        <v>11.1</v>
      </c>
      <c r="S109">
        <v>8.1</v>
      </c>
      <c r="T109">
        <v>2026</v>
      </c>
      <c r="U109">
        <v>2</v>
      </c>
      <c r="V109">
        <v>1</v>
      </c>
      <c r="W109" t="s">
        <v>36</v>
      </c>
      <c r="X109" t="s">
        <v>64</v>
      </c>
      <c r="Y109" t="s">
        <v>38</v>
      </c>
    </row>
    <row r="110" spans="1:25" x14ac:dyDescent="0.35">
      <c r="A110" t="s">
        <v>346</v>
      </c>
      <c r="B110" t="s">
        <v>224</v>
      </c>
      <c r="C110" t="s">
        <v>27</v>
      </c>
      <c r="D110" t="s">
        <v>68</v>
      </c>
      <c r="E110">
        <v>8</v>
      </c>
      <c r="F110" t="s">
        <v>29</v>
      </c>
      <c r="G110">
        <v>336000</v>
      </c>
      <c r="H110">
        <v>145000</v>
      </c>
      <c r="I110">
        <v>280000</v>
      </c>
      <c r="J110" t="s">
        <v>47</v>
      </c>
      <c r="K110" t="s">
        <v>87</v>
      </c>
      <c r="L110" t="s">
        <v>53</v>
      </c>
      <c r="M110" t="s">
        <v>45</v>
      </c>
      <c r="N110" t="s">
        <v>34</v>
      </c>
      <c r="O110" t="s">
        <v>347</v>
      </c>
      <c r="P110">
        <v>7.7</v>
      </c>
      <c r="Q110">
        <v>87</v>
      </c>
      <c r="R110">
        <v>24.1</v>
      </c>
      <c r="S110">
        <v>7.6</v>
      </c>
      <c r="T110">
        <v>2026</v>
      </c>
      <c r="U110">
        <v>1</v>
      </c>
      <c r="V110">
        <v>1</v>
      </c>
      <c r="W110" t="s">
        <v>47</v>
      </c>
      <c r="X110" t="s">
        <v>64</v>
      </c>
      <c r="Y110" t="s">
        <v>56</v>
      </c>
    </row>
    <row r="111" spans="1:25" x14ac:dyDescent="0.35">
      <c r="A111" t="s">
        <v>348</v>
      </c>
      <c r="B111" t="s">
        <v>86</v>
      </c>
      <c r="C111" t="s">
        <v>27</v>
      </c>
      <c r="D111" t="s">
        <v>81</v>
      </c>
      <c r="E111">
        <v>5</v>
      </c>
      <c r="F111" t="s">
        <v>51</v>
      </c>
      <c r="G111">
        <v>180000</v>
      </c>
      <c r="H111">
        <v>180000</v>
      </c>
      <c r="I111">
        <v>312000</v>
      </c>
      <c r="J111" t="s">
        <v>191</v>
      </c>
      <c r="K111" t="s">
        <v>31</v>
      </c>
      <c r="L111" t="s">
        <v>44</v>
      </c>
      <c r="M111" t="s">
        <v>33</v>
      </c>
      <c r="N111" t="s">
        <v>124</v>
      </c>
      <c r="O111" t="s">
        <v>349</v>
      </c>
      <c r="P111">
        <v>17.8</v>
      </c>
      <c r="Q111">
        <v>96</v>
      </c>
      <c r="R111">
        <v>16.3</v>
      </c>
      <c r="S111">
        <v>9.1</v>
      </c>
      <c r="T111">
        <v>2026</v>
      </c>
      <c r="U111">
        <v>1</v>
      </c>
      <c r="V111">
        <v>0</v>
      </c>
      <c r="W111" t="s">
        <v>47</v>
      </c>
      <c r="X111" t="s">
        <v>64</v>
      </c>
      <c r="Y111" t="s">
        <v>48</v>
      </c>
    </row>
    <row r="112" spans="1:25" x14ac:dyDescent="0.35">
      <c r="A112" t="s">
        <v>350</v>
      </c>
      <c r="B112" t="s">
        <v>203</v>
      </c>
      <c r="C112" t="s">
        <v>169</v>
      </c>
      <c r="D112" t="s">
        <v>81</v>
      </c>
      <c r="E112">
        <v>6</v>
      </c>
      <c r="F112" t="s">
        <v>29</v>
      </c>
      <c r="G112">
        <v>217000</v>
      </c>
      <c r="H112">
        <v>138000</v>
      </c>
      <c r="I112">
        <v>195000</v>
      </c>
      <c r="J112" t="s">
        <v>30</v>
      </c>
      <c r="K112" t="s">
        <v>31</v>
      </c>
      <c r="L112" t="s">
        <v>32</v>
      </c>
      <c r="M112" t="s">
        <v>54</v>
      </c>
      <c r="N112" t="s">
        <v>124</v>
      </c>
      <c r="O112" t="s">
        <v>351</v>
      </c>
      <c r="P112">
        <v>7.8</v>
      </c>
      <c r="Q112">
        <v>92</v>
      </c>
      <c r="R112">
        <v>76.900000000000006</v>
      </c>
      <c r="S112">
        <v>8.5</v>
      </c>
      <c r="T112">
        <v>2026</v>
      </c>
      <c r="U112">
        <v>1</v>
      </c>
      <c r="V112">
        <v>0</v>
      </c>
      <c r="W112" t="s">
        <v>36</v>
      </c>
      <c r="X112" t="s">
        <v>64</v>
      </c>
      <c r="Y112" t="s">
        <v>38</v>
      </c>
    </row>
    <row r="113" spans="1:25" x14ac:dyDescent="0.35">
      <c r="A113" t="s">
        <v>352</v>
      </c>
      <c r="B113" t="s">
        <v>86</v>
      </c>
      <c r="C113" t="s">
        <v>27</v>
      </c>
      <c r="D113" t="s">
        <v>68</v>
      </c>
      <c r="E113">
        <v>5</v>
      </c>
      <c r="F113" t="s">
        <v>51</v>
      </c>
      <c r="G113">
        <v>281000</v>
      </c>
      <c r="H113">
        <v>180000</v>
      </c>
      <c r="I113">
        <v>312000</v>
      </c>
      <c r="J113" t="s">
        <v>137</v>
      </c>
      <c r="K113" t="s">
        <v>138</v>
      </c>
      <c r="L113" t="s">
        <v>53</v>
      </c>
      <c r="M113" t="s">
        <v>45</v>
      </c>
      <c r="N113" t="s">
        <v>155</v>
      </c>
      <c r="O113" t="s">
        <v>353</v>
      </c>
      <c r="P113">
        <v>10.3</v>
      </c>
      <c r="Q113">
        <v>96</v>
      </c>
      <c r="R113">
        <v>80.8</v>
      </c>
      <c r="S113">
        <v>8.6</v>
      </c>
      <c r="T113">
        <v>2026</v>
      </c>
      <c r="U113">
        <v>2</v>
      </c>
      <c r="V113">
        <v>1</v>
      </c>
      <c r="W113" t="s">
        <v>47</v>
      </c>
      <c r="X113" t="s">
        <v>64</v>
      </c>
      <c r="Y113" t="s">
        <v>38</v>
      </c>
    </row>
    <row r="114" spans="1:25" x14ac:dyDescent="0.35">
      <c r="A114" t="s">
        <v>354</v>
      </c>
      <c r="B114" t="s">
        <v>127</v>
      </c>
      <c r="C114" t="s">
        <v>27</v>
      </c>
      <c r="D114" t="s">
        <v>74</v>
      </c>
      <c r="E114">
        <v>8</v>
      </c>
      <c r="F114" t="s">
        <v>29</v>
      </c>
      <c r="G114">
        <v>187000</v>
      </c>
      <c r="H114">
        <v>120000</v>
      </c>
      <c r="I114">
        <v>280000</v>
      </c>
      <c r="J114" t="s">
        <v>52</v>
      </c>
      <c r="K114" t="s">
        <v>31</v>
      </c>
      <c r="L114" t="s">
        <v>44</v>
      </c>
      <c r="M114" t="s">
        <v>82</v>
      </c>
      <c r="N114" t="s">
        <v>131</v>
      </c>
      <c r="O114" t="s">
        <v>355</v>
      </c>
      <c r="P114">
        <v>13.7</v>
      </c>
      <c r="Q114">
        <v>97</v>
      </c>
      <c r="R114">
        <v>77</v>
      </c>
      <c r="S114">
        <v>8.6</v>
      </c>
      <c r="T114">
        <v>2026</v>
      </c>
      <c r="U114">
        <v>2</v>
      </c>
      <c r="V114">
        <v>0</v>
      </c>
      <c r="W114" t="s">
        <v>47</v>
      </c>
      <c r="X114" t="s">
        <v>64</v>
      </c>
      <c r="Y114" t="s">
        <v>48</v>
      </c>
    </row>
    <row r="115" spans="1:25" x14ac:dyDescent="0.35">
      <c r="A115" t="s">
        <v>356</v>
      </c>
      <c r="B115" t="s">
        <v>233</v>
      </c>
      <c r="C115" t="s">
        <v>180</v>
      </c>
      <c r="D115" t="s">
        <v>28</v>
      </c>
      <c r="E115">
        <v>6</v>
      </c>
      <c r="F115" t="s">
        <v>41</v>
      </c>
      <c r="G115">
        <v>137000</v>
      </c>
      <c r="H115">
        <v>100000</v>
      </c>
      <c r="I115">
        <v>200000</v>
      </c>
      <c r="J115" t="s">
        <v>191</v>
      </c>
      <c r="K115" t="s">
        <v>31</v>
      </c>
      <c r="L115" t="s">
        <v>44</v>
      </c>
      <c r="M115" t="s">
        <v>33</v>
      </c>
      <c r="N115" t="s">
        <v>88</v>
      </c>
      <c r="O115" t="s">
        <v>357</v>
      </c>
      <c r="P115">
        <v>11.6</v>
      </c>
      <c r="Q115">
        <v>68</v>
      </c>
      <c r="R115">
        <v>28.5</v>
      </c>
      <c r="S115">
        <v>7.6</v>
      </c>
      <c r="T115">
        <v>2026</v>
      </c>
      <c r="U115">
        <v>3</v>
      </c>
      <c r="V115">
        <v>1</v>
      </c>
      <c r="W115" t="s">
        <v>47</v>
      </c>
      <c r="X115" t="s">
        <v>64</v>
      </c>
      <c r="Y115" t="s">
        <v>95</v>
      </c>
    </row>
    <row r="116" spans="1:25" x14ac:dyDescent="0.35">
      <c r="A116" t="s">
        <v>358</v>
      </c>
      <c r="B116" t="s">
        <v>50</v>
      </c>
      <c r="C116" t="s">
        <v>27</v>
      </c>
      <c r="D116" t="s">
        <v>28</v>
      </c>
      <c r="E116">
        <v>2</v>
      </c>
      <c r="F116" t="s">
        <v>29</v>
      </c>
      <c r="G116">
        <v>360000</v>
      </c>
      <c r="H116">
        <v>160000</v>
      </c>
      <c r="I116">
        <v>300000</v>
      </c>
      <c r="J116" t="s">
        <v>52</v>
      </c>
      <c r="K116" t="s">
        <v>31</v>
      </c>
      <c r="L116" t="s">
        <v>32</v>
      </c>
      <c r="M116" t="s">
        <v>54</v>
      </c>
      <c r="N116" t="s">
        <v>34</v>
      </c>
      <c r="O116" t="s">
        <v>359</v>
      </c>
      <c r="P116">
        <v>5.2</v>
      </c>
      <c r="Q116">
        <v>98</v>
      </c>
      <c r="R116">
        <v>41.3</v>
      </c>
      <c r="S116">
        <v>7</v>
      </c>
      <c r="T116">
        <v>2025</v>
      </c>
      <c r="U116">
        <v>3</v>
      </c>
      <c r="V116">
        <v>1</v>
      </c>
      <c r="W116" t="s">
        <v>36</v>
      </c>
      <c r="X116" t="s">
        <v>37</v>
      </c>
      <c r="Y116" t="s">
        <v>56</v>
      </c>
    </row>
    <row r="117" spans="1:25" x14ac:dyDescent="0.35">
      <c r="A117" t="s">
        <v>360</v>
      </c>
      <c r="B117" t="s">
        <v>40</v>
      </c>
      <c r="C117" t="s">
        <v>27</v>
      </c>
      <c r="D117" t="s">
        <v>68</v>
      </c>
      <c r="E117">
        <v>3</v>
      </c>
      <c r="F117" t="s">
        <v>41</v>
      </c>
      <c r="G117">
        <v>231000</v>
      </c>
      <c r="H117">
        <v>90000</v>
      </c>
      <c r="I117">
        <v>200000</v>
      </c>
      <c r="J117" t="s">
        <v>170</v>
      </c>
      <c r="K117" t="s">
        <v>171</v>
      </c>
      <c r="L117" t="s">
        <v>44</v>
      </c>
      <c r="M117" t="s">
        <v>54</v>
      </c>
      <c r="N117" t="s">
        <v>76</v>
      </c>
      <c r="O117" t="s">
        <v>361</v>
      </c>
      <c r="P117">
        <v>3.6</v>
      </c>
      <c r="Q117">
        <v>82</v>
      </c>
      <c r="R117">
        <v>27.5</v>
      </c>
      <c r="S117">
        <v>9.4</v>
      </c>
      <c r="T117">
        <v>2026</v>
      </c>
      <c r="U117">
        <v>3</v>
      </c>
      <c r="V117">
        <v>1</v>
      </c>
      <c r="W117" t="s">
        <v>47</v>
      </c>
      <c r="X117" t="s">
        <v>37</v>
      </c>
      <c r="Y117" t="s">
        <v>38</v>
      </c>
    </row>
    <row r="118" spans="1:25" x14ac:dyDescent="0.35">
      <c r="A118" t="s">
        <v>362</v>
      </c>
      <c r="B118" t="s">
        <v>79</v>
      </c>
      <c r="C118" t="s">
        <v>80</v>
      </c>
      <c r="D118" t="s">
        <v>81</v>
      </c>
      <c r="E118">
        <v>7</v>
      </c>
      <c r="F118" t="s">
        <v>29</v>
      </c>
      <c r="G118">
        <v>192000</v>
      </c>
      <c r="H118">
        <v>140000</v>
      </c>
      <c r="I118">
        <v>260000</v>
      </c>
      <c r="J118" t="s">
        <v>75</v>
      </c>
      <c r="K118" t="s">
        <v>31</v>
      </c>
      <c r="L118" t="s">
        <v>53</v>
      </c>
      <c r="M118" t="s">
        <v>45</v>
      </c>
      <c r="N118" t="s">
        <v>88</v>
      </c>
      <c r="O118" t="s">
        <v>363</v>
      </c>
      <c r="P118">
        <v>11.6</v>
      </c>
      <c r="Q118">
        <v>80</v>
      </c>
      <c r="R118">
        <v>28.6</v>
      </c>
      <c r="S118">
        <v>8.6999999999999993</v>
      </c>
      <c r="T118">
        <v>2026</v>
      </c>
      <c r="U118">
        <v>3</v>
      </c>
      <c r="V118">
        <v>0</v>
      </c>
      <c r="W118" t="s">
        <v>47</v>
      </c>
      <c r="X118" t="s">
        <v>64</v>
      </c>
      <c r="Y118" t="s">
        <v>48</v>
      </c>
    </row>
    <row r="119" spans="1:25" x14ac:dyDescent="0.35">
      <c r="A119" t="s">
        <v>364</v>
      </c>
      <c r="B119" t="s">
        <v>141</v>
      </c>
      <c r="C119" t="s">
        <v>27</v>
      </c>
      <c r="D119" t="s">
        <v>81</v>
      </c>
      <c r="E119">
        <v>9</v>
      </c>
      <c r="F119" t="s">
        <v>128</v>
      </c>
      <c r="G119">
        <v>150000</v>
      </c>
      <c r="H119">
        <v>141000</v>
      </c>
      <c r="I119">
        <v>270000</v>
      </c>
      <c r="J119" t="s">
        <v>170</v>
      </c>
      <c r="K119" t="s">
        <v>171</v>
      </c>
      <c r="L119" t="s">
        <v>44</v>
      </c>
      <c r="M119" t="s">
        <v>33</v>
      </c>
      <c r="N119" t="s">
        <v>110</v>
      </c>
      <c r="O119" t="s">
        <v>365</v>
      </c>
      <c r="P119">
        <v>9.6</v>
      </c>
      <c r="Q119">
        <v>89</v>
      </c>
      <c r="R119">
        <v>10</v>
      </c>
      <c r="S119">
        <v>7.2</v>
      </c>
      <c r="T119">
        <v>2026</v>
      </c>
      <c r="U119">
        <v>2</v>
      </c>
      <c r="V119">
        <v>0</v>
      </c>
      <c r="W119" t="s">
        <v>47</v>
      </c>
      <c r="X119" t="s">
        <v>64</v>
      </c>
      <c r="Y119" t="s">
        <v>95</v>
      </c>
    </row>
    <row r="120" spans="1:25" x14ac:dyDescent="0.35">
      <c r="A120" t="s">
        <v>366</v>
      </c>
      <c r="B120" t="s">
        <v>149</v>
      </c>
      <c r="C120" t="s">
        <v>150</v>
      </c>
      <c r="D120" t="s">
        <v>81</v>
      </c>
      <c r="E120">
        <v>9</v>
      </c>
      <c r="F120" t="s">
        <v>128</v>
      </c>
      <c r="G120">
        <v>270000</v>
      </c>
      <c r="H120">
        <v>130000</v>
      </c>
      <c r="I120">
        <v>260000</v>
      </c>
      <c r="J120" t="s">
        <v>47</v>
      </c>
      <c r="K120" t="s">
        <v>87</v>
      </c>
      <c r="L120" t="s">
        <v>32</v>
      </c>
      <c r="M120" t="s">
        <v>54</v>
      </c>
      <c r="N120" t="s">
        <v>124</v>
      </c>
      <c r="O120" t="s">
        <v>367</v>
      </c>
      <c r="P120">
        <v>16</v>
      </c>
      <c r="Q120">
        <v>93</v>
      </c>
      <c r="R120">
        <v>75.7</v>
      </c>
      <c r="S120">
        <v>6.3</v>
      </c>
      <c r="T120">
        <v>2026</v>
      </c>
      <c r="U120">
        <v>2</v>
      </c>
      <c r="V120">
        <v>0</v>
      </c>
      <c r="W120" t="s">
        <v>36</v>
      </c>
      <c r="X120" t="s">
        <v>64</v>
      </c>
      <c r="Y120" t="s">
        <v>38</v>
      </c>
    </row>
    <row r="121" spans="1:25" x14ac:dyDescent="0.35">
      <c r="A121" t="s">
        <v>368</v>
      </c>
      <c r="B121" t="s">
        <v>146</v>
      </c>
      <c r="C121" t="s">
        <v>27</v>
      </c>
      <c r="D121" t="s">
        <v>28</v>
      </c>
      <c r="E121">
        <v>4</v>
      </c>
      <c r="F121" t="s">
        <v>29</v>
      </c>
      <c r="G121">
        <v>257000</v>
      </c>
      <c r="H121">
        <v>160000</v>
      </c>
      <c r="I121">
        <v>300000</v>
      </c>
      <c r="J121" t="s">
        <v>47</v>
      </c>
      <c r="K121" t="s">
        <v>87</v>
      </c>
      <c r="L121" t="s">
        <v>32</v>
      </c>
      <c r="M121" t="s">
        <v>61</v>
      </c>
      <c r="N121" t="s">
        <v>155</v>
      </c>
      <c r="O121" t="s">
        <v>369</v>
      </c>
      <c r="P121">
        <v>17.7</v>
      </c>
      <c r="Q121">
        <v>90</v>
      </c>
      <c r="R121">
        <v>22.5</v>
      </c>
      <c r="S121">
        <v>9.1</v>
      </c>
      <c r="T121">
        <v>2026</v>
      </c>
      <c r="U121">
        <v>1</v>
      </c>
      <c r="V121">
        <v>1</v>
      </c>
      <c r="W121" t="s">
        <v>36</v>
      </c>
      <c r="X121" t="s">
        <v>64</v>
      </c>
      <c r="Y121" t="s">
        <v>38</v>
      </c>
    </row>
    <row r="122" spans="1:25" x14ac:dyDescent="0.35">
      <c r="A122" t="s">
        <v>370</v>
      </c>
      <c r="B122" t="s">
        <v>203</v>
      </c>
      <c r="C122" t="s">
        <v>169</v>
      </c>
      <c r="D122" t="s">
        <v>81</v>
      </c>
      <c r="E122">
        <v>7</v>
      </c>
      <c r="F122" t="s">
        <v>51</v>
      </c>
      <c r="G122">
        <v>138000</v>
      </c>
      <c r="H122">
        <v>138000</v>
      </c>
      <c r="I122">
        <v>195000</v>
      </c>
      <c r="J122" t="s">
        <v>42</v>
      </c>
      <c r="K122" t="s">
        <v>43</v>
      </c>
      <c r="L122" t="s">
        <v>44</v>
      </c>
      <c r="M122" t="s">
        <v>82</v>
      </c>
      <c r="N122" t="s">
        <v>124</v>
      </c>
      <c r="O122" t="s">
        <v>371</v>
      </c>
      <c r="P122">
        <v>7.1</v>
      </c>
      <c r="Q122">
        <v>92</v>
      </c>
      <c r="R122">
        <v>57</v>
      </c>
      <c r="S122">
        <v>7.7</v>
      </c>
      <c r="T122">
        <v>2025</v>
      </c>
      <c r="U122">
        <v>11</v>
      </c>
      <c r="V122">
        <v>0</v>
      </c>
      <c r="W122" t="s">
        <v>47</v>
      </c>
      <c r="X122" t="s">
        <v>64</v>
      </c>
      <c r="Y122" t="s">
        <v>95</v>
      </c>
    </row>
    <row r="123" spans="1:25" x14ac:dyDescent="0.35">
      <c r="A123" t="s">
        <v>372</v>
      </c>
      <c r="B123" t="s">
        <v>153</v>
      </c>
      <c r="C123" t="s">
        <v>154</v>
      </c>
      <c r="D123" t="s">
        <v>28</v>
      </c>
      <c r="E123">
        <v>4</v>
      </c>
      <c r="F123" t="s">
        <v>41</v>
      </c>
      <c r="G123">
        <v>125000</v>
      </c>
      <c r="H123">
        <v>95000</v>
      </c>
      <c r="I123">
        <v>180000</v>
      </c>
      <c r="J123" t="s">
        <v>117</v>
      </c>
      <c r="K123" t="s">
        <v>118</v>
      </c>
      <c r="L123" t="s">
        <v>53</v>
      </c>
      <c r="M123" t="s">
        <v>61</v>
      </c>
      <c r="N123" t="s">
        <v>88</v>
      </c>
      <c r="O123" t="s">
        <v>373</v>
      </c>
      <c r="P123">
        <v>13.2</v>
      </c>
      <c r="Q123">
        <v>78</v>
      </c>
      <c r="R123">
        <v>13.7</v>
      </c>
      <c r="S123">
        <v>6.4</v>
      </c>
      <c r="T123">
        <v>2026</v>
      </c>
      <c r="U123">
        <v>2</v>
      </c>
      <c r="V123">
        <v>1</v>
      </c>
      <c r="W123" t="s">
        <v>47</v>
      </c>
      <c r="X123" t="s">
        <v>64</v>
      </c>
      <c r="Y123" t="s">
        <v>95</v>
      </c>
    </row>
    <row r="124" spans="1:25" x14ac:dyDescent="0.35">
      <c r="A124" t="s">
        <v>374</v>
      </c>
      <c r="B124" t="s">
        <v>66</v>
      </c>
      <c r="C124" t="s">
        <v>67</v>
      </c>
      <c r="D124" t="s">
        <v>74</v>
      </c>
      <c r="E124">
        <v>6</v>
      </c>
      <c r="F124" t="s">
        <v>41</v>
      </c>
      <c r="G124">
        <v>140000</v>
      </c>
      <c r="H124">
        <v>140000</v>
      </c>
      <c r="I124">
        <v>260000</v>
      </c>
      <c r="J124" t="s">
        <v>52</v>
      </c>
      <c r="K124" t="s">
        <v>31</v>
      </c>
      <c r="L124" t="s">
        <v>32</v>
      </c>
      <c r="M124" t="s">
        <v>82</v>
      </c>
      <c r="N124" t="s">
        <v>88</v>
      </c>
      <c r="O124" t="s">
        <v>375</v>
      </c>
      <c r="P124">
        <v>12.1</v>
      </c>
      <c r="Q124">
        <v>85</v>
      </c>
      <c r="R124">
        <v>9.6</v>
      </c>
      <c r="S124">
        <v>8.4</v>
      </c>
      <c r="T124">
        <v>2026</v>
      </c>
      <c r="U124">
        <v>1</v>
      </c>
      <c r="V124">
        <v>0</v>
      </c>
      <c r="W124" t="s">
        <v>36</v>
      </c>
      <c r="X124" t="s">
        <v>64</v>
      </c>
      <c r="Y124" t="s">
        <v>95</v>
      </c>
    </row>
    <row r="125" spans="1:25" x14ac:dyDescent="0.35">
      <c r="A125" t="s">
        <v>376</v>
      </c>
      <c r="B125" t="s">
        <v>134</v>
      </c>
      <c r="C125" t="s">
        <v>27</v>
      </c>
      <c r="D125" t="s">
        <v>68</v>
      </c>
      <c r="E125">
        <v>2</v>
      </c>
      <c r="F125" t="s">
        <v>51</v>
      </c>
      <c r="G125">
        <v>150000</v>
      </c>
      <c r="H125">
        <v>150000</v>
      </c>
      <c r="I125">
        <v>295000</v>
      </c>
      <c r="J125" t="s">
        <v>108</v>
      </c>
      <c r="K125" t="s">
        <v>109</v>
      </c>
      <c r="L125" t="s">
        <v>44</v>
      </c>
      <c r="M125" t="s">
        <v>61</v>
      </c>
      <c r="N125" t="s">
        <v>131</v>
      </c>
      <c r="O125" t="s">
        <v>377</v>
      </c>
      <c r="P125">
        <v>10</v>
      </c>
      <c r="Q125">
        <v>95</v>
      </c>
      <c r="R125">
        <v>23.3</v>
      </c>
      <c r="S125">
        <v>8.5</v>
      </c>
      <c r="T125">
        <v>2026</v>
      </c>
      <c r="U125">
        <v>3</v>
      </c>
      <c r="V125">
        <v>1</v>
      </c>
      <c r="W125" t="s">
        <v>47</v>
      </c>
      <c r="X125" t="s">
        <v>37</v>
      </c>
      <c r="Y125" t="s">
        <v>95</v>
      </c>
    </row>
    <row r="126" spans="1:25" x14ac:dyDescent="0.35">
      <c r="A126" t="s">
        <v>378</v>
      </c>
      <c r="B126" t="s">
        <v>66</v>
      </c>
      <c r="C126" t="s">
        <v>67</v>
      </c>
      <c r="D126" t="s">
        <v>68</v>
      </c>
      <c r="E126">
        <v>6</v>
      </c>
      <c r="F126" t="s">
        <v>51</v>
      </c>
      <c r="G126">
        <v>140000</v>
      </c>
      <c r="H126">
        <v>140000</v>
      </c>
      <c r="I126">
        <v>260000</v>
      </c>
      <c r="J126" t="s">
        <v>108</v>
      </c>
      <c r="K126" t="s">
        <v>109</v>
      </c>
      <c r="L126" t="s">
        <v>32</v>
      </c>
      <c r="M126" t="s">
        <v>45</v>
      </c>
      <c r="N126" t="s">
        <v>83</v>
      </c>
      <c r="O126" t="s">
        <v>379</v>
      </c>
      <c r="P126">
        <v>11.1</v>
      </c>
      <c r="Q126">
        <v>85</v>
      </c>
      <c r="R126">
        <v>9.6</v>
      </c>
      <c r="S126">
        <v>8.6</v>
      </c>
      <c r="T126">
        <v>2026</v>
      </c>
      <c r="U126">
        <v>2</v>
      </c>
      <c r="V126">
        <v>1</v>
      </c>
      <c r="W126" t="s">
        <v>36</v>
      </c>
      <c r="X126" t="s">
        <v>64</v>
      </c>
      <c r="Y126" t="s">
        <v>95</v>
      </c>
    </row>
    <row r="127" spans="1:25" x14ac:dyDescent="0.35">
      <c r="A127" t="s">
        <v>380</v>
      </c>
      <c r="B127" t="s">
        <v>158</v>
      </c>
      <c r="C127" t="s">
        <v>27</v>
      </c>
      <c r="D127" t="s">
        <v>68</v>
      </c>
      <c r="E127">
        <v>7</v>
      </c>
      <c r="F127" t="s">
        <v>69</v>
      </c>
      <c r="G127">
        <v>336000</v>
      </c>
      <c r="H127">
        <v>145000</v>
      </c>
      <c r="I127">
        <v>280000</v>
      </c>
      <c r="J127" t="s">
        <v>191</v>
      </c>
      <c r="K127" t="s">
        <v>31</v>
      </c>
      <c r="L127" t="s">
        <v>53</v>
      </c>
      <c r="M127" t="s">
        <v>54</v>
      </c>
      <c r="N127" t="s">
        <v>83</v>
      </c>
      <c r="O127" t="s">
        <v>381</v>
      </c>
      <c r="P127">
        <v>7.3</v>
      </c>
      <c r="Q127">
        <v>94</v>
      </c>
      <c r="R127">
        <v>78.2</v>
      </c>
      <c r="S127">
        <v>9.6</v>
      </c>
      <c r="T127">
        <v>2026</v>
      </c>
      <c r="U127">
        <v>1</v>
      </c>
      <c r="V127">
        <v>1</v>
      </c>
      <c r="W127" t="s">
        <v>47</v>
      </c>
      <c r="X127" t="s">
        <v>37</v>
      </c>
      <c r="Y127" t="s">
        <v>56</v>
      </c>
    </row>
    <row r="128" spans="1:25" x14ac:dyDescent="0.35">
      <c r="A128" t="s">
        <v>382</v>
      </c>
      <c r="B128" t="s">
        <v>50</v>
      </c>
      <c r="C128" t="s">
        <v>27</v>
      </c>
      <c r="D128" t="s">
        <v>68</v>
      </c>
      <c r="E128">
        <v>5</v>
      </c>
      <c r="F128" t="s">
        <v>69</v>
      </c>
      <c r="G128">
        <v>327000</v>
      </c>
      <c r="H128">
        <v>160000</v>
      </c>
      <c r="I128">
        <v>300000</v>
      </c>
      <c r="J128" t="s">
        <v>102</v>
      </c>
      <c r="K128" t="s">
        <v>103</v>
      </c>
      <c r="L128" t="s">
        <v>44</v>
      </c>
      <c r="M128" t="s">
        <v>54</v>
      </c>
      <c r="N128" t="s">
        <v>71</v>
      </c>
      <c r="O128" t="s">
        <v>383</v>
      </c>
      <c r="P128">
        <v>4.2</v>
      </c>
      <c r="Q128">
        <v>98</v>
      </c>
      <c r="R128">
        <v>48.4</v>
      </c>
      <c r="S128">
        <v>8.8000000000000007</v>
      </c>
      <c r="T128">
        <v>2026</v>
      </c>
      <c r="U128">
        <v>3</v>
      </c>
      <c r="V128">
        <v>1</v>
      </c>
      <c r="W128" t="s">
        <v>47</v>
      </c>
      <c r="X128" t="s">
        <v>37</v>
      </c>
      <c r="Y128" t="s">
        <v>56</v>
      </c>
    </row>
    <row r="129" spans="1:25" x14ac:dyDescent="0.35">
      <c r="A129" t="s">
        <v>384</v>
      </c>
      <c r="B129" t="s">
        <v>79</v>
      </c>
      <c r="C129" t="s">
        <v>80</v>
      </c>
      <c r="D129" t="s">
        <v>74</v>
      </c>
      <c r="E129">
        <v>8</v>
      </c>
      <c r="F129" t="s">
        <v>128</v>
      </c>
      <c r="G129">
        <v>248000</v>
      </c>
      <c r="H129">
        <v>140000</v>
      </c>
      <c r="I129">
        <v>260000</v>
      </c>
      <c r="J129" t="s">
        <v>30</v>
      </c>
      <c r="K129" t="s">
        <v>31</v>
      </c>
      <c r="L129" t="s">
        <v>53</v>
      </c>
      <c r="M129" t="s">
        <v>54</v>
      </c>
      <c r="N129" t="s">
        <v>110</v>
      </c>
      <c r="O129" t="s">
        <v>385</v>
      </c>
      <c r="P129">
        <v>8.3000000000000007</v>
      </c>
      <c r="Q129">
        <v>80</v>
      </c>
      <c r="R129">
        <v>11.6</v>
      </c>
      <c r="S129">
        <v>9.3000000000000007</v>
      </c>
      <c r="T129">
        <v>2025</v>
      </c>
      <c r="U129">
        <v>2</v>
      </c>
      <c r="V129">
        <v>0</v>
      </c>
      <c r="W129" t="s">
        <v>47</v>
      </c>
      <c r="X129" t="s">
        <v>64</v>
      </c>
      <c r="Y129" t="s">
        <v>38</v>
      </c>
    </row>
    <row r="130" spans="1:25" x14ac:dyDescent="0.35">
      <c r="A130" t="s">
        <v>386</v>
      </c>
      <c r="B130" t="s">
        <v>233</v>
      </c>
      <c r="C130" t="s">
        <v>180</v>
      </c>
      <c r="D130" t="s">
        <v>28</v>
      </c>
      <c r="E130">
        <v>5</v>
      </c>
      <c r="F130" t="s">
        <v>51</v>
      </c>
      <c r="G130">
        <v>121000</v>
      </c>
      <c r="H130">
        <v>100000</v>
      </c>
      <c r="I130">
        <v>200000</v>
      </c>
      <c r="J130" t="s">
        <v>42</v>
      </c>
      <c r="K130" t="s">
        <v>43</v>
      </c>
      <c r="L130" t="s">
        <v>53</v>
      </c>
      <c r="M130" t="s">
        <v>61</v>
      </c>
      <c r="N130" t="s">
        <v>83</v>
      </c>
      <c r="O130" t="s">
        <v>387</v>
      </c>
      <c r="P130">
        <v>10.9</v>
      </c>
      <c r="Q130">
        <v>68</v>
      </c>
      <c r="R130">
        <v>19.3</v>
      </c>
      <c r="S130">
        <v>9.6</v>
      </c>
      <c r="T130">
        <v>2026</v>
      </c>
      <c r="U130">
        <v>3</v>
      </c>
      <c r="V130">
        <v>1</v>
      </c>
      <c r="W130" t="s">
        <v>47</v>
      </c>
      <c r="X130" t="s">
        <v>64</v>
      </c>
      <c r="Y130" t="s">
        <v>95</v>
      </c>
    </row>
    <row r="131" spans="1:25" x14ac:dyDescent="0.35">
      <c r="A131" t="s">
        <v>388</v>
      </c>
      <c r="B131" t="s">
        <v>203</v>
      </c>
      <c r="C131" t="s">
        <v>169</v>
      </c>
      <c r="D131" t="s">
        <v>74</v>
      </c>
      <c r="E131">
        <v>3</v>
      </c>
      <c r="F131" t="s">
        <v>128</v>
      </c>
      <c r="G131">
        <v>168000</v>
      </c>
      <c r="H131">
        <v>138000</v>
      </c>
      <c r="I131">
        <v>195000</v>
      </c>
      <c r="J131" t="s">
        <v>191</v>
      </c>
      <c r="K131" t="s">
        <v>31</v>
      </c>
      <c r="L131" t="s">
        <v>44</v>
      </c>
      <c r="M131" t="s">
        <v>45</v>
      </c>
      <c r="N131" t="s">
        <v>165</v>
      </c>
      <c r="O131" t="s">
        <v>389</v>
      </c>
      <c r="P131">
        <v>7.4</v>
      </c>
      <c r="Q131">
        <v>92</v>
      </c>
      <c r="R131">
        <v>42.4</v>
      </c>
      <c r="S131">
        <v>6.3</v>
      </c>
      <c r="T131">
        <v>2026</v>
      </c>
      <c r="U131">
        <v>1</v>
      </c>
      <c r="V131">
        <v>0</v>
      </c>
      <c r="W131" t="s">
        <v>47</v>
      </c>
      <c r="X131" t="s">
        <v>64</v>
      </c>
      <c r="Y131" t="s">
        <v>48</v>
      </c>
    </row>
    <row r="132" spans="1:25" x14ac:dyDescent="0.35">
      <c r="A132" t="s">
        <v>390</v>
      </c>
      <c r="B132" t="s">
        <v>50</v>
      </c>
      <c r="C132" t="s">
        <v>27</v>
      </c>
      <c r="D132" t="s">
        <v>28</v>
      </c>
      <c r="E132">
        <v>4</v>
      </c>
      <c r="F132" t="s">
        <v>69</v>
      </c>
      <c r="G132">
        <v>232000</v>
      </c>
      <c r="H132">
        <v>160000</v>
      </c>
      <c r="I132">
        <v>300000</v>
      </c>
      <c r="J132" t="s">
        <v>117</v>
      </c>
      <c r="K132" t="s">
        <v>118</v>
      </c>
      <c r="L132" t="s">
        <v>53</v>
      </c>
      <c r="M132" t="s">
        <v>82</v>
      </c>
      <c r="N132" t="s">
        <v>71</v>
      </c>
      <c r="O132" t="s">
        <v>391</v>
      </c>
      <c r="P132">
        <v>8.8000000000000007</v>
      </c>
      <c r="Q132">
        <v>98</v>
      </c>
      <c r="R132">
        <v>51.1</v>
      </c>
      <c r="S132">
        <v>7.2</v>
      </c>
      <c r="T132">
        <v>2025</v>
      </c>
      <c r="U132">
        <v>9</v>
      </c>
      <c r="V132">
        <v>1</v>
      </c>
      <c r="W132" t="s">
        <v>47</v>
      </c>
      <c r="X132" t="s">
        <v>37</v>
      </c>
      <c r="Y132" t="s">
        <v>38</v>
      </c>
    </row>
    <row r="133" spans="1:25" x14ac:dyDescent="0.35">
      <c r="A133" t="s">
        <v>392</v>
      </c>
      <c r="B133" t="s">
        <v>153</v>
      </c>
      <c r="C133" t="s">
        <v>154</v>
      </c>
      <c r="D133" t="s">
        <v>68</v>
      </c>
      <c r="E133">
        <v>8</v>
      </c>
      <c r="F133" t="s">
        <v>128</v>
      </c>
      <c r="G133">
        <v>216000</v>
      </c>
      <c r="H133">
        <v>95000</v>
      </c>
      <c r="I133">
        <v>180000</v>
      </c>
      <c r="J133" t="s">
        <v>191</v>
      </c>
      <c r="K133" t="s">
        <v>31</v>
      </c>
      <c r="L133" t="s">
        <v>44</v>
      </c>
      <c r="M133" t="s">
        <v>54</v>
      </c>
      <c r="N133" t="s">
        <v>131</v>
      </c>
      <c r="O133" t="s">
        <v>393</v>
      </c>
      <c r="P133">
        <v>8</v>
      </c>
      <c r="Q133">
        <v>78</v>
      </c>
      <c r="R133">
        <v>29</v>
      </c>
      <c r="S133">
        <v>6.8</v>
      </c>
      <c r="T133">
        <v>2026</v>
      </c>
      <c r="U133">
        <v>1</v>
      </c>
      <c r="V133">
        <v>1</v>
      </c>
      <c r="W133" t="s">
        <v>47</v>
      </c>
      <c r="X133" t="s">
        <v>64</v>
      </c>
      <c r="Y133" t="s">
        <v>38</v>
      </c>
    </row>
    <row r="134" spans="1:25" x14ac:dyDescent="0.35">
      <c r="A134" t="s">
        <v>394</v>
      </c>
      <c r="B134" t="s">
        <v>26</v>
      </c>
      <c r="C134" t="s">
        <v>27</v>
      </c>
      <c r="D134" t="s">
        <v>28</v>
      </c>
      <c r="E134">
        <v>4</v>
      </c>
      <c r="F134" t="s">
        <v>41</v>
      </c>
      <c r="G134">
        <v>193000</v>
      </c>
      <c r="H134">
        <v>155000</v>
      </c>
      <c r="I134">
        <v>290000</v>
      </c>
      <c r="J134" t="s">
        <v>129</v>
      </c>
      <c r="K134" t="s">
        <v>130</v>
      </c>
      <c r="L134" t="s">
        <v>44</v>
      </c>
      <c r="M134" t="s">
        <v>61</v>
      </c>
      <c r="N134" t="s">
        <v>76</v>
      </c>
      <c r="O134" t="s">
        <v>395</v>
      </c>
      <c r="P134">
        <v>15</v>
      </c>
      <c r="Q134">
        <v>96</v>
      </c>
      <c r="R134">
        <v>15.1</v>
      </c>
      <c r="S134">
        <v>7.8</v>
      </c>
      <c r="T134">
        <v>2025</v>
      </c>
      <c r="U134">
        <v>4</v>
      </c>
      <c r="V134">
        <v>1</v>
      </c>
      <c r="W134" t="s">
        <v>47</v>
      </c>
      <c r="X134" t="s">
        <v>37</v>
      </c>
      <c r="Y134" t="s">
        <v>48</v>
      </c>
    </row>
    <row r="135" spans="1:25" x14ac:dyDescent="0.35">
      <c r="A135" t="s">
        <v>396</v>
      </c>
      <c r="B135" t="s">
        <v>79</v>
      </c>
      <c r="C135" t="s">
        <v>80</v>
      </c>
      <c r="D135" t="s">
        <v>74</v>
      </c>
      <c r="E135">
        <v>9</v>
      </c>
      <c r="F135" t="s">
        <v>128</v>
      </c>
      <c r="G135">
        <v>140000</v>
      </c>
      <c r="H135">
        <v>140000</v>
      </c>
      <c r="I135">
        <v>260000</v>
      </c>
      <c r="J135" t="s">
        <v>170</v>
      </c>
      <c r="K135" t="s">
        <v>171</v>
      </c>
      <c r="L135" t="s">
        <v>44</v>
      </c>
      <c r="M135" t="s">
        <v>33</v>
      </c>
      <c r="N135" t="s">
        <v>34</v>
      </c>
      <c r="O135" t="s">
        <v>397</v>
      </c>
      <c r="P135">
        <v>16.8</v>
      </c>
      <c r="Q135">
        <v>80</v>
      </c>
      <c r="R135">
        <v>8.4</v>
      </c>
      <c r="S135">
        <v>8.9</v>
      </c>
      <c r="T135">
        <v>2026</v>
      </c>
      <c r="U135">
        <v>1</v>
      </c>
      <c r="V135">
        <v>0</v>
      </c>
      <c r="W135" t="s">
        <v>47</v>
      </c>
      <c r="X135" t="s">
        <v>64</v>
      </c>
      <c r="Y135" t="s">
        <v>95</v>
      </c>
    </row>
    <row r="136" spans="1:25" x14ac:dyDescent="0.35">
      <c r="A136" t="s">
        <v>398</v>
      </c>
      <c r="B136" t="s">
        <v>26</v>
      </c>
      <c r="C136" t="s">
        <v>27</v>
      </c>
      <c r="D136" t="s">
        <v>74</v>
      </c>
      <c r="E136">
        <v>5</v>
      </c>
      <c r="F136" t="s">
        <v>51</v>
      </c>
      <c r="G136">
        <v>155000</v>
      </c>
      <c r="H136">
        <v>155000</v>
      </c>
      <c r="I136">
        <v>290000</v>
      </c>
      <c r="J136" t="s">
        <v>191</v>
      </c>
      <c r="K136" t="s">
        <v>31</v>
      </c>
      <c r="L136" t="s">
        <v>32</v>
      </c>
      <c r="M136" t="s">
        <v>33</v>
      </c>
      <c r="N136" t="s">
        <v>34</v>
      </c>
      <c r="O136" t="s">
        <v>399</v>
      </c>
      <c r="P136">
        <v>9.1999999999999993</v>
      </c>
      <c r="Q136">
        <v>96</v>
      </c>
      <c r="R136">
        <v>68.3</v>
      </c>
      <c r="S136">
        <v>7.3</v>
      </c>
      <c r="T136">
        <v>2026</v>
      </c>
      <c r="U136">
        <v>1</v>
      </c>
      <c r="V136">
        <v>0</v>
      </c>
      <c r="W136" t="s">
        <v>36</v>
      </c>
      <c r="X136" t="s">
        <v>37</v>
      </c>
      <c r="Y136" t="s">
        <v>48</v>
      </c>
    </row>
    <row r="137" spans="1:25" x14ac:dyDescent="0.35">
      <c r="A137" t="s">
        <v>400</v>
      </c>
      <c r="B137" t="s">
        <v>91</v>
      </c>
      <c r="C137" t="s">
        <v>27</v>
      </c>
      <c r="D137" t="s">
        <v>81</v>
      </c>
      <c r="E137">
        <v>7</v>
      </c>
      <c r="F137" t="s">
        <v>51</v>
      </c>
      <c r="G137">
        <v>145000</v>
      </c>
      <c r="H137">
        <v>145000</v>
      </c>
      <c r="I137">
        <v>290000</v>
      </c>
      <c r="J137" t="s">
        <v>142</v>
      </c>
      <c r="K137" t="s">
        <v>143</v>
      </c>
      <c r="L137" t="s">
        <v>44</v>
      </c>
      <c r="M137" t="s">
        <v>33</v>
      </c>
      <c r="N137" t="s">
        <v>124</v>
      </c>
      <c r="O137" t="s">
        <v>401</v>
      </c>
      <c r="P137">
        <v>7.5</v>
      </c>
      <c r="Q137">
        <v>91</v>
      </c>
      <c r="R137">
        <v>72.2</v>
      </c>
      <c r="S137">
        <v>9</v>
      </c>
      <c r="T137">
        <v>2025</v>
      </c>
      <c r="U137">
        <v>7</v>
      </c>
      <c r="V137">
        <v>0</v>
      </c>
      <c r="W137" t="s">
        <v>47</v>
      </c>
      <c r="X137" t="s">
        <v>64</v>
      </c>
      <c r="Y137" t="s">
        <v>95</v>
      </c>
    </row>
    <row r="138" spans="1:25" x14ac:dyDescent="0.35">
      <c r="A138" t="s">
        <v>402</v>
      </c>
      <c r="B138" t="s">
        <v>203</v>
      </c>
      <c r="C138" t="s">
        <v>169</v>
      </c>
      <c r="D138" t="s">
        <v>74</v>
      </c>
      <c r="E138">
        <v>2</v>
      </c>
      <c r="F138" t="s">
        <v>51</v>
      </c>
      <c r="G138">
        <v>138000</v>
      </c>
      <c r="H138">
        <v>138000</v>
      </c>
      <c r="I138">
        <v>195000</v>
      </c>
      <c r="J138" t="s">
        <v>42</v>
      </c>
      <c r="K138" t="s">
        <v>43</v>
      </c>
      <c r="L138" t="s">
        <v>53</v>
      </c>
      <c r="M138" t="s">
        <v>45</v>
      </c>
      <c r="N138" t="s">
        <v>88</v>
      </c>
      <c r="O138" t="s">
        <v>403</v>
      </c>
      <c r="P138">
        <v>8.4</v>
      </c>
      <c r="Q138">
        <v>92</v>
      </c>
      <c r="R138">
        <v>16.2</v>
      </c>
      <c r="S138">
        <v>6.3</v>
      </c>
      <c r="T138">
        <v>2025</v>
      </c>
      <c r="U138">
        <v>1</v>
      </c>
      <c r="V138">
        <v>0</v>
      </c>
      <c r="W138" t="s">
        <v>47</v>
      </c>
      <c r="X138" t="s">
        <v>64</v>
      </c>
      <c r="Y138" t="s">
        <v>95</v>
      </c>
    </row>
    <row r="139" spans="1:25" x14ac:dyDescent="0.35">
      <c r="A139" t="s">
        <v>404</v>
      </c>
      <c r="B139" t="s">
        <v>127</v>
      </c>
      <c r="C139" t="s">
        <v>27</v>
      </c>
      <c r="D139" t="s">
        <v>28</v>
      </c>
      <c r="E139">
        <v>9</v>
      </c>
      <c r="F139" t="s">
        <v>51</v>
      </c>
      <c r="G139">
        <v>241000</v>
      </c>
      <c r="H139">
        <v>120000</v>
      </c>
      <c r="I139">
        <v>280000</v>
      </c>
      <c r="J139" t="s">
        <v>137</v>
      </c>
      <c r="K139" t="s">
        <v>138</v>
      </c>
      <c r="L139" t="s">
        <v>53</v>
      </c>
      <c r="M139" t="s">
        <v>54</v>
      </c>
      <c r="N139" t="s">
        <v>71</v>
      </c>
      <c r="O139" t="s">
        <v>405</v>
      </c>
      <c r="P139">
        <v>9.6</v>
      </c>
      <c r="Q139">
        <v>97</v>
      </c>
      <c r="R139">
        <v>38.9</v>
      </c>
      <c r="S139">
        <v>8.1999999999999993</v>
      </c>
      <c r="T139">
        <v>2026</v>
      </c>
      <c r="U139">
        <v>3</v>
      </c>
      <c r="V139">
        <v>1</v>
      </c>
      <c r="W139" t="s">
        <v>47</v>
      </c>
      <c r="X139" t="s">
        <v>64</v>
      </c>
      <c r="Y139" t="s">
        <v>38</v>
      </c>
    </row>
    <row r="140" spans="1:25" x14ac:dyDescent="0.35">
      <c r="A140" t="s">
        <v>406</v>
      </c>
      <c r="B140" t="s">
        <v>146</v>
      </c>
      <c r="C140" t="s">
        <v>27</v>
      </c>
      <c r="D140" t="s">
        <v>68</v>
      </c>
      <c r="E140">
        <v>3</v>
      </c>
      <c r="F140" t="s">
        <v>29</v>
      </c>
      <c r="G140">
        <v>354000</v>
      </c>
      <c r="H140">
        <v>160000</v>
      </c>
      <c r="I140">
        <v>300000</v>
      </c>
      <c r="J140" t="s">
        <v>52</v>
      </c>
      <c r="K140" t="s">
        <v>31</v>
      </c>
      <c r="L140" t="s">
        <v>53</v>
      </c>
      <c r="M140" t="s">
        <v>82</v>
      </c>
      <c r="N140" t="s">
        <v>62</v>
      </c>
      <c r="O140" t="s">
        <v>407</v>
      </c>
      <c r="P140">
        <v>15</v>
      </c>
      <c r="Q140">
        <v>90</v>
      </c>
      <c r="R140">
        <v>9.1</v>
      </c>
      <c r="S140">
        <v>9.6</v>
      </c>
      <c r="T140">
        <v>2026</v>
      </c>
      <c r="U140">
        <v>3</v>
      </c>
      <c r="V140">
        <v>1</v>
      </c>
      <c r="W140" t="s">
        <v>47</v>
      </c>
      <c r="X140" t="s">
        <v>64</v>
      </c>
      <c r="Y140" t="s">
        <v>56</v>
      </c>
    </row>
    <row r="141" spans="1:25" x14ac:dyDescent="0.35">
      <c r="A141" t="s">
        <v>408</v>
      </c>
      <c r="B141" t="s">
        <v>224</v>
      </c>
      <c r="C141" t="s">
        <v>27</v>
      </c>
      <c r="D141" t="s">
        <v>81</v>
      </c>
      <c r="E141">
        <v>4</v>
      </c>
      <c r="F141" t="s">
        <v>128</v>
      </c>
      <c r="G141">
        <v>219000</v>
      </c>
      <c r="H141">
        <v>145000</v>
      </c>
      <c r="I141">
        <v>280000</v>
      </c>
      <c r="J141" t="s">
        <v>75</v>
      </c>
      <c r="K141" t="s">
        <v>31</v>
      </c>
      <c r="L141" t="s">
        <v>44</v>
      </c>
      <c r="M141" t="s">
        <v>82</v>
      </c>
      <c r="N141" t="s">
        <v>88</v>
      </c>
      <c r="O141" t="s">
        <v>409</v>
      </c>
      <c r="P141">
        <v>5.5</v>
      </c>
      <c r="Q141">
        <v>87</v>
      </c>
      <c r="R141">
        <v>17.5</v>
      </c>
      <c r="S141">
        <v>8.1999999999999993</v>
      </c>
      <c r="T141">
        <v>2025</v>
      </c>
      <c r="U141">
        <v>5</v>
      </c>
      <c r="V141">
        <v>0</v>
      </c>
      <c r="W141" t="s">
        <v>47</v>
      </c>
      <c r="X141" t="s">
        <v>64</v>
      </c>
      <c r="Y141" t="s">
        <v>38</v>
      </c>
    </row>
    <row r="142" spans="1:25" x14ac:dyDescent="0.35">
      <c r="A142" t="s">
        <v>410</v>
      </c>
      <c r="B142" t="s">
        <v>233</v>
      </c>
      <c r="C142" t="s">
        <v>180</v>
      </c>
      <c r="D142" t="s">
        <v>74</v>
      </c>
      <c r="E142">
        <v>3</v>
      </c>
      <c r="F142" t="s">
        <v>29</v>
      </c>
      <c r="G142">
        <v>176000</v>
      </c>
      <c r="H142">
        <v>100000</v>
      </c>
      <c r="I142">
        <v>200000</v>
      </c>
      <c r="J142" t="s">
        <v>30</v>
      </c>
      <c r="K142" t="s">
        <v>31</v>
      </c>
      <c r="L142" t="s">
        <v>32</v>
      </c>
      <c r="M142" t="s">
        <v>54</v>
      </c>
      <c r="N142" t="s">
        <v>131</v>
      </c>
      <c r="O142" t="s">
        <v>411</v>
      </c>
      <c r="P142">
        <v>17.600000000000001</v>
      </c>
      <c r="Q142">
        <v>68</v>
      </c>
      <c r="R142">
        <v>5.9</v>
      </c>
      <c r="S142">
        <v>9.1</v>
      </c>
      <c r="T142">
        <v>2026</v>
      </c>
      <c r="U142">
        <v>3</v>
      </c>
      <c r="V142">
        <v>0</v>
      </c>
      <c r="W142" t="s">
        <v>36</v>
      </c>
      <c r="X142" t="s">
        <v>64</v>
      </c>
      <c r="Y142" t="s">
        <v>48</v>
      </c>
    </row>
    <row r="143" spans="1:25" x14ac:dyDescent="0.35">
      <c r="A143" t="s">
        <v>412</v>
      </c>
      <c r="B143" t="s">
        <v>40</v>
      </c>
      <c r="C143" t="s">
        <v>27</v>
      </c>
      <c r="D143" t="s">
        <v>81</v>
      </c>
      <c r="E143">
        <v>3</v>
      </c>
      <c r="F143" t="s">
        <v>69</v>
      </c>
      <c r="G143">
        <v>112000</v>
      </c>
      <c r="H143">
        <v>90000</v>
      </c>
      <c r="I143">
        <v>200000</v>
      </c>
      <c r="J143" t="s">
        <v>42</v>
      </c>
      <c r="K143" t="s">
        <v>43</v>
      </c>
      <c r="L143" t="s">
        <v>53</v>
      </c>
      <c r="M143" t="s">
        <v>82</v>
      </c>
      <c r="N143" t="s">
        <v>155</v>
      </c>
      <c r="O143" t="s">
        <v>413</v>
      </c>
      <c r="P143">
        <v>9.6999999999999993</v>
      </c>
      <c r="Q143">
        <v>82</v>
      </c>
      <c r="R143">
        <v>6.7</v>
      </c>
      <c r="S143">
        <v>7.8</v>
      </c>
      <c r="T143">
        <v>2025</v>
      </c>
      <c r="U143">
        <v>5</v>
      </c>
      <c r="V143">
        <v>0</v>
      </c>
      <c r="W143" t="s">
        <v>47</v>
      </c>
      <c r="X143" t="s">
        <v>37</v>
      </c>
      <c r="Y143" t="s">
        <v>95</v>
      </c>
    </row>
    <row r="144" spans="1:25" x14ac:dyDescent="0.35">
      <c r="A144" t="s">
        <v>414</v>
      </c>
      <c r="B144" t="s">
        <v>66</v>
      </c>
      <c r="C144" t="s">
        <v>67</v>
      </c>
      <c r="D144" t="s">
        <v>68</v>
      </c>
      <c r="E144">
        <v>6</v>
      </c>
      <c r="F144" t="s">
        <v>41</v>
      </c>
      <c r="G144">
        <v>312000</v>
      </c>
      <c r="H144">
        <v>140000</v>
      </c>
      <c r="I144">
        <v>260000</v>
      </c>
      <c r="J144" t="s">
        <v>52</v>
      </c>
      <c r="K144" t="s">
        <v>31</v>
      </c>
      <c r="L144" t="s">
        <v>32</v>
      </c>
      <c r="M144" t="s">
        <v>54</v>
      </c>
      <c r="N144" t="s">
        <v>71</v>
      </c>
      <c r="O144" t="s">
        <v>415</v>
      </c>
      <c r="P144">
        <v>17.3</v>
      </c>
      <c r="Q144">
        <v>85</v>
      </c>
      <c r="R144">
        <v>5.6</v>
      </c>
      <c r="S144">
        <v>8.1</v>
      </c>
      <c r="T144">
        <v>2026</v>
      </c>
      <c r="U144">
        <v>3</v>
      </c>
      <c r="V144">
        <v>1</v>
      </c>
      <c r="W144" t="s">
        <v>36</v>
      </c>
      <c r="X144" t="s">
        <v>64</v>
      </c>
      <c r="Y144" t="s">
        <v>56</v>
      </c>
    </row>
    <row r="145" spans="1:25" x14ac:dyDescent="0.35">
      <c r="A145" t="s">
        <v>416</v>
      </c>
      <c r="B145" t="s">
        <v>196</v>
      </c>
      <c r="C145" t="s">
        <v>27</v>
      </c>
      <c r="D145" t="s">
        <v>68</v>
      </c>
      <c r="E145">
        <v>6</v>
      </c>
      <c r="F145" t="s">
        <v>128</v>
      </c>
      <c r="G145">
        <v>172000</v>
      </c>
      <c r="H145">
        <v>100000</v>
      </c>
      <c r="I145">
        <v>250000</v>
      </c>
      <c r="J145" t="s">
        <v>113</v>
      </c>
      <c r="K145" t="s">
        <v>114</v>
      </c>
      <c r="L145" t="s">
        <v>32</v>
      </c>
      <c r="M145" t="s">
        <v>33</v>
      </c>
      <c r="N145" t="s">
        <v>34</v>
      </c>
      <c r="O145" t="s">
        <v>417</v>
      </c>
      <c r="P145">
        <v>10.3</v>
      </c>
      <c r="Q145">
        <v>95</v>
      </c>
      <c r="R145">
        <v>76.7</v>
      </c>
      <c r="S145">
        <v>7.6</v>
      </c>
      <c r="T145">
        <v>2026</v>
      </c>
      <c r="U145">
        <v>2</v>
      </c>
      <c r="V145">
        <v>1</v>
      </c>
      <c r="W145" t="s">
        <v>36</v>
      </c>
      <c r="X145" t="s">
        <v>64</v>
      </c>
      <c r="Y145" t="s">
        <v>48</v>
      </c>
    </row>
    <row r="146" spans="1:25" x14ac:dyDescent="0.35">
      <c r="A146" t="s">
        <v>418</v>
      </c>
      <c r="B146" t="s">
        <v>134</v>
      </c>
      <c r="C146" t="s">
        <v>27</v>
      </c>
      <c r="D146" t="s">
        <v>74</v>
      </c>
      <c r="E146">
        <v>8</v>
      </c>
      <c r="F146" t="s">
        <v>51</v>
      </c>
      <c r="G146">
        <v>190000</v>
      </c>
      <c r="H146">
        <v>150000</v>
      </c>
      <c r="I146">
        <v>295000</v>
      </c>
      <c r="J146" t="s">
        <v>52</v>
      </c>
      <c r="K146" t="s">
        <v>31</v>
      </c>
      <c r="L146" t="s">
        <v>53</v>
      </c>
      <c r="M146" t="s">
        <v>54</v>
      </c>
      <c r="N146" t="s">
        <v>76</v>
      </c>
      <c r="O146" t="s">
        <v>419</v>
      </c>
      <c r="P146">
        <v>15.4</v>
      </c>
      <c r="Q146">
        <v>95</v>
      </c>
      <c r="R146">
        <v>38.200000000000003</v>
      </c>
      <c r="S146">
        <v>7</v>
      </c>
      <c r="T146">
        <v>2025</v>
      </c>
      <c r="U146">
        <v>4</v>
      </c>
      <c r="V146">
        <v>0</v>
      </c>
      <c r="W146" t="s">
        <v>47</v>
      </c>
      <c r="X146" t="s">
        <v>37</v>
      </c>
      <c r="Y146" t="s">
        <v>48</v>
      </c>
    </row>
    <row r="147" spans="1:25" x14ac:dyDescent="0.35">
      <c r="A147" t="s">
        <v>420</v>
      </c>
      <c r="B147" t="s">
        <v>168</v>
      </c>
      <c r="C147" t="s">
        <v>169</v>
      </c>
      <c r="D147" t="s">
        <v>81</v>
      </c>
      <c r="E147">
        <v>12</v>
      </c>
      <c r="F147" t="s">
        <v>41</v>
      </c>
      <c r="G147">
        <v>157000</v>
      </c>
      <c r="H147">
        <v>157000</v>
      </c>
      <c r="I147">
        <v>218000</v>
      </c>
      <c r="J147" t="s">
        <v>92</v>
      </c>
      <c r="K147" t="s">
        <v>93</v>
      </c>
      <c r="L147" t="s">
        <v>32</v>
      </c>
      <c r="M147" t="s">
        <v>33</v>
      </c>
      <c r="N147" t="s">
        <v>34</v>
      </c>
      <c r="O147" t="s">
        <v>421</v>
      </c>
      <c r="P147">
        <v>8.6999999999999993</v>
      </c>
      <c r="Q147">
        <v>90</v>
      </c>
      <c r="R147">
        <v>12.6</v>
      </c>
      <c r="S147">
        <v>8.6999999999999993</v>
      </c>
      <c r="T147">
        <v>2026</v>
      </c>
      <c r="U147">
        <v>1</v>
      </c>
      <c r="V147">
        <v>0</v>
      </c>
      <c r="W147" t="s">
        <v>36</v>
      </c>
      <c r="X147" t="s">
        <v>64</v>
      </c>
      <c r="Y147" t="s">
        <v>48</v>
      </c>
    </row>
    <row r="148" spans="1:25" x14ac:dyDescent="0.35">
      <c r="A148" t="s">
        <v>422</v>
      </c>
      <c r="B148" t="s">
        <v>66</v>
      </c>
      <c r="C148" t="s">
        <v>67</v>
      </c>
      <c r="D148" t="s">
        <v>81</v>
      </c>
      <c r="E148">
        <v>4</v>
      </c>
      <c r="F148" t="s">
        <v>128</v>
      </c>
      <c r="G148">
        <v>180000</v>
      </c>
      <c r="H148">
        <v>140000</v>
      </c>
      <c r="I148">
        <v>260000</v>
      </c>
      <c r="J148" t="s">
        <v>191</v>
      </c>
      <c r="K148" t="s">
        <v>31</v>
      </c>
      <c r="L148" t="s">
        <v>32</v>
      </c>
      <c r="M148" t="s">
        <v>33</v>
      </c>
      <c r="N148" t="s">
        <v>71</v>
      </c>
      <c r="O148" t="s">
        <v>423</v>
      </c>
      <c r="P148">
        <v>9</v>
      </c>
      <c r="Q148">
        <v>85</v>
      </c>
      <c r="R148">
        <v>24.8</v>
      </c>
      <c r="S148">
        <v>6.5</v>
      </c>
      <c r="T148">
        <v>2025</v>
      </c>
      <c r="U148">
        <v>4</v>
      </c>
      <c r="V148">
        <v>0</v>
      </c>
      <c r="W148" t="s">
        <v>36</v>
      </c>
      <c r="X148" t="s">
        <v>64</v>
      </c>
      <c r="Y148" t="s">
        <v>48</v>
      </c>
    </row>
    <row r="149" spans="1:25" x14ac:dyDescent="0.35">
      <c r="A149" t="s">
        <v>424</v>
      </c>
      <c r="B149" t="s">
        <v>168</v>
      </c>
      <c r="C149" t="s">
        <v>169</v>
      </c>
      <c r="D149" t="s">
        <v>28</v>
      </c>
      <c r="E149">
        <v>9</v>
      </c>
      <c r="F149" t="s">
        <v>41</v>
      </c>
      <c r="G149">
        <v>261600</v>
      </c>
      <c r="H149">
        <v>157000</v>
      </c>
      <c r="I149">
        <v>218000</v>
      </c>
      <c r="J149" t="s">
        <v>70</v>
      </c>
      <c r="K149" t="s">
        <v>31</v>
      </c>
      <c r="L149" t="s">
        <v>32</v>
      </c>
      <c r="M149" t="s">
        <v>45</v>
      </c>
      <c r="N149" t="s">
        <v>83</v>
      </c>
      <c r="O149" t="s">
        <v>425</v>
      </c>
      <c r="P149">
        <v>9.6</v>
      </c>
      <c r="Q149">
        <v>90</v>
      </c>
      <c r="R149">
        <v>6.3</v>
      </c>
      <c r="S149">
        <v>9.5</v>
      </c>
      <c r="T149">
        <v>2026</v>
      </c>
      <c r="U149">
        <v>3</v>
      </c>
      <c r="V149">
        <v>1</v>
      </c>
      <c r="W149" t="s">
        <v>36</v>
      </c>
      <c r="X149" t="s">
        <v>64</v>
      </c>
      <c r="Y149" t="s">
        <v>38</v>
      </c>
    </row>
    <row r="150" spans="1:25" x14ac:dyDescent="0.35">
      <c r="A150" t="s">
        <v>426</v>
      </c>
      <c r="B150" t="s">
        <v>50</v>
      </c>
      <c r="C150" t="s">
        <v>27</v>
      </c>
      <c r="D150" t="s">
        <v>68</v>
      </c>
      <c r="E150">
        <v>3</v>
      </c>
      <c r="F150" t="s">
        <v>69</v>
      </c>
      <c r="G150">
        <v>238000</v>
      </c>
      <c r="H150">
        <v>160000</v>
      </c>
      <c r="I150">
        <v>300000</v>
      </c>
      <c r="J150" t="s">
        <v>47</v>
      </c>
      <c r="K150" t="s">
        <v>87</v>
      </c>
      <c r="L150" t="s">
        <v>44</v>
      </c>
      <c r="M150" t="s">
        <v>33</v>
      </c>
      <c r="N150" t="s">
        <v>165</v>
      </c>
      <c r="O150" t="s">
        <v>427</v>
      </c>
      <c r="P150">
        <v>7.5</v>
      </c>
      <c r="Q150">
        <v>98</v>
      </c>
      <c r="R150">
        <v>51.4</v>
      </c>
      <c r="S150">
        <v>9.4</v>
      </c>
      <c r="T150">
        <v>2026</v>
      </c>
      <c r="U150">
        <v>1</v>
      </c>
      <c r="V150">
        <v>1</v>
      </c>
      <c r="W150" t="s">
        <v>47</v>
      </c>
      <c r="X150" t="s">
        <v>37</v>
      </c>
      <c r="Y150" t="s">
        <v>38</v>
      </c>
    </row>
    <row r="151" spans="1:25" x14ac:dyDescent="0.35">
      <c r="A151" t="s">
        <v>428</v>
      </c>
      <c r="B151" t="s">
        <v>224</v>
      </c>
      <c r="C151" t="s">
        <v>27</v>
      </c>
      <c r="D151" t="s">
        <v>68</v>
      </c>
      <c r="E151">
        <v>6</v>
      </c>
      <c r="F151" t="s">
        <v>29</v>
      </c>
      <c r="G151">
        <v>238000</v>
      </c>
      <c r="H151">
        <v>145000</v>
      </c>
      <c r="I151">
        <v>280000</v>
      </c>
      <c r="J151" t="s">
        <v>137</v>
      </c>
      <c r="K151" t="s">
        <v>138</v>
      </c>
      <c r="L151" t="s">
        <v>44</v>
      </c>
      <c r="M151" t="s">
        <v>61</v>
      </c>
      <c r="N151" t="s">
        <v>76</v>
      </c>
      <c r="O151" t="s">
        <v>429</v>
      </c>
      <c r="P151">
        <v>3.2</v>
      </c>
      <c r="Q151">
        <v>87</v>
      </c>
      <c r="R151">
        <v>19.899999999999999</v>
      </c>
      <c r="S151">
        <v>6.1</v>
      </c>
      <c r="T151">
        <v>2026</v>
      </c>
      <c r="U151">
        <v>2</v>
      </c>
      <c r="V151">
        <v>1</v>
      </c>
      <c r="W151" t="s">
        <v>47</v>
      </c>
      <c r="X151" t="s">
        <v>64</v>
      </c>
      <c r="Y151" t="s">
        <v>38</v>
      </c>
    </row>
    <row r="152" spans="1:25" x14ac:dyDescent="0.35">
      <c r="A152" t="s">
        <v>430</v>
      </c>
      <c r="B152" t="s">
        <v>127</v>
      </c>
      <c r="C152" t="s">
        <v>27</v>
      </c>
      <c r="D152" t="s">
        <v>28</v>
      </c>
      <c r="E152">
        <v>5</v>
      </c>
      <c r="F152" t="s">
        <v>51</v>
      </c>
      <c r="G152">
        <v>313000</v>
      </c>
      <c r="H152">
        <v>120000</v>
      </c>
      <c r="I152">
        <v>280000</v>
      </c>
      <c r="J152" t="s">
        <v>47</v>
      </c>
      <c r="K152" t="s">
        <v>87</v>
      </c>
      <c r="L152" t="s">
        <v>53</v>
      </c>
      <c r="M152" t="s">
        <v>54</v>
      </c>
      <c r="N152" t="s">
        <v>83</v>
      </c>
      <c r="O152" t="s">
        <v>431</v>
      </c>
      <c r="P152">
        <v>17.899999999999999</v>
      </c>
      <c r="Q152">
        <v>97</v>
      </c>
      <c r="R152">
        <v>27.7</v>
      </c>
      <c r="S152">
        <v>6.9</v>
      </c>
      <c r="T152">
        <v>2025</v>
      </c>
      <c r="U152">
        <v>12</v>
      </c>
      <c r="V152">
        <v>1</v>
      </c>
      <c r="W152" t="s">
        <v>47</v>
      </c>
      <c r="X152" t="s">
        <v>64</v>
      </c>
      <c r="Y152" t="s">
        <v>56</v>
      </c>
    </row>
    <row r="153" spans="1:25" x14ac:dyDescent="0.35">
      <c r="A153" t="s">
        <v>432</v>
      </c>
      <c r="B153" t="s">
        <v>185</v>
      </c>
      <c r="C153" t="s">
        <v>186</v>
      </c>
      <c r="D153" t="s">
        <v>74</v>
      </c>
      <c r="E153">
        <v>7</v>
      </c>
      <c r="F153" t="s">
        <v>128</v>
      </c>
      <c r="G153">
        <v>217000</v>
      </c>
      <c r="H153">
        <v>140000</v>
      </c>
      <c r="I153">
        <v>270000</v>
      </c>
      <c r="J153" t="s">
        <v>60</v>
      </c>
      <c r="K153" t="s">
        <v>60</v>
      </c>
      <c r="L153" t="s">
        <v>32</v>
      </c>
      <c r="M153" t="s">
        <v>54</v>
      </c>
      <c r="N153" t="s">
        <v>62</v>
      </c>
      <c r="O153" t="s">
        <v>433</v>
      </c>
      <c r="P153">
        <v>10.3</v>
      </c>
      <c r="Q153">
        <v>85</v>
      </c>
      <c r="R153">
        <v>10.5</v>
      </c>
      <c r="S153">
        <v>8</v>
      </c>
      <c r="T153">
        <v>2025</v>
      </c>
      <c r="U153">
        <v>10</v>
      </c>
      <c r="V153">
        <v>0</v>
      </c>
      <c r="W153" t="s">
        <v>36</v>
      </c>
      <c r="X153" t="s">
        <v>64</v>
      </c>
      <c r="Y153" t="s">
        <v>38</v>
      </c>
    </row>
    <row r="154" spans="1:25" x14ac:dyDescent="0.35">
      <c r="A154" t="s">
        <v>434</v>
      </c>
      <c r="B154" t="s">
        <v>141</v>
      </c>
      <c r="C154" t="s">
        <v>27</v>
      </c>
      <c r="D154" t="s">
        <v>81</v>
      </c>
      <c r="E154">
        <v>5</v>
      </c>
      <c r="F154" t="s">
        <v>128</v>
      </c>
      <c r="G154">
        <v>197000</v>
      </c>
      <c r="H154">
        <v>141000</v>
      </c>
      <c r="I154">
        <v>270000</v>
      </c>
      <c r="J154" t="s">
        <v>191</v>
      </c>
      <c r="K154" t="s">
        <v>31</v>
      </c>
      <c r="L154" t="s">
        <v>44</v>
      </c>
      <c r="M154" t="s">
        <v>82</v>
      </c>
      <c r="N154" t="s">
        <v>83</v>
      </c>
      <c r="O154" t="s">
        <v>435</v>
      </c>
      <c r="P154">
        <v>4</v>
      </c>
      <c r="Q154">
        <v>89</v>
      </c>
      <c r="R154">
        <v>8.9</v>
      </c>
      <c r="S154">
        <v>9.6</v>
      </c>
      <c r="T154">
        <v>2026</v>
      </c>
      <c r="U154">
        <v>2</v>
      </c>
      <c r="V154">
        <v>0</v>
      </c>
      <c r="W154" t="s">
        <v>47</v>
      </c>
      <c r="X154" t="s">
        <v>64</v>
      </c>
      <c r="Y154" t="s">
        <v>48</v>
      </c>
    </row>
    <row r="155" spans="1:25" x14ac:dyDescent="0.35">
      <c r="A155" t="s">
        <v>436</v>
      </c>
      <c r="B155" t="s">
        <v>26</v>
      </c>
      <c r="C155" t="s">
        <v>27</v>
      </c>
      <c r="D155" t="s">
        <v>28</v>
      </c>
      <c r="E155">
        <v>3</v>
      </c>
      <c r="F155" t="s">
        <v>29</v>
      </c>
      <c r="G155">
        <v>214000</v>
      </c>
      <c r="H155">
        <v>155000</v>
      </c>
      <c r="I155">
        <v>290000</v>
      </c>
      <c r="J155" t="s">
        <v>113</v>
      </c>
      <c r="K155" t="s">
        <v>114</v>
      </c>
      <c r="L155" t="s">
        <v>32</v>
      </c>
      <c r="M155" t="s">
        <v>61</v>
      </c>
      <c r="N155" t="s">
        <v>165</v>
      </c>
      <c r="O155" t="s">
        <v>437</v>
      </c>
      <c r="P155">
        <v>13.7</v>
      </c>
      <c r="Q155">
        <v>96</v>
      </c>
      <c r="R155">
        <v>83.4</v>
      </c>
      <c r="S155">
        <v>6.5</v>
      </c>
      <c r="T155">
        <v>2026</v>
      </c>
      <c r="U155">
        <v>1</v>
      </c>
      <c r="V155">
        <v>1</v>
      </c>
      <c r="W155" t="s">
        <v>36</v>
      </c>
      <c r="X155" t="s">
        <v>37</v>
      </c>
      <c r="Y155" t="s">
        <v>38</v>
      </c>
    </row>
    <row r="156" spans="1:25" x14ac:dyDescent="0.35">
      <c r="A156" t="s">
        <v>438</v>
      </c>
      <c r="B156" t="s">
        <v>58</v>
      </c>
      <c r="C156" t="s">
        <v>59</v>
      </c>
      <c r="D156" t="s">
        <v>74</v>
      </c>
      <c r="E156">
        <v>4</v>
      </c>
      <c r="F156" t="s">
        <v>128</v>
      </c>
      <c r="G156">
        <v>130000</v>
      </c>
      <c r="H156">
        <v>130000</v>
      </c>
      <c r="I156">
        <v>220000</v>
      </c>
      <c r="J156" t="s">
        <v>113</v>
      </c>
      <c r="K156" t="s">
        <v>114</v>
      </c>
      <c r="L156" t="s">
        <v>44</v>
      </c>
      <c r="M156" t="s">
        <v>61</v>
      </c>
      <c r="N156" t="s">
        <v>62</v>
      </c>
      <c r="O156" t="s">
        <v>439</v>
      </c>
      <c r="P156">
        <v>15.3</v>
      </c>
      <c r="Q156">
        <v>88</v>
      </c>
      <c r="R156">
        <v>29.2</v>
      </c>
      <c r="S156">
        <v>9.4</v>
      </c>
      <c r="T156">
        <v>2026</v>
      </c>
      <c r="U156">
        <v>2</v>
      </c>
      <c r="V156">
        <v>0</v>
      </c>
      <c r="W156" t="s">
        <v>47</v>
      </c>
      <c r="X156" t="s">
        <v>64</v>
      </c>
      <c r="Y156" t="s">
        <v>95</v>
      </c>
    </row>
    <row r="157" spans="1:25" x14ac:dyDescent="0.35">
      <c r="A157" t="s">
        <v>440</v>
      </c>
      <c r="B157" t="s">
        <v>58</v>
      </c>
      <c r="C157" t="s">
        <v>59</v>
      </c>
      <c r="D157" t="s">
        <v>74</v>
      </c>
      <c r="E157">
        <v>6</v>
      </c>
      <c r="F157" t="s">
        <v>69</v>
      </c>
      <c r="G157">
        <v>130000</v>
      </c>
      <c r="H157">
        <v>130000</v>
      </c>
      <c r="I157">
        <v>220000</v>
      </c>
      <c r="J157" t="s">
        <v>102</v>
      </c>
      <c r="K157" t="s">
        <v>103</v>
      </c>
      <c r="L157" t="s">
        <v>53</v>
      </c>
      <c r="M157" t="s">
        <v>45</v>
      </c>
      <c r="N157" t="s">
        <v>110</v>
      </c>
      <c r="O157" t="s">
        <v>441</v>
      </c>
      <c r="P157">
        <v>8.6999999999999993</v>
      </c>
      <c r="Q157">
        <v>88</v>
      </c>
      <c r="R157">
        <v>9.3000000000000007</v>
      </c>
      <c r="S157">
        <v>7.4</v>
      </c>
      <c r="T157">
        <v>2026</v>
      </c>
      <c r="U157">
        <v>3</v>
      </c>
      <c r="V157">
        <v>0</v>
      </c>
      <c r="W157" t="s">
        <v>47</v>
      </c>
      <c r="X157" t="s">
        <v>64</v>
      </c>
      <c r="Y157" t="s">
        <v>95</v>
      </c>
    </row>
    <row r="158" spans="1:25" x14ac:dyDescent="0.35">
      <c r="A158" t="s">
        <v>442</v>
      </c>
      <c r="B158" t="s">
        <v>86</v>
      </c>
      <c r="C158" t="s">
        <v>27</v>
      </c>
      <c r="D158" t="s">
        <v>68</v>
      </c>
      <c r="E158">
        <v>7</v>
      </c>
      <c r="F158" t="s">
        <v>41</v>
      </c>
      <c r="G158">
        <v>373000</v>
      </c>
      <c r="H158">
        <v>180000</v>
      </c>
      <c r="I158">
        <v>312000</v>
      </c>
      <c r="J158" t="s">
        <v>113</v>
      </c>
      <c r="K158" t="s">
        <v>114</v>
      </c>
      <c r="L158" t="s">
        <v>44</v>
      </c>
      <c r="M158" t="s">
        <v>54</v>
      </c>
      <c r="N158" t="s">
        <v>110</v>
      </c>
      <c r="O158" t="s">
        <v>443</v>
      </c>
      <c r="P158">
        <v>11</v>
      </c>
      <c r="Q158">
        <v>96</v>
      </c>
      <c r="R158">
        <v>22</v>
      </c>
      <c r="S158">
        <v>7.5</v>
      </c>
      <c r="T158">
        <v>2026</v>
      </c>
      <c r="U158">
        <v>2</v>
      </c>
      <c r="V158">
        <v>1</v>
      </c>
      <c r="W158" t="s">
        <v>47</v>
      </c>
      <c r="X158" t="s">
        <v>64</v>
      </c>
      <c r="Y158" t="s">
        <v>56</v>
      </c>
    </row>
    <row r="159" spans="1:25" x14ac:dyDescent="0.35">
      <c r="A159" t="s">
        <v>444</v>
      </c>
      <c r="B159" t="s">
        <v>168</v>
      </c>
      <c r="C159" t="s">
        <v>169</v>
      </c>
      <c r="D159" t="s">
        <v>74</v>
      </c>
      <c r="E159">
        <v>12</v>
      </c>
      <c r="F159" t="s">
        <v>69</v>
      </c>
      <c r="G159">
        <v>157000</v>
      </c>
      <c r="H159">
        <v>157000</v>
      </c>
      <c r="I159">
        <v>218000</v>
      </c>
      <c r="J159" t="s">
        <v>296</v>
      </c>
      <c r="K159" t="s">
        <v>31</v>
      </c>
      <c r="L159" t="s">
        <v>44</v>
      </c>
      <c r="M159" t="s">
        <v>82</v>
      </c>
      <c r="N159" t="s">
        <v>34</v>
      </c>
      <c r="O159" t="s">
        <v>445</v>
      </c>
      <c r="P159">
        <v>5.8</v>
      </c>
      <c r="Q159">
        <v>90</v>
      </c>
      <c r="R159">
        <v>17.2</v>
      </c>
      <c r="S159">
        <v>8.5</v>
      </c>
      <c r="T159">
        <v>2025</v>
      </c>
      <c r="U159">
        <v>9</v>
      </c>
      <c r="V159">
        <v>0</v>
      </c>
      <c r="W159" t="s">
        <v>47</v>
      </c>
      <c r="X159" t="s">
        <v>64</v>
      </c>
      <c r="Y159" t="s">
        <v>48</v>
      </c>
    </row>
    <row r="160" spans="1:25" x14ac:dyDescent="0.35">
      <c r="A160" t="s">
        <v>446</v>
      </c>
      <c r="B160" t="s">
        <v>50</v>
      </c>
      <c r="C160" t="s">
        <v>27</v>
      </c>
      <c r="D160" t="s">
        <v>68</v>
      </c>
      <c r="E160">
        <v>2</v>
      </c>
      <c r="F160" t="s">
        <v>128</v>
      </c>
      <c r="G160">
        <v>344000</v>
      </c>
      <c r="H160">
        <v>160000</v>
      </c>
      <c r="I160">
        <v>300000</v>
      </c>
      <c r="J160" t="s">
        <v>75</v>
      </c>
      <c r="K160" t="s">
        <v>31</v>
      </c>
      <c r="L160" t="s">
        <v>44</v>
      </c>
      <c r="M160" t="s">
        <v>82</v>
      </c>
      <c r="N160" t="s">
        <v>34</v>
      </c>
      <c r="O160" t="s">
        <v>447</v>
      </c>
      <c r="P160">
        <v>8.6999999999999993</v>
      </c>
      <c r="Q160">
        <v>98</v>
      </c>
      <c r="R160">
        <v>45.2</v>
      </c>
      <c r="S160">
        <v>8.9</v>
      </c>
      <c r="T160">
        <v>2025</v>
      </c>
      <c r="U160">
        <v>1</v>
      </c>
      <c r="V160">
        <v>1</v>
      </c>
      <c r="W160" t="s">
        <v>47</v>
      </c>
      <c r="X160" t="s">
        <v>37</v>
      </c>
      <c r="Y160" t="s">
        <v>56</v>
      </c>
    </row>
    <row r="161" spans="1:25" x14ac:dyDescent="0.35">
      <c r="A161" t="s">
        <v>448</v>
      </c>
      <c r="B161" t="s">
        <v>50</v>
      </c>
      <c r="C161" t="s">
        <v>27</v>
      </c>
      <c r="D161" t="s">
        <v>68</v>
      </c>
      <c r="E161">
        <v>5</v>
      </c>
      <c r="F161" t="s">
        <v>51</v>
      </c>
      <c r="G161">
        <v>293000</v>
      </c>
      <c r="H161">
        <v>160000</v>
      </c>
      <c r="I161">
        <v>300000</v>
      </c>
      <c r="J161" t="s">
        <v>117</v>
      </c>
      <c r="K161" t="s">
        <v>118</v>
      </c>
      <c r="L161" t="s">
        <v>53</v>
      </c>
      <c r="M161" t="s">
        <v>45</v>
      </c>
      <c r="N161" t="s">
        <v>131</v>
      </c>
      <c r="O161" t="s">
        <v>449</v>
      </c>
      <c r="P161">
        <v>4.2</v>
      </c>
      <c r="Q161">
        <v>98</v>
      </c>
      <c r="R161">
        <v>30.5</v>
      </c>
      <c r="S161">
        <v>6.7</v>
      </c>
      <c r="T161">
        <v>2025</v>
      </c>
      <c r="U161">
        <v>2</v>
      </c>
      <c r="V161">
        <v>1</v>
      </c>
      <c r="W161" t="s">
        <v>47</v>
      </c>
      <c r="X161" t="s">
        <v>37</v>
      </c>
      <c r="Y161" t="s">
        <v>38</v>
      </c>
    </row>
    <row r="162" spans="1:25" x14ac:dyDescent="0.35">
      <c r="A162" t="s">
        <v>450</v>
      </c>
      <c r="B162" t="s">
        <v>146</v>
      </c>
      <c r="C162" t="s">
        <v>27</v>
      </c>
      <c r="D162" t="s">
        <v>81</v>
      </c>
      <c r="E162">
        <v>8</v>
      </c>
      <c r="F162" t="s">
        <v>51</v>
      </c>
      <c r="G162">
        <v>160000</v>
      </c>
      <c r="H162">
        <v>160000</v>
      </c>
      <c r="I162">
        <v>300000</v>
      </c>
      <c r="J162" t="s">
        <v>122</v>
      </c>
      <c r="K162" t="s">
        <v>123</v>
      </c>
      <c r="L162" t="s">
        <v>44</v>
      </c>
      <c r="M162" t="s">
        <v>61</v>
      </c>
      <c r="N162" t="s">
        <v>110</v>
      </c>
      <c r="O162" t="s">
        <v>451</v>
      </c>
      <c r="P162">
        <v>17.2</v>
      </c>
      <c r="Q162">
        <v>90</v>
      </c>
      <c r="R162">
        <v>5.3</v>
      </c>
      <c r="S162">
        <v>8.6999999999999993</v>
      </c>
      <c r="T162">
        <v>2026</v>
      </c>
      <c r="U162">
        <v>2</v>
      </c>
      <c r="V162">
        <v>0</v>
      </c>
      <c r="W162" t="s">
        <v>47</v>
      </c>
      <c r="X162" t="s">
        <v>64</v>
      </c>
      <c r="Y162" t="s">
        <v>48</v>
      </c>
    </row>
    <row r="163" spans="1:25" x14ac:dyDescent="0.35">
      <c r="A163" t="s">
        <v>452</v>
      </c>
      <c r="B163" t="s">
        <v>203</v>
      </c>
      <c r="C163" t="s">
        <v>169</v>
      </c>
      <c r="D163" t="s">
        <v>81</v>
      </c>
      <c r="E163">
        <v>8</v>
      </c>
      <c r="F163" t="s">
        <v>51</v>
      </c>
      <c r="G163">
        <v>138000</v>
      </c>
      <c r="H163">
        <v>138000</v>
      </c>
      <c r="I163">
        <v>195000</v>
      </c>
      <c r="J163" t="s">
        <v>122</v>
      </c>
      <c r="K163" t="s">
        <v>123</v>
      </c>
      <c r="L163" t="s">
        <v>44</v>
      </c>
      <c r="M163" t="s">
        <v>61</v>
      </c>
      <c r="N163" t="s">
        <v>76</v>
      </c>
      <c r="O163" t="s">
        <v>453</v>
      </c>
      <c r="P163">
        <v>7.6</v>
      </c>
      <c r="Q163">
        <v>92</v>
      </c>
      <c r="R163">
        <v>56.8</v>
      </c>
      <c r="S163">
        <v>7.8</v>
      </c>
      <c r="T163">
        <v>2025</v>
      </c>
      <c r="U163">
        <v>7</v>
      </c>
      <c r="V163">
        <v>0</v>
      </c>
      <c r="W163" t="s">
        <v>47</v>
      </c>
      <c r="X163" t="s">
        <v>64</v>
      </c>
      <c r="Y163" t="s">
        <v>95</v>
      </c>
    </row>
    <row r="164" spans="1:25" x14ac:dyDescent="0.35">
      <c r="A164" t="s">
        <v>454</v>
      </c>
      <c r="B164" t="s">
        <v>168</v>
      </c>
      <c r="C164" t="s">
        <v>169</v>
      </c>
      <c r="D164" t="s">
        <v>68</v>
      </c>
      <c r="E164">
        <v>10</v>
      </c>
      <c r="F164" t="s">
        <v>41</v>
      </c>
      <c r="G164">
        <v>157000</v>
      </c>
      <c r="H164">
        <v>157000</v>
      </c>
      <c r="I164">
        <v>218000</v>
      </c>
      <c r="J164" t="s">
        <v>108</v>
      </c>
      <c r="K164" t="s">
        <v>109</v>
      </c>
      <c r="L164" t="s">
        <v>44</v>
      </c>
      <c r="M164" t="s">
        <v>54</v>
      </c>
      <c r="N164" t="s">
        <v>110</v>
      </c>
      <c r="O164" t="s">
        <v>455</v>
      </c>
      <c r="P164">
        <v>8.9</v>
      </c>
      <c r="Q164">
        <v>90</v>
      </c>
      <c r="R164">
        <v>26.5</v>
      </c>
      <c r="S164">
        <v>8.6</v>
      </c>
      <c r="T164">
        <v>2026</v>
      </c>
      <c r="U164">
        <v>1</v>
      </c>
      <c r="V164">
        <v>1</v>
      </c>
      <c r="W164" t="s">
        <v>47</v>
      </c>
      <c r="X164" t="s">
        <v>64</v>
      </c>
      <c r="Y164" t="s">
        <v>48</v>
      </c>
    </row>
    <row r="165" spans="1:25" x14ac:dyDescent="0.35">
      <c r="A165" t="s">
        <v>456</v>
      </c>
      <c r="B165" t="s">
        <v>168</v>
      </c>
      <c r="C165" t="s">
        <v>169</v>
      </c>
      <c r="D165" t="s">
        <v>28</v>
      </c>
      <c r="E165">
        <v>6</v>
      </c>
      <c r="F165" t="s">
        <v>128</v>
      </c>
      <c r="G165">
        <v>229000</v>
      </c>
      <c r="H165">
        <v>157000</v>
      </c>
      <c r="I165">
        <v>218000</v>
      </c>
      <c r="J165" t="s">
        <v>129</v>
      </c>
      <c r="K165" t="s">
        <v>130</v>
      </c>
      <c r="L165" t="s">
        <v>44</v>
      </c>
      <c r="M165" t="s">
        <v>45</v>
      </c>
      <c r="N165" t="s">
        <v>62</v>
      </c>
      <c r="O165" t="s">
        <v>457</v>
      </c>
      <c r="P165">
        <v>4.0999999999999996</v>
      </c>
      <c r="Q165">
        <v>90</v>
      </c>
      <c r="R165">
        <v>12.8</v>
      </c>
      <c r="S165">
        <v>7.9</v>
      </c>
      <c r="T165">
        <v>2025</v>
      </c>
      <c r="U165">
        <v>9</v>
      </c>
      <c r="V165">
        <v>1</v>
      </c>
      <c r="W165" t="s">
        <v>47</v>
      </c>
      <c r="X165" t="s">
        <v>64</v>
      </c>
      <c r="Y165" t="s">
        <v>38</v>
      </c>
    </row>
    <row r="166" spans="1:25" x14ac:dyDescent="0.35">
      <c r="A166" t="s">
        <v>458</v>
      </c>
      <c r="B166" t="s">
        <v>153</v>
      </c>
      <c r="C166" t="s">
        <v>154</v>
      </c>
      <c r="D166" t="s">
        <v>81</v>
      </c>
      <c r="E166">
        <v>3</v>
      </c>
      <c r="F166" t="s">
        <v>29</v>
      </c>
      <c r="G166">
        <v>176000</v>
      </c>
      <c r="H166">
        <v>95000</v>
      </c>
      <c r="I166">
        <v>180000</v>
      </c>
      <c r="J166" t="s">
        <v>174</v>
      </c>
      <c r="K166" t="s">
        <v>31</v>
      </c>
      <c r="L166" t="s">
        <v>44</v>
      </c>
      <c r="M166" t="s">
        <v>61</v>
      </c>
      <c r="N166" t="s">
        <v>88</v>
      </c>
      <c r="O166" t="s">
        <v>459</v>
      </c>
      <c r="P166">
        <v>14.4</v>
      </c>
      <c r="Q166">
        <v>78</v>
      </c>
      <c r="R166">
        <v>8.1</v>
      </c>
      <c r="S166">
        <v>6.1</v>
      </c>
      <c r="T166">
        <v>2025</v>
      </c>
      <c r="U166">
        <v>10</v>
      </c>
      <c r="V166">
        <v>0</v>
      </c>
      <c r="W166" t="s">
        <v>47</v>
      </c>
      <c r="X166" t="s">
        <v>64</v>
      </c>
      <c r="Y166" t="s">
        <v>48</v>
      </c>
    </row>
    <row r="167" spans="1:25" x14ac:dyDescent="0.35">
      <c r="A167" t="s">
        <v>460</v>
      </c>
      <c r="B167" t="s">
        <v>100</v>
      </c>
      <c r="C167" t="s">
        <v>101</v>
      </c>
      <c r="D167" t="s">
        <v>28</v>
      </c>
      <c r="E167">
        <v>10</v>
      </c>
      <c r="F167" t="s">
        <v>128</v>
      </c>
      <c r="G167">
        <v>336000</v>
      </c>
      <c r="H167">
        <v>180000</v>
      </c>
      <c r="I167">
        <v>320000</v>
      </c>
      <c r="J167" t="s">
        <v>75</v>
      </c>
      <c r="K167" t="s">
        <v>31</v>
      </c>
      <c r="L167" t="s">
        <v>53</v>
      </c>
      <c r="M167" t="s">
        <v>45</v>
      </c>
      <c r="N167" t="s">
        <v>165</v>
      </c>
      <c r="O167" t="s">
        <v>461</v>
      </c>
      <c r="P167">
        <v>10.1</v>
      </c>
      <c r="Q167">
        <v>84</v>
      </c>
      <c r="R167">
        <v>10.5</v>
      </c>
      <c r="S167">
        <v>6.9</v>
      </c>
      <c r="T167">
        <v>2025</v>
      </c>
      <c r="U167">
        <v>11</v>
      </c>
      <c r="V167">
        <v>1</v>
      </c>
      <c r="W167" t="s">
        <v>47</v>
      </c>
      <c r="X167" t="s">
        <v>64</v>
      </c>
      <c r="Y167" t="s">
        <v>56</v>
      </c>
    </row>
    <row r="168" spans="1:25" x14ac:dyDescent="0.35">
      <c r="A168" t="s">
        <v>462</v>
      </c>
      <c r="B168" t="s">
        <v>40</v>
      </c>
      <c r="C168" t="s">
        <v>27</v>
      </c>
      <c r="D168" t="s">
        <v>74</v>
      </c>
      <c r="E168">
        <v>2</v>
      </c>
      <c r="F168" t="s">
        <v>69</v>
      </c>
      <c r="G168">
        <v>90000</v>
      </c>
      <c r="H168">
        <v>90000</v>
      </c>
      <c r="I168">
        <v>200000</v>
      </c>
      <c r="J168" t="s">
        <v>117</v>
      </c>
      <c r="K168" t="s">
        <v>118</v>
      </c>
      <c r="L168" t="s">
        <v>44</v>
      </c>
      <c r="M168" t="s">
        <v>33</v>
      </c>
      <c r="N168" t="s">
        <v>83</v>
      </c>
      <c r="O168" t="s">
        <v>463</v>
      </c>
      <c r="P168">
        <v>4.5</v>
      </c>
      <c r="Q168">
        <v>82</v>
      </c>
      <c r="R168">
        <v>12.6</v>
      </c>
      <c r="S168">
        <v>8</v>
      </c>
      <c r="T168">
        <v>2026</v>
      </c>
      <c r="U168">
        <v>3</v>
      </c>
      <c r="V168">
        <v>0</v>
      </c>
      <c r="W168" t="s">
        <v>47</v>
      </c>
      <c r="X168" t="s">
        <v>37</v>
      </c>
      <c r="Y168" t="s">
        <v>98</v>
      </c>
    </row>
    <row r="169" spans="1:25" x14ac:dyDescent="0.35">
      <c r="A169" t="s">
        <v>464</v>
      </c>
      <c r="B169" t="s">
        <v>203</v>
      </c>
      <c r="C169" t="s">
        <v>169</v>
      </c>
      <c r="D169" t="s">
        <v>28</v>
      </c>
      <c r="E169">
        <v>6</v>
      </c>
      <c r="F169" t="s">
        <v>51</v>
      </c>
      <c r="G169">
        <v>234000</v>
      </c>
      <c r="H169">
        <v>138000</v>
      </c>
      <c r="I169">
        <v>195000</v>
      </c>
      <c r="J169" t="s">
        <v>174</v>
      </c>
      <c r="K169" t="s">
        <v>31</v>
      </c>
      <c r="L169" t="s">
        <v>44</v>
      </c>
      <c r="M169" t="s">
        <v>54</v>
      </c>
      <c r="N169" t="s">
        <v>110</v>
      </c>
      <c r="O169" t="s">
        <v>465</v>
      </c>
      <c r="P169">
        <v>9.6999999999999993</v>
      </c>
      <c r="Q169">
        <v>92</v>
      </c>
      <c r="R169">
        <v>62.6</v>
      </c>
      <c r="S169">
        <v>6.7</v>
      </c>
      <c r="T169">
        <v>2026</v>
      </c>
      <c r="U169">
        <v>1</v>
      </c>
      <c r="V169">
        <v>1</v>
      </c>
      <c r="W169" t="s">
        <v>47</v>
      </c>
      <c r="X169" t="s">
        <v>64</v>
      </c>
      <c r="Y169" t="s">
        <v>38</v>
      </c>
    </row>
    <row r="170" spans="1:25" x14ac:dyDescent="0.35">
      <c r="A170" t="s">
        <v>466</v>
      </c>
      <c r="B170" t="s">
        <v>127</v>
      </c>
      <c r="C170" t="s">
        <v>27</v>
      </c>
      <c r="D170" t="s">
        <v>28</v>
      </c>
      <c r="E170">
        <v>10</v>
      </c>
      <c r="F170" t="s">
        <v>29</v>
      </c>
      <c r="G170">
        <v>120000</v>
      </c>
      <c r="H170">
        <v>120000</v>
      </c>
      <c r="I170">
        <v>280000</v>
      </c>
      <c r="J170" t="s">
        <v>108</v>
      </c>
      <c r="K170" t="s">
        <v>109</v>
      </c>
      <c r="L170" t="s">
        <v>53</v>
      </c>
      <c r="M170" t="s">
        <v>45</v>
      </c>
      <c r="N170" t="s">
        <v>124</v>
      </c>
      <c r="O170" t="s">
        <v>467</v>
      </c>
      <c r="P170">
        <v>14.9</v>
      </c>
      <c r="Q170">
        <v>97</v>
      </c>
      <c r="R170">
        <v>61.6</v>
      </c>
      <c r="S170">
        <v>7.8</v>
      </c>
      <c r="T170">
        <v>2026</v>
      </c>
      <c r="U170">
        <v>2</v>
      </c>
      <c r="V170">
        <v>1</v>
      </c>
      <c r="W170" t="s">
        <v>47</v>
      </c>
      <c r="X170" t="s">
        <v>64</v>
      </c>
      <c r="Y170" t="s">
        <v>95</v>
      </c>
    </row>
    <row r="171" spans="1:25" x14ac:dyDescent="0.35">
      <c r="A171" t="s">
        <v>468</v>
      </c>
      <c r="B171" t="s">
        <v>79</v>
      </c>
      <c r="C171" t="s">
        <v>80</v>
      </c>
      <c r="D171" t="s">
        <v>81</v>
      </c>
      <c r="E171">
        <v>5</v>
      </c>
      <c r="F171" t="s">
        <v>128</v>
      </c>
      <c r="G171">
        <v>140000</v>
      </c>
      <c r="H171">
        <v>140000</v>
      </c>
      <c r="I171">
        <v>260000</v>
      </c>
      <c r="J171" t="s">
        <v>129</v>
      </c>
      <c r="K171" t="s">
        <v>130</v>
      </c>
      <c r="L171" t="s">
        <v>53</v>
      </c>
      <c r="M171" t="s">
        <v>61</v>
      </c>
      <c r="N171" t="s">
        <v>71</v>
      </c>
      <c r="O171" t="s">
        <v>469</v>
      </c>
      <c r="P171">
        <v>11.1</v>
      </c>
      <c r="Q171">
        <v>80</v>
      </c>
      <c r="R171">
        <v>24.7</v>
      </c>
      <c r="S171">
        <v>7.3</v>
      </c>
      <c r="T171">
        <v>2025</v>
      </c>
      <c r="U171">
        <v>5</v>
      </c>
      <c r="V171">
        <v>0</v>
      </c>
      <c r="W171" t="s">
        <v>47</v>
      </c>
      <c r="X171" t="s">
        <v>64</v>
      </c>
      <c r="Y171" t="s">
        <v>95</v>
      </c>
    </row>
    <row r="172" spans="1:25" x14ac:dyDescent="0.35">
      <c r="A172" t="s">
        <v>470</v>
      </c>
      <c r="B172" t="s">
        <v>100</v>
      </c>
      <c r="C172" t="s">
        <v>101</v>
      </c>
      <c r="D172" t="s">
        <v>74</v>
      </c>
      <c r="E172">
        <v>15</v>
      </c>
      <c r="F172" t="s">
        <v>51</v>
      </c>
      <c r="G172">
        <v>186000</v>
      </c>
      <c r="H172">
        <v>180000</v>
      </c>
      <c r="I172">
        <v>320000</v>
      </c>
      <c r="J172" t="s">
        <v>30</v>
      </c>
      <c r="K172" t="s">
        <v>31</v>
      </c>
      <c r="L172" t="s">
        <v>32</v>
      </c>
      <c r="M172" t="s">
        <v>45</v>
      </c>
      <c r="N172" t="s">
        <v>76</v>
      </c>
      <c r="O172" t="s">
        <v>471</v>
      </c>
      <c r="P172">
        <v>16.5</v>
      </c>
      <c r="Q172">
        <v>84</v>
      </c>
      <c r="R172">
        <v>8.4</v>
      </c>
      <c r="S172">
        <v>6.8</v>
      </c>
      <c r="T172">
        <v>2026</v>
      </c>
      <c r="U172">
        <v>3</v>
      </c>
      <c r="V172">
        <v>0</v>
      </c>
      <c r="W172" t="s">
        <v>36</v>
      </c>
      <c r="X172" t="s">
        <v>64</v>
      </c>
      <c r="Y172" t="s">
        <v>48</v>
      </c>
    </row>
    <row r="173" spans="1:25" x14ac:dyDescent="0.35">
      <c r="A173" t="s">
        <v>472</v>
      </c>
      <c r="B173" t="s">
        <v>100</v>
      </c>
      <c r="C173" t="s">
        <v>101</v>
      </c>
      <c r="D173" t="s">
        <v>81</v>
      </c>
      <c r="E173">
        <v>8</v>
      </c>
      <c r="F173" t="s">
        <v>41</v>
      </c>
      <c r="G173">
        <v>231000</v>
      </c>
      <c r="H173">
        <v>180000</v>
      </c>
      <c r="I173">
        <v>320000</v>
      </c>
      <c r="J173" t="s">
        <v>191</v>
      </c>
      <c r="K173" t="s">
        <v>31</v>
      </c>
      <c r="L173" t="s">
        <v>53</v>
      </c>
      <c r="M173" t="s">
        <v>82</v>
      </c>
      <c r="N173" t="s">
        <v>165</v>
      </c>
      <c r="O173" t="s">
        <v>473</v>
      </c>
      <c r="P173">
        <v>12.9</v>
      </c>
      <c r="Q173">
        <v>84</v>
      </c>
      <c r="R173">
        <v>24.1</v>
      </c>
      <c r="S173">
        <v>6.3</v>
      </c>
      <c r="T173">
        <v>2026</v>
      </c>
      <c r="U173">
        <v>3</v>
      </c>
      <c r="V173">
        <v>0</v>
      </c>
      <c r="W173" t="s">
        <v>47</v>
      </c>
      <c r="X173" t="s">
        <v>64</v>
      </c>
      <c r="Y173" t="s">
        <v>38</v>
      </c>
    </row>
    <row r="174" spans="1:25" x14ac:dyDescent="0.35">
      <c r="A174" t="s">
        <v>474</v>
      </c>
      <c r="B174" t="s">
        <v>40</v>
      </c>
      <c r="C174" t="s">
        <v>27</v>
      </c>
      <c r="D174" t="s">
        <v>68</v>
      </c>
      <c r="E174">
        <v>5</v>
      </c>
      <c r="F174" t="s">
        <v>69</v>
      </c>
      <c r="G174">
        <v>154000</v>
      </c>
      <c r="H174">
        <v>90000</v>
      </c>
      <c r="I174">
        <v>200000</v>
      </c>
      <c r="J174" t="s">
        <v>137</v>
      </c>
      <c r="K174" t="s">
        <v>138</v>
      </c>
      <c r="L174" t="s">
        <v>53</v>
      </c>
      <c r="M174" t="s">
        <v>45</v>
      </c>
      <c r="N174" t="s">
        <v>119</v>
      </c>
      <c r="O174" t="s">
        <v>475</v>
      </c>
      <c r="P174">
        <v>4.5999999999999996</v>
      </c>
      <c r="Q174">
        <v>82</v>
      </c>
      <c r="R174">
        <v>26.9</v>
      </c>
      <c r="S174">
        <v>7.2</v>
      </c>
      <c r="T174">
        <v>2025</v>
      </c>
      <c r="U174">
        <v>9</v>
      </c>
      <c r="V174">
        <v>1</v>
      </c>
      <c r="W174" t="s">
        <v>47</v>
      </c>
      <c r="X174" t="s">
        <v>37</v>
      </c>
      <c r="Y174" t="s">
        <v>48</v>
      </c>
    </row>
    <row r="175" spans="1:25" x14ac:dyDescent="0.35">
      <c r="A175" t="s">
        <v>476</v>
      </c>
      <c r="B175" t="s">
        <v>153</v>
      </c>
      <c r="C175" t="s">
        <v>154</v>
      </c>
      <c r="D175" t="s">
        <v>74</v>
      </c>
      <c r="E175">
        <v>4</v>
      </c>
      <c r="F175" t="s">
        <v>41</v>
      </c>
      <c r="G175">
        <v>95000</v>
      </c>
      <c r="H175">
        <v>95000</v>
      </c>
      <c r="I175">
        <v>180000</v>
      </c>
      <c r="J175" t="s">
        <v>129</v>
      </c>
      <c r="K175" t="s">
        <v>130</v>
      </c>
      <c r="L175" t="s">
        <v>32</v>
      </c>
      <c r="M175" t="s">
        <v>61</v>
      </c>
      <c r="N175" t="s">
        <v>71</v>
      </c>
      <c r="O175" t="s">
        <v>477</v>
      </c>
      <c r="P175">
        <v>17.100000000000001</v>
      </c>
      <c r="Q175">
        <v>78</v>
      </c>
      <c r="R175">
        <v>25.3</v>
      </c>
      <c r="S175">
        <v>6.1</v>
      </c>
      <c r="T175">
        <v>2025</v>
      </c>
      <c r="U175">
        <v>3</v>
      </c>
      <c r="V175">
        <v>0</v>
      </c>
      <c r="W175" t="s">
        <v>36</v>
      </c>
      <c r="X175" t="s">
        <v>64</v>
      </c>
      <c r="Y175" t="s">
        <v>98</v>
      </c>
    </row>
    <row r="176" spans="1:25" x14ac:dyDescent="0.35">
      <c r="A176" t="s">
        <v>478</v>
      </c>
      <c r="B176" t="s">
        <v>141</v>
      </c>
      <c r="C176" t="s">
        <v>27</v>
      </c>
      <c r="D176" t="s">
        <v>81</v>
      </c>
      <c r="E176">
        <v>3</v>
      </c>
      <c r="F176" t="s">
        <v>41</v>
      </c>
      <c r="G176">
        <v>314000</v>
      </c>
      <c r="H176">
        <v>141000</v>
      </c>
      <c r="I176">
        <v>270000</v>
      </c>
      <c r="J176" t="s">
        <v>174</v>
      </c>
      <c r="K176" t="s">
        <v>31</v>
      </c>
      <c r="L176" t="s">
        <v>44</v>
      </c>
      <c r="M176" t="s">
        <v>54</v>
      </c>
      <c r="N176" t="s">
        <v>76</v>
      </c>
      <c r="O176" t="s">
        <v>479</v>
      </c>
      <c r="P176">
        <v>3.9</v>
      </c>
      <c r="Q176">
        <v>89</v>
      </c>
      <c r="R176">
        <v>11.3</v>
      </c>
      <c r="S176">
        <v>8.6999999999999993</v>
      </c>
      <c r="T176">
        <v>2025</v>
      </c>
      <c r="U176">
        <v>11</v>
      </c>
      <c r="V176">
        <v>0</v>
      </c>
      <c r="W176" t="s">
        <v>47</v>
      </c>
      <c r="X176" t="s">
        <v>64</v>
      </c>
      <c r="Y176" t="s">
        <v>56</v>
      </c>
    </row>
    <row r="177" spans="1:25" x14ac:dyDescent="0.35">
      <c r="A177" t="s">
        <v>480</v>
      </c>
      <c r="B177" t="s">
        <v>26</v>
      </c>
      <c r="C177" t="s">
        <v>27</v>
      </c>
      <c r="D177" t="s">
        <v>68</v>
      </c>
      <c r="E177">
        <v>4</v>
      </c>
      <c r="F177" t="s">
        <v>41</v>
      </c>
      <c r="G177">
        <v>348000</v>
      </c>
      <c r="H177">
        <v>155000</v>
      </c>
      <c r="I177">
        <v>290000</v>
      </c>
      <c r="J177" t="s">
        <v>174</v>
      </c>
      <c r="K177" t="s">
        <v>31</v>
      </c>
      <c r="L177" t="s">
        <v>32</v>
      </c>
      <c r="M177" t="s">
        <v>82</v>
      </c>
      <c r="N177" t="s">
        <v>88</v>
      </c>
      <c r="O177" t="s">
        <v>481</v>
      </c>
      <c r="P177">
        <v>10</v>
      </c>
      <c r="Q177">
        <v>96</v>
      </c>
      <c r="R177">
        <v>34.200000000000003</v>
      </c>
      <c r="S177">
        <v>8</v>
      </c>
      <c r="T177">
        <v>2025</v>
      </c>
      <c r="U177">
        <v>12</v>
      </c>
      <c r="V177">
        <v>1</v>
      </c>
      <c r="W177" t="s">
        <v>36</v>
      </c>
      <c r="X177" t="s">
        <v>37</v>
      </c>
      <c r="Y177" t="s">
        <v>56</v>
      </c>
    </row>
    <row r="178" spans="1:25" x14ac:dyDescent="0.35">
      <c r="A178" t="s">
        <v>482</v>
      </c>
      <c r="B178" t="s">
        <v>40</v>
      </c>
      <c r="C178" t="s">
        <v>27</v>
      </c>
      <c r="D178" t="s">
        <v>74</v>
      </c>
      <c r="E178">
        <v>2</v>
      </c>
      <c r="F178" t="s">
        <v>51</v>
      </c>
      <c r="G178">
        <v>90000</v>
      </c>
      <c r="H178">
        <v>90000</v>
      </c>
      <c r="I178">
        <v>200000</v>
      </c>
      <c r="J178" t="s">
        <v>129</v>
      </c>
      <c r="K178" t="s">
        <v>130</v>
      </c>
      <c r="L178" t="s">
        <v>32</v>
      </c>
      <c r="M178" t="s">
        <v>61</v>
      </c>
      <c r="N178" t="s">
        <v>155</v>
      </c>
      <c r="O178" t="s">
        <v>483</v>
      </c>
      <c r="P178">
        <v>8.1</v>
      </c>
      <c r="Q178">
        <v>82</v>
      </c>
      <c r="R178">
        <v>27.6</v>
      </c>
      <c r="S178">
        <v>8.4</v>
      </c>
      <c r="T178">
        <v>2026</v>
      </c>
      <c r="U178">
        <v>2</v>
      </c>
      <c r="V178">
        <v>0</v>
      </c>
      <c r="W178" t="s">
        <v>36</v>
      </c>
      <c r="X178" t="s">
        <v>37</v>
      </c>
      <c r="Y178" t="s">
        <v>98</v>
      </c>
    </row>
    <row r="179" spans="1:25" x14ac:dyDescent="0.35">
      <c r="A179" t="s">
        <v>484</v>
      </c>
      <c r="B179" t="s">
        <v>224</v>
      </c>
      <c r="C179" t="s">
        <v>27</v>
      </c>
      <c r="D179" t="s">
        <v>74</v>
      </c>
      <c r="E179">
        <v>7</v>
      </c>
      <c r="F179" t="s">
        <v>29</v>
      </c>
      <c r="G179">
        <v>145000</v>
      </c>
      <c r="H179">
        <v>145000</v>
      </c>
      <c r="I179">
        <v>280000</v>
      </c>
      <c r="J179" t="s">
        <v>170</v>
      </c>
      <c r="K179" t="s">
        <v>171</v>
      </c>
      <c r="L179" t="s">
        <v>53</v>
      </c>
      <c r="M179" t="s">
        <v>33</v>
      </c>
      <c r="N179" t="s">
        <v>62</v>
      </c>
      <c r="O179" t="s">
        <v>485</v>
      </c>
      <c r="P179">
        <v>7.6</v>
      </c>
      <c r="Q179">
        <v>87</v>
      </c>
      <c r="R179">
        <v>9.3000000000000007</v>
      </c>
      <c r="S179">
        <v>7.4</v>
      </c>
      <c r="T179">
        <v>2026</v>
      </c>
      <c r="U179">
        <v>3</v>
      </c>
      <c r="V179">
        <v>0</v>
      </c>
      <c r="W179" t="s">
        <v>47</v>
      </c>
      <c r="X179" t="s">
        <v>64</v>
      </c>
      <c r="Y179" t="s">
        <v>95</v>
      </c>
    </row>
    <row r="180" spans="1:25" x14ac:dyDescent="0.35">
      <c r="A180" t="s">
        <v>486</v>
      </c>
      <c r="B180" t="s">
        <v>224</v>
      </c>
      <c r="C180" t="s">
        <v>27</v>
      </c>
      <c r="D180" t="s">
        <v>28</v>
      </c>
      <c r="E180">
        <v>9</v>
      </c>
      <c r="F180" t="s">
        <v>29</v>
      </c>
      <c r="G180">
        <v>253000</v>
      </c>
      <c r="H180">
        <v>145000</v>
      </c>
      <c r="I180">
        <v>280000</v>
      </c>
      <c r="J180" t="s">
        <v>52</v>
      </c>
      <c r="K180" t="s">
        <v>31</v>
      </c>
      <c r="L180" t="s">
        <v>32</v>
      </c>
      <c r="M180" t="s">
        <v>82</v>
      </c>
      <c r="N180" t="s">
        <v>131</v>
      </c>
      <c r="O180" t="s">
        <v>487</v>
      </c>
      <c r="P180">
        <v>9.4</v>
      </c>
      <c r="Q180">
        <v>87</v>
      </c>
      <c r="R180">
        <v>17.100000000000001</v>
      </c>
      <c r="S180">
        <v>8.1999999999999993</v>
      </c>
      <c r="T180">
        <v>2026</v>
      </c>
      <c r="U180">
        <v>3</v>
      </c>
      <c r="V180">
        <v>1</v>
      </c>
      <c r="W180" t="s">
        <v>36</v>
      </c>
      <c r="X180" t="s">
        <v>64</v>
      </c>
      <c r="Y180" t="s">
        <v>38</v>
      </c>
    </row>
    <row r="181" spans="1:25" x14ac:dyDescent="0.35">
      <c r="A181" t="s">
        <v>488</v>
      </c>
      <c r="B181" t="s">
        <v>50</v>
      </c>
      <c r="C181" t="s">
        <v>27</v>
      </c>
      <c r="D181" t="s">
        <v>74</v>
      </c>
      <c r="E181">
        <v>5</v>
      </c>
      <c r="F181" t="s">
        <v>29</v>
      </c>
      <c r="G181">
        <v>206000</v>
      </c>
      <c r="H181">
        <v>160000</v>
      </c>
      <c r="I181">
        <v>300000</v>
      </c>
      <c r="J181" t="s">
        <v>60</v>
      </c>
      <c r="K181" t="s">
        <v>60</v>
      </c>
      <c r="L181" t="s">
        <v>44</v>
      </c>
      <c r="M181" t="s">
        <v>54</v>
      </c>
      <c r="N181" t="s">
        <v>119</v>
      </c>
      <c r="O181" t="s">
        <v>489</v>
      </c>
      <c r="P181">
        <v>7.9</v>
      </c>
      <c r="Q181">
        <v>98</v>
      </c>
      <c r="R181">
        <v>64.5</v>
      </c>
      <c r="S181">
        <v>8.9</v>
      </c>
      <c r="T181">
        <v>2026</v>
      </c>
      <c r="U181">
        <v>3</v>
      </c>
      <c r="V181">
        <v>0</v>
      </c>
      <c r="W181" t="s">
        <v>47</v>
      </c>
      <c r="X181" t="s">
        <v>37</v>
      </c>
      <c r="Y181" t="s">
        <v>38</v>
      </c>
    </row>
    <row r="182" spans="1:25" x14ac:dyDescent="0.35">
      <c r="A182" t="s">
        <v>490</v>
      </c>
      <c r="B182" t="s">
        <v>91</v>
      </c>
      <c r="C182" t="s">
        <v>27</v>
      </c>
      <c r="D182" t="s">
        <v>74</v>
      </c>
      <c r="E182">
        <v>6</v>
      </c>
      <c r="F182" t="s">
        <v>69</v>
      </c>
      <c r="G182">
        <v>156000</v>
      </c>
      <c r="H182">
        <v>145000</v>
      </c>
      <c r="I182">
        <v>290000</v>
      </c>
      <c r="J182" t="s">
        <v>113</v>
      </c>
      <c r="K182" t="s">
        <v>114</v>
      </c>
      <c r="L182" t="s">
        <v>53</v>
      </c>
      <c r="M182" t="s">
        <v>54</v>
      </c>
      <c r="N182" t="s">
        <v>88</v>
      </c>
      <c r="O182" t="s">
        <v>491</v>
      </c>
      <c r="P182">
        <v>3.5</v>
      </c>
      <c r="Q182">
        <v>91</v>
      </c>
      <c r="R182">
        <v>50.9</v>
      </c>
      <c r="S182">
        <v>6.9</v>
      </c>
      <c r="T182">
        <v>2026</v>
      </c>
      <c r="U182">
        <v>1</v>
      </c>
      <c r="V182">
        <v>0</v>
      </c>
      <c r="W182" t="s">
        <v>47</v>
      </c>
      <c r="X182" t="s">
        <v>64</v>
      </c>
      <c r="Y182" t="s">
        <v>48</v>
      </c>
    </row>
    <row r="183" spans="1:25" x14ac:dyDescent="0.35">
      <c r="A183" t="s">
        <v>492</v>
      </c>
      <c r="B183" t="s">
        <v>79</v>
      </c>
      <c r="C183" t="s">
        <v>80</v>
      </c>
      <c r="D183" t="s">
        <v>68</v>
      </c>
      <c r="E183">
        <v>4</v>
      </c>
      <c r="F183" t="s">
        <v>69</v>
      </c>
      <c r="G183">
        <v>302000</v>
      </c>
      <c r="H183">
        <v>140000</v>
      </c>
      <c r="I183">
        <v>260000</v>
      </c>
      <c r="J183" t="s">
        <v>42</v>
      </c>
      <c r="K183" t="s">
        <v>43</v>
      </c>
      <c r="L183" t="s">
        <v>53</v>
      </c>
      <c r="M183" t="s">
        <v>54</v>
      </c>
      <c r="N183" t="s">
        <v>88</v>
      </c>
      <c r="O183" t="s">
        <v>493</v>
      </c>
      <c r="P183">
        <v>8.1999999999999993</v>
      </c>
      <c r="Q183">
        <v>80</v>
      </c>
      <c r="R183">
        <v>15.1</v>
      </c>
      <c r="S183">
        <v>6.1</v>
      </c>
      <c r="T183">
        <v>2026</v>
      </c>
      <c r="U183">
        <v>1</v>
      </c>
      <c r="V183">
        <v>1</v>
      </c>
      <c r="W183" t="s">
        <v>47</v>
      </c>
      <c r="X183" t="s">
        <v>64</v>
      </c>
      <c r="Y183" t="s">
        <v>56</v>
      </c>
    </row>
    <row r="184" spans="1:25" x14ac:dyDescent="0.35">
      <c r="A184" t="s">
        <v>494</v>
      </c>
      <c r="B184" t="s">
        <v>158</v>
      </c>
      <c r="C184" t="s">
        <v>27</v>
      </c>
      <c r="D184" t="s">
        <v>81</v>
      </c>
      <c r="E184">
        <v>4</v>
      </c>
      <c r="F184" t="s">
        <v>69</v>
      </c>
      <c r="G184">
        <v>145000</v>
      </c>
      <c r="H184">
        <v>145000</v>
      </c>
      <c r="I184">
        <v>280000</v>
      </c>
      <c r="J184" t="s">
        <v>108</v>
      </c>
      <c r="K184" t="s">
        <v>109</v>
      </c>
      <c r="L184" t="s">
        <v>44</v>
      </c>
      <c r="M184" t="s">
        <v>82</v>
      </c>
      <c r="N184" t="s">
        <v>124</v>
      </c>
      <c r="O184" t="s">
        <v>495</v>
      </c>
      <c r="P184">
        <v>3.7</v>
      </c>
      <c r="Q184">
        <v>94</v>
      </c>
      <c r="R184">
        <v>63.1</v>
      </c>
      <c r="S184">
        <v>6</v>
      </c>
      <c r="T184">
        <v>2025</v>
      </c>
      <c r="U184">
        <v>11</v>
      </c>
      <c r="V184">
        <v>0</v>
      </c>
      <c r="W184" t="s">
        <v>47</v>
      </c>
      <c r="X184" t="s">
        <v>37</v>
      </c>
      <c r="Y184" t="s">
        <v>95</v>
      </c>
    </row>
    <row r="185" spans="1:25" x14ac:dyDescent="0.35">
      <c r="A185" t="s">
        <v>496</v>
      </c>
      <c r="B185" t="s">
        <v>149</v>
      </c>
      <c r="C185" t="s">
        <v>150</v>
      </c>
      <c r="D185" t="s">
        <v>28</v>
      </c>
      <c r="E185">
        <v>4</v>
      </c>
      <c r="F185" t="s">
        <v>41</v>
      </c>
      <c r="G185">
        <v>205000</v>
      </c>
      <c r="H185">
        <v>130000</v>
      </c>
      <c r="I185">
        <v>260000</v>
      </c>
      <c r="J185" t="s">
        <v>102</v>
      </c>
      <c r="K185" t="s">
        <v>103</v>
      </c>
      <c r="L185" t="s">
        <v>32</v>
      </c>
      <c r="M185" t="s">
        <v>54</v>
      </c>
      <c r="N185" t="s">
        <v>76</v>
      </c>
      <c r="O185" t="s">
        <v>497</v>
      </c>
      <c r="P185">
        <v>16.2</v>
      </c>
      <c r="Q185">
        <v>93</v>
      </c>
      <c r="R185">
        <v>28.9</v>
      </c>
      <c r="S185">
        <v>7.3</v>
      </c>
      <c r="T185">
        <v>2026</v>
      </c>
      <c r="U185">
        <v>1</v>
      </c>
      <c r="V185">
        <v>1</v>
      </c>
      <c r="W185" t="s">
        <v>36</v>
      </c>
      <c r="X185" t="s">
        <v>64</v>
      </c>
      <c r="Y185" t="s">
        <v>38</v>
      </c>
    </row>
    <row r="186" spans="1:25" x14ac:dyDescent="0.35">
      <c r="A186" t="s">
        <v>498</v>
      </c>
      <c r="B186" t="s">
        <v>26</v>
      </c>
      <c r="C186" t="s">
        <v>27</v>
      </c>
      <c r="D186" t="s">
        <v>68</v>
      </c>
      <c r="E186">
        <v>6</v>
      </c>
      <c r="F186" t="s">
        <v>69</v>
      </c>
      <c r="G186">
        <v>155000</v>
      </c>
      <c r="H186">
        <v>155000</v>
      </c>
      <c r="I186">
        <v>290000</v>
      </c>
      <c r="J186" t="s">
        <v>92</v>
      </c>
      <c r="K186" t="s">
        <v>93</v>
      </c>
      <c r="L186" t="s">
        <v>53</v>
      </c>
      <c r="M186" t="s">
        <v>33</v>
      </c>
      <c r="N186" t="s">
        <v>155</v>
      </c>
      <c r="O186" t="s">
        <v>499</v>
      </c>
      <c r="P186">
        <v>17.100000000000001</v>
      </c>
      <c r="Q186">
        <v>96</v>
      </c>
      <c r="R186">
        <v>65.5</v>
      </c>
      <c r="S186">
        <v>6.7</v>
      </c>
      <c r="T186">
        <v>2026</v>
      </c>
      <c r="U186">
        <v>1</v>
      </c>
      <c r="V186">
        <v>1</v>
      </c>
      <c r="W186" t="s">
        <v>47</v>
      </c>
      <c r="X186" t="s">
        <v>37</v>
      </c>
      <c r="Y186" t="s">
        <v>48</v>
      </c>
    </row>
    <row r="187" spans="1:25" x14ac:dyDescent="0.35">
      <c r="A187" t="s">
        <v>500</v>
      </c>
      <c r="B187" t="s">
        <v>50</v>
      </c>
      <c r="C187" t="s">
        <v>27</v>
      </c>
      <c r="D187" t="s">
        <v>28</v>
      </c>
      <c r="E187">
        <v>5</v>
      </c>
      <c r="F187" t="s">
        <v>51</v>
      </c>
      <c r="G187">
        <v>160000</v>
      </c>
      <c r="H187">
        <v>160000</v>
      </c>
      <c r="I187">
        <v>300000</v>
      </c>
      <c r="J187" t="s">
        <v>108</v>
      </c>
      <c r="K187" t="s">
        <v>109</v>
      </c>
      <c r="L187" t="s">
        <v>44</v>
      </c>
      <c r="M187" t="s">
        <v>54</v>
      </c>
      <c r="N187" t="s">
        <v>76</v>
      </c>
      <c r="O187" t="s">
        <v>501</v>
      </c>
      <c r="P187">
        <v>9.1999999999999993</v>
      </c>
      <c r="Q187">
        <v>98</v>
      </c>
      <c r="R187">
        <v>52.4</v>
      </c>
      <c r="S187">
        <v>9.1999999999999993</v>
      </c>
      <c r="T187">
        <v>2026</v>
      </c>
      <c r="U187">
        <v>2</v>
      </c>
      <c r="V187">
        <v>1</v>
      </c>
      <c r="W187" t="s">
        <v>47</v>
      </c>
      <c r="X187" t="s">
        <v>37</v>
      </c>
      <c r="Y187" t="s">
        <v>48</v>
      </c>
    </row>
    <row r="188" spans="1:25" x14ac:dyDescent="0.35">
      <c r="A188" t="s">
        <v>502</v>
      </c>
      <c r="B188" t="s">
        <v>185</v>
      </c>
      <c r="C188" t="s">
        <v>186</v>
      </c>
      <c r="D188" t="s">
        <v>81</v>
      </c>
      <c r="E188">
        <v>5</v>
      </c>
      <c r="F188" t="s">
        <v>29</v>
      </c>
      <c r="G188">
        <v>144000</v>
      </c>
      <c r="H188">
        <v>140000</v>
      </c>
      <c r="I188">
        <v>270000</v>
      </c>
      <c r="J188" t="s">
        <v>102</v>
      </c>
      <c r="K188" t="s">
        <v>103</v>
      </c>
      <c r="L188" t="s">
        <v>44</v>
      </c>
      <c r="M188" t="s">
        <v>61</v>
      </c>
      <c r="N188" t="s">
        <v>165</v>
      </c>
      <c r="O188" t="s">
        <v>503</v>
      </c>
      <c r="P188">
        <v>14.7</v>
      </c>
      <c r="Q188">
        <v>85</v>
      </c>
      <c r="R188">
        <v>15.4</v>
      </c>
      <c r="S188">
        <v>8.8000000000000007</v>
      </c>
      <c r="T188">
        <v>2026</v>
      </c>
      <c r="U188">
        <v>2</v>
      </c>
      <c r="V188">
        <v>0</v>
      </c>
      <c r="W188" t="s">
        <v>47</v>
      </c>
      <c r="X188" t="s">
        <v>64</v>
      </c>
      <c r="Y188" t="s">
        <v>95</v>
      </c>
    </row>
    <row r="189" spans="1:25" x14ac:dyDescent="0.35">
      <c r="A189" t="s">
        <v>504</v>
      </c>
      <c r="B189" t="s">
        <v>40</v>
      </c>
      <c r="C189" t="s">
        <v>27</v>
      </c>
      <c r="D189" t="s">
        <v>74</v>
      </c>
      <c r="E189">
        <v>1</v>
      </c>
      <c r="F189" t="s">
        <v>41</v>
      </c>
      <c r="G189">
        <v>180000</v>
      </c>
      <c r="H189">
        <v>90000</v>
      </c>
      <c r="I189">
        <v>200000</v>
      </c>
      <c r="J189" t="s">
        <v>174</v>
      </c>
      <c r="K189" t="s">
        <v>31</v>
      </c>
      <c r="L189" t="s">
        <v>44</v>
      </c>
      <c r="M189" t="s">
        <v>54</v>
      </c>
      <c r="N189" t="s">
        <v>62</v>
      </c>
      <c r="O189" t="s">
        <v>505</v>
      </c>
      <c r="P189">
        <v>5.0999999999999996</v>
      </c>
      <c r="Q189">
        <v>82</v>
      </c>
      <c r="R189">
        <v>23.8</v>
      </c>
      <c r="S189">
        <v>6.1</v>
      </c>
      <c r="T189">
        <v>2026</v>
      </c>
      <c r="U189">
        <v>1</v>
      </c>
      <c r="V189">
        <v>0</v>
      </c>
      <c r="W189" t="s">
        <v>47</v>
      </c>
      <c r="X189" t="s">
        <v>37</v>
      </c>
      <c r="Y189" t="s">
        <v>48</v>
      </c>
    </row>
    <row r="190" spans="1:25" x14ac:dyDescent="0.35">
      <c r="A190" t="s">
        <v>506</v>
      </c>
      <c r="B190" t="s">
        <v>158</v>
      </c>
      <c r="C190" t="s">
        <v>27</v>
      </c>
      <c r="D190" t="s">
        <v>68</v>
      </c>
      <c r="E190">
        <v>7</v>
      </c>
      <c r="F190" t="s">
        <v>29</v>
      </c>
      <c r="G190">
        <v>234000</v>
      </c>
      <c r="H190">
        <v>145000</v>
      </c>
      <c r="I190">
        <v>280000</v>
      </c>
      <c r="J190" t="s">
        <v>102</v>
      </c>
      <c r="K190" t="s">
        <v>103</v>
      </c>
      <c r="L190" t="s">
        <v>53</v>
      </c>
      <c r="M190" t="s">
        <v>61</v>
      </c>
      <c r="N190" t="s">
        <v>62</v>
      </c>
      <c r="O190" t="s">
        <v>507</v>
      </c>
      <c r="P190">
        <v>4.4000000000000004</v>
      </c>
      <c r="Q190">
        <v>94</v>
      </c>
      <c r="R190">
        <v>78.400000000000006</v>
      </c>
      <c r="S190">
        <v>9.3000000000000007</v>
      </c>
      <c r="T190">
        <v>2026</v>
      </c>
      <c r="U190">
        <v>1</v>
      </c>
      <c r="V190">
        <v>1</v>
      </c>
      <c r="W190" t="s">
        <v>47</v>
      </c>
      <c r="X190" t="s">
        <v>37</v>
      </c>
      <c r="Y190" t="s">
        <v>38</v>
      </c>
    </row>
    <row r="191" spans="1:25" x14ac:dyDescent="0.35">
      <c r="A191" t="s">
        <v>508</v>
      </c>
      <c r="B191" t="s">
        <v>26</v>
      </c>
      <c r="C191" t="s">
        <v>27</v>
      </c>
      <c r="D191" t="s">
        <v>81</v>
      </c>
      <c r="E191">
        <v>3</v>
      </c>
      <c r="F191" t="s">
        <v>29</v>
      </c>
      <c r="G191">
        <v>247000</v>
      </c>
      <c r="H191">
        <v>155000</v>
      </c>
      <c r="I191">
        <v>290000</v>
      </c>
      <c r="J191" t="s">
        <v>60</v>
      </c>
      <c r="K191" t="s">
        <v>60</v>
      </c>
      <c r="L191" t="s">
        <v>44</v>
      </c>
      <c r="M191" t="s">
        <v>54</v>
      </c>
      <c r="N191" t="s">
        <v>110</v>
      </c>
      <c r="O191" t="s">
        <v>509</v>
      </c>
      <c r="P191">
        <v>9.3000000000000007</v>
      </c>
      <c r="Q191">
        <v>96</v>
      </c>
      <c r="R191">
        <v>57.6</v>
      </c>
      <c r="S191">
        <v>7</v>
      </c>
      <c r="T191">
        <v>2025</v>
      </c>
      <c r="U191">
        <v>12</v>
      </c>
      <c r="V191">
        <v>0</v>
      </c>
      <c r="W191" t="s">
        <v>47</v>
      </c>
      <c r="X191" t="s">
        <v>37</v>
      </c>
      <c r="Y191" t="s">
        <v>38</v>
      </c>
    </row>
    <row r="192" spans="1:25" x14ac:dyDescent="0.35">
      <c r="A192" t="s">
        <v>510</v>
      </c>
      <c r="B192" t="s">
        <v>168</v>
      </c>
      <c r="C192" t="s">
        <v>169</v>
      </c>
      <c r="D192" t="s">
        <v>28</v>
      </c>
      <c r="E192">
        <v>9</v>
      </c>
      <c r="F192" t="s">
        <v>51</v>
      </c>
      <c r="G192">
        <v>181000</v>
      </c>
      <c r="H192">
        <v>157000</v>
      </c>
      <c r="I192">
        <v>218000</v>
      </c>
      <c r="J192" t="s">
        <v>296</v>
      </c>
      <c r="K192" t="s">
        <v>31</v>
      </c>
      <c r="L192" t="s">
        <v>53</v>
      </c>
      <c r="M192" t="s">
        <v>61</v>
      </c>
      <c r="N192" t="s">
        <v>34</v>
      </c>
      <c r="O192" t="s">
        <v>511</v>
      </c>
      <c r="P192">
        <v>4.0999999999999996</v>
      </c>
      <c r="Q192">
        <v>90</v>
      </c>
      <c r="R192">
        <v>18.600000000000001</v>
      </c>
      <c r="S192">
        <v>7.5</v>
      </c>
      <c r="T192">
        <v>2025</v>
      </c>
      <c r="U192">
        <v>4</v>
      </c>
      <c r="V192">
        <v>1</v>
      </c>
      <c r="W192" t="s">
        <v>47</v>
      </c>
      <c r="X192" t="s">
        <v>64</v>
      </c>
      <c r="Y192" t="s">
        <v>48</v>
      </c>
    </row>
    <row r="193" spans="1:25" x14ac:dyDescent="0.35">
      <c r="A193" t="s">
        <v>512</v>
      </c>
      <c r="B193" t="s">
        <v>146</v>
      </c>
      <c r="C193" t="s">
        <v>27</v>
      </c>
      <c r="D193" t="s">
        <v>28</v>
      </c>
      <c r="E193">
        <v>9</v>
      </c>
      <c r="F193" t="s">
        <v>128</v>
      </c>
      <c r="G193">
        <v>237000</v>
      </c>
      <c r="H193">
        <v>160000</v>
      </c>
      <c r="I193">
        <v>300000</v>
      </c>
      <c r="J193" t="s">
        <v>113</v>
      </c>
      <c r="K193" t="s">
        <v>114</v>
      </c>
      <c r="L193" t="s">
        <v>44</v>
      </c>
      <c r="M193" t="s">
        <v>82</v>
      </c>
      <c r="N193" t="s">
        <v>119</v>
      </c>
      <c r="O193" t="s">
        <v>513</v>
      </c>
      <c r="P193">
        <v>14.2</v>
      </c>
      <c r="Q193">
        <v>90</v>
      </c>
      <c r="R193">
        <v>29</v>
      </c>
      <c r="S193">
        <v>8.6</v>
      </c>
      <c r="T193">
        <v>2025</v>
      </c>
      <c r="U193">
        <v>2</v>
      </c>
      <c r="V193">
        <v>1</v>
      </c>
      <c r="W193" t="s">
        <v>47</v>
      </c>
      <c r="X193" t="s">
        <v>64</v>
      </c>
      <c r="Y193" t="s">
        <v>38</v>
      </c>
    </row>
    <row r="194" spans="1:25" x14ac:dyDescent="0.35">
      <c r="A194" t="s">
        <v>514</v>
      </c>
      <c r="B194" t="s">
        <v>50</v>
      </c>
      <c r="C194" t="s">
        <v>27</v>
      </c>
      <c r="D194" t="s">
        <v>28</v>
      </c>
      <c r="E194">
        <v>8</v>
      </c>
      <c r="F194" t="s">
        <v>41</v>
      </c>
      <c r="G194">
        <v>299000</v>
      </c>
      <c r="H194">
        <v>160000</v>
      </c>
      <c r="I194">
        <v>300000</v>
      </c>
      <c r="J194" t="s">
        <v>142</v>
      </c>
      <c r="K194" t="s">
        <v>143</v>
      </c>
      <c r="L194" t="s">
        <v>32</v>
      </c>
      <c r="M194" t="s">
        <v>54</v>
      </c>
      <c r="N194" t="s">
        <v>155</v>
      </c>
      <c r="O194" t="s">
        <v>515</v>
      </c>
      <c r="P194">
        <v>3.7</v>
      </c>
      <c r="Q194">
        <v>98</v>
      </c>
      <c r="R194">
        <v>85.9</v>
      </c>
      <c r="S194">
        <v>8.9</v>
      </c>
      <c r="T194">
        <v>2026</v>
      </c>
      <c r="U194">
        <v>3</v>
      </c>
      <c r="V194">
        <v>1</v>
      </c>
      <c r="W194" t="s">
        <v>36</v>
      </c>
      <c r="X194" t="s">
        <v>37</v>
      </c>
      <c r="Y194" t="s">
        <v>38</v>
      </c>
    </row>
    <row r="195" spans="1:25" x14ac:dyDescent="0.35">
      <c r="A195" t="s">
        <v>516</v>
      </c>
      <c r="B195" t="s">
        <v>86</v>
      </c>
      <c r="C195" t="s">
        <v>27</v>
      </c>
      <c r="D195" t="s">
        <v>68</v>
      </c>
      <c r="E195">
        <v>11</v>
      </c>
      <c r="F195" t="s">
        <v>41</v>
      </c>
      <c r="G195">
        <v>328000</v>
      </c>
      <c r="H195">
        <v>180000</v>
      </c>
      <c r="I195">
        <v>312000</v>
      </c>
      <c r="J195" t="s">
        <v>70</v>
      </c>
      <c r="K195" t="s">
        <v>31</v>
      </c>
      <c r="L195" t="s">
        <v>32</v>
      </c>
      <c r="M195" t="s">
        <v>61</v>
      </c>
      <c r="N195" t="s">
        <v>34</v>
      </c>
      <c r="O195" t="s">
        <v>517</v>
      </c>
      <c r="P195">
        <v>9.8000000000000007</v>
      </c>
      <c r="Q195">
        <v>96</v>
      </c>
      <c r="R195">
        <v>33.4</v>
      </c>
      <c r="S195">
        <v>6.3</v>
      </c>
      <c r="T195">
        <v>2026</v>
      </c>
      <c r="U195">
        <v>2</v>
      </c>
      <c r="V195">
        <v>1</v>
      </c>
      <c r="W195" t="s">
        <v>36</v>
      </c>
      <c r="X195" t="s">
        <v>64</v>
      </c>
      <c r="Y195" t="s">
        <v>56</v>
      </c>
    </row>
    <row r="196" spans="1:25" x14ac:dyDescent="0.35">
      <c r="A196" t="s">
        <v>518</v>
      </c>
      <c r="B196" t="s">
        <v>40</v>
      </c>
      <c r="C196" t="s">
        <v>27</v>
      </c>
      <c r="D196" t="s">
        <v>68</v>
      </c>
      <c r="E196">
        <v>4</v>
      </c>
      <c r="F196" t="s">
        <v>69</v>
      </c>
      <c r="G196">
        <v>167000</v>
      </c>
      <c r="H196">
        <v>90000</v>
      </c>
      <c r="I196">
        <v>200000</v>
      </c>
      <c r="J196" t="s">
        <v>137</v>
      </c>
      <c r="K196" t="s">
        <v>138</v>
      </c>
      <c r="L196" t="s">
        <v>53</v>
      </c>
      <c r="M196" t="s">
        <v>45</v>
      </c>
      <c r="N196" t="s">
        <v>83</v>
      </c>
      <c r="O196" t="s">
        <v>519</v>
      </c>
      <c r="P196">
        <v>3.7</v>
      </c>
      <c r="Q196">
        <v>82</v>
      </c>
      <c r="R196">
        <v>24.7</v>
      </c>
      <c r="S196">
        <v>7.1</v>
      </c>
      <c r="T196">
        <v>2025</v>
      </c>
      <c r="U196">
        <v>8</v>
      </c>
      <c r="V196">
        <v>1</v>
      </c>
      <c r="W196" t="s">
        <v>47</v>
      </c>
      <c r="X196" t="s">
        <v>37</v>
      </c>
      <c r="Y196" t="s">
        <v>48</v>
      </c>
    </row>
    <row r="197" spans="1:25" x14ac:dyDescent="0.35">
      <c r="A197" t="s">
        <v>520</v>
      </c>
      <c r="B197" t="s">
        <v>50</v>
      </c>
      <c r="C197" t="s">
        <v>27</v>
      </c>
      <c r="D197" t="s">
        <v>68</v>
      </c>
      <c r="E197">
        <v>3</v>
      </c>
      <c r="F197" t="s">
        <v>29</v>
      </c>
      <c r="G197">
        <v>248000</v>
      </c>
      <c r="H197">
        <v>160000</v>
      </c>
      <c r="I197">
        <v>300000</v>
      </c>
      <c r="J197" t="s">
        <v>137</v>
      </c>
      <c r="K197" t="s">
        <v>138</v>
      </c>
      <c r="L197" t="s">
        <v>32</v>
      </c>
      <c r="M197" t="s">
        <v>33</v>
      </c>
      <c r="N197" t="s">
        <v>62</v>
      </c>
      <c r="O197" t="s">
        <v>521</v>
      </c>
      <c r="P197">
        <v>7.2</v>
      </c>
      <c r="Q197">
        <v>98</v>
      </c>
      <c r="R197">
        <v>54.2</v>
      </c>
      <c r="S197">
        <v>9.6</v>
      </c>
      <c r="T197">
        <v>2025</v>
      </c>
      <c r="U197">
        <v>12</v>
      </c>
      <c r="V197">
        <v>1</v>
      </c>
      <c r="W197" t="s">
        <v>36</v>
      </c>
      <c r="X197" t="s">
        <v>37</v>
      </c>
      <c r="Y197" t="s">
        <v>38</v>
      </c>
    </row>
    <row r="198" spans="1:25" x14ac:dyDescent="0.35">
      <c r="A198" t="s">
        <v>522</v>
      </c>
      <c r="B198" t="s">
        <v>134</v>
      </c>
      <c r="C198" t="s">
        <v>27</v>
      </c>
      <c r="D198" t="s">
        <v>68</v>
      </c>
      <c r="E198">
        <v>3</v>
      </c>
      <c r="F198" t="s">
        <v>51</v>
      </c>
      <c r="G198">
        <v>203000</v>
      </c>
      <c r="H198">
        <v>150000</v>
      </c>
      <c r="I198">
        <v>295000</v>
      </c>
      <c r="J198" t="s">
        <v>60</v>
      </c>
      <c r="K198" t="s">
        <v>60</v>
      </c>
      <c r="L198" t="s">
        <v>53</v>
      </c>
      <c r="M198" t="s">
        <v>61</v>
      </c>
      <c r="N198" t="s">
        <v>62</v>
      </c>
      <c r="O198" t="s">
        <v>523</v>
      </c>
      <c r="P198">
        <v>17.3</v>
      </c>
      <c r="Q198">
        <v>95</v>
      </c>
      <c r="R198">
        <v>87.6</v>
      </c>
      <c r="S198">
        <v>7.8</v>
      </c>
      <c r="T198">
        <v>2026</v>
      </c>
      <c r="U198">
        <v>2</v>
      </c>
      <c r="V198">
        <v>1</v>
      </c>
      <c r="W198" t="s">
        <v>47</v>
      </c>
      <c r="X198" t="s">
        <v>37</v>
      </c>
      <c r="Y198" t="s">
        <v>38</v>
      </c>
    </row>
    <row r="199" spans="1:25" x14ac:dyDescent="0.35">
      <c r="A199" t="s">
        <v>524</v>
      </c>
      <c r="B199" t="s">
        <v>146</v>
      </c>
      <c r="C199" t="s">
        <v>27</v>
      </c>
      <c r="D199" t="s">
        <v>74</v>
      </c>
      <c r="E199">
        <v>6</v>
      </c>
      <c r="F199" t="s">
        <v>29</v>
      </c>
      <c r="G199">
        <v>209000</v>
      </c>
      <c r="H199">
        <v>160000</v>
      </c>
      <c r="I199">
        <v>300000</v>
      </c>
      <c r="J199" t="s">
        <v>52</v>
      </c>
      <c r="K199" t="s">
        <v>31</v>
      </c>
      <c r="L199" t="s">
        <v>32</v>
      </c>
      <c r="M199" t="s">
        <v>82</v>
      </c>
      <c r="N199" t="s">
        <v>165</v>
      </c>
      <c r="O199" t="s">
        <v>525</v>
      </c>
      <c r="P199">
        <v>9.9</v>
      </c>
      <c r="Q199">
        <v>90</v>
      </c>
      <c r="R199">
        <v>17.100000000000001</v>
      </c>
      <c r="S199">
        <v>7.2</v>
      </c>
      <c r="T199">
        <v>2026</v>
      </c>
      <c r="U199">
        <v>3</v>
      </c>
      <c r="V199">
        <v>0</v>
      </c>
      <c r="W199" t="s">
        <v>36</v>
      </c>
      <c r="X199" t="s">
        <v>64</v>
      </c>
      <c r="Y199" t="s">
        <v>38</v>
      </c>
    </row>
    <row r="200" spans="1:25" x14ac:dyDescent="0.35">
      <c r="A200" t="s">
        <v>526</v>
      </c>
      <c r="B200" t="s">
        <v>153</v>
      </c>
      <c r="C200" t="s">
        <v>154</v>
      </c>
      <c r="D200" t="s">
        <v>28</v>
      </c>
      <c r="E200">
        <v>3</v>
      </c>
      <c r="F200" t="s">
        <v>128</v>
      </c>
      <c r="G200">
        <v>216000</v>
      </c>
      <c r="H200">
        <v>95000</v>
      </c>
      <c r="I200">
        <v>180000</v>
      </c>
      <c r="J200" t="s">
        <v>191</v>
      </c>
      <c r="K200" t="s">
        <v>31</v>
      </c>
      <c r="L200" t="s">
        <v>44</v>
      </c>
      <c r="M200" t="s">
        <v>54</v>
      </c>
      <c r="N200" t="s">
        <v>131</v>
      </c>
      <c r="O200" t="s">
        <v>527</v>
      </c>
      <c r="P200">
        <v>11.3</v>
      </c>
      <c r="Q200">
        <v>78</v>
      </c>
      <c r="R200">
        <v>17</v>
      </c>
      <c r="S200">
        <v>7.7</v>
      </c>
      <c r="T200">
        <v>2026</v>
      </c>
      <c r="U200">
        <v>2</v>
      </c>
      <c r="V200">
        <v>1</v>
      </c>
      <c r="W200" t="s">
        <v>47</v>
      </c>
      <c r="X200" t="s">
        <v>64</v>
      </c>
      <c r="Y200" t="s">
        <v>38</v>
      </c>
    </row>
    <row r="201" spans="1:25" x14ac:dyDescent="0.35">
      <c r="A201" t="s">
        <v>528</v>
      </c>
      <c r="B201" t="s">
        <v>163</v>
      </c>
      <c r="C201" t="s">
        <v>164</v>
      </c>
      <c r="D201" t="s">
        <v>74</v>
      </c>
      <c r="E201">
        <v>5</v>
      </c>
      <c r="F201" t="s">
        <v>128</v>
      </c>
      <c r="G201">
        <v>159000</v>
      </c>
      <c r="H201">
        <v>125000</v>
      </c>
      <c r="I201">
        <v>240000</v>
      </c>
      <c r="J201" t="s">
        <v>30</v>
      </c>
      <c r="K201" t="s">
        <v>31</v>
      </c>
      <c r="L201" t="s">
        <v>44</v>
      </c>
      <c r="M201" t="s">
        <v>61</v>
      </c>
      <c r="N201" t="s">
        <v>62</v>
      </c>
      <c r="O201" t="s">
        <v>529</v>
      </c>
      <c r="P201">
        <v>13.4</v>
      </c>
      <c r="Q201">
        <v>76</v>
      </c>
      <c r="R201">
        <v>30</v>
      </c>
      <c r="S201">
        <v>7.8</v>
      </c>
      <c r="T201">
        <v>2026</v>
      </c>
      <c r="U201">
        <v>2</v>
      </c>
      <c r="V201">
        <v>0</v>
      </c>
      <c r="W201" t="s">
        <v>47</v>
      </c>
      <c r="X201" t="s">
        <v>64</v>
      </c>
      <c r="Y201" t="s">
        <v>48</v>
      </c>
    </row>
    <row r="202" spans="1:25" x14ac:dyDescent="0.35">
      <c r="A202" t="s">
        <v>530</v>
      </c>
      <c r="B202" t="s">
        <v>50</v>
      </c>
      <c r="C202" t="s">
        <v>27</v>
      </c>
      <c r="D202" t="s">
        <v>28</v>
      </c>
      <c r="E202">
        <v>6</v>
      </c>
      <c r="F202" t="s">
        <v>29</v>
      </c>
      <c r="G202">
        <v>318000</v>
      </c>
      <c r="H202">
        <v>160000</v>
      </c>
      <c r="I202">
        <v>300000</v>
      </c>
      <c r="J202" t="s">
        <v>42</v>
      </c>
      <c r="K202" t="s">
        <v>43</v>
      </c>
      <c r="L202" t="s">
        <v>32</v>
      </c>
      <c r="M202" t="s">
        <v>54</v>
      </c>
      <c r="N202" t="s">
        <v>88</v>
      </c>
      <c r="O202" t="s">
        <v>531</v>
      </c>
      <c r="P202">
        <v>7</v>
      </c>
      <c r="Q202">
        <v>98</v>
      </c>
      <c r="R202">
        <v>56.3</v>
      </c>
      <c r="S202">
        <v>9.3000000000000007</v>
      </c>
      <c r="T202">
        <v>2025</v>
      </c>
      <c r="U202">
        <v>12</v>
      </c>
      <c r="V202">
        <v>1</v>
      </c>
      <c r="W202" t="s">
        <v>36</v>
      </c>
      <c r="X202" t="s">
        <v>37</v>
      </c>
      <c r="Y202" t="s">
        <v>56</v>
      </c>
    </row>
    <row r="203" spans="1:25" x14ac:dyDescent="0.35">
      <c r="A203" t="s">
        <v>532</v>
      </c>
      <c r="B203" t="s">
        <v>179</v>
      </c>
      <c r="C203" t="s">
        <v>180</v>
      </c>
      <c r="D203" t="s">
        <v>81</v>
      </c>
      <c r="E203">
        <v>8</v>
      </c>
      <c r="F203" t="s">
        <v>69</v>
      </c>
      <c r="G203">
        <v>110000</v>
      </c>
      <c r="H203">
        <v>110000</v>
      </c>
      <c r="I203">
        <v>210000</v>
      </c>
      <c r="J203" t="s">
        <v>60</v>
      </c>
      <c r="K203" t="s">
        <v>60</v>
      </c>
      <c r="L203" t="s">
        <v>53</v>
      </c>
      <c r="M203" t="s">
        <v>33</v>
      </c>
      <c r="N203" t="s">
        <v>88</v>
      </c>
      <c r="O203" t="s">
        <v>533</v>
      </c>
      <c r="P203">
        <v>8.4</v>
      </c>
      <c r="Q203">
        <v>72</v>
      </c>
      <c r="R203">
        <v>21.2</v>
      </c>
      <c r="S203">
        <v>6.4</v>
      </c>
      <c r="T203">
        <v>2026</v>
      </c>
      <c r="U203">
        <v>3</v>
      </c>
      <c r="V203">
        <v>0</v>
      </c>
      <c r="W203" t="s">
        <v>47</v>
      </c>
      <c r="X203" t="s">
        <v>64</v>
      </c>
      <c r="Y203" t="s">
        <v>95</v>
      </c>
    </row>
    <row r="204" spans="1:25" x14ac:dyDescent="0.35">
      <c r="A204" t="s">
        <v>534</v>
      </c>
      <c r="B204" t="s">
        <v>224</v>
      </c>
      <c r="C204" t="s">
        <v>27</v>
      </c>
      <c r="D204" t="s">
        <v>81</v>
      </c>
      <c r="E204">
        <v>8</v>
      </c>
      <c r="F204" t="s">
        <v>69</v>
      </c>
      <c r="G204">
        <v>176000</v>
      </c>
      <c r="H204">
        <v>145000</v>
      </c>
      <c r="I204">
        <v>280000</v>
      </c>
      <c r="J204" t="s">
        <v>142</v>
      </c>
      <c r="K204" t="s">
        <v>143</v>
      </c>
      <c r="L204" t="s">
        <v>44</v>
      </c>
      <c r="M204" t="s">
        <v>54</v>
      </c>
      <c r="N204" t="s">
        <v>76</v>
      </c>
      <c r="O204" t="s">
        <v>535</v>
      </c>
      <c r="P204">
        <v>9.1</v>
      </c>
      <c r="Q204">
        <v>87</v>
      </c>
      <c r="R204">
        <v>17.2</v>
      </c>
      <c r="S204">
        <v>7.8</v>
      </c>
      <c r="T204">
        <v>2026</v>
      </c>
      <c r="U204">
        <v>3</v>
      </c>
      <c r="V204">
        <v>0</v>
      </c>
      <c r="W204" t="s">
        <v>47</v>
      </c>
      <c r="X204" t="s">
        <v>64</v>
      </c>
      <c r="Y204" t="s">
        <v>48</v>
      </c>
    </row>
    <row r="205" spans="1:25" x14ac:dyDescent="0.35">
      <c r="A205" t="s">
        <v>536</v>
      </c>
      <c r="B205" t="s">
        <v>168</v>
      </c>
      <c r="C205" t="s">
        <v>169</v>
      </c>
      <c r="D205" t="s">
        <v>81</v>
      </c>
      <c r="E205">
        <v>9</v>
      </c>
      <c r="F205" t="s">
        <v>41</v>
      </c>
      <c r="G205">
        <v>157000</v>
      </c>
      <c r="H205">
        <v>157000</v>
      </c>
      <c r="I205">
        <v>218000</v>
      </c>
      <c r="J205" t="s">
        <v>170</v>
      </c>
      <c r="K205" t="s">
        <v>171</v>
      </c>
      <c r="L205" t="s">
        <v>53</v>
      </c>
      <c r="M205" t="s">
        <v>61</v>
      </c>
      <c r="N205" t="s">
        <v>83</v>
      </c>
      <c r="O205" t="s">
        <v>537</v>
      </c>
      <c r="P205">
        <v>6.4</v>
      </c>
      <c r="Q205">
        <v>90</v>
      </c>
      <c r="R205">
        <v>17</v>
      </c>
      <c r="S205">
        <v>6.8</v>
      </c>
      <c r="T205">
        <v>2025</v>
      </c>
      <c r="U205">
        <v>7</v>
      </c>
      <c r="V205">
        <v>0</v>
      </c>
      <c r="W205" t="s">
        <v>47</v>
      </c>
      <c r="X205" t="s">
        <v>64</v>
      </c>
      <c r="Y205" t="s">
        <v>48</v>
      </c>
    </row>
    <row r="206" spans="1:25" x14ac:dyDescent="0.35">
      <c r="A206" t="s">
        <v>538</v>
      </c>
      <c r="B206" t="s">
        <v>196</v>
      </c>
      <c r="C206" t="s">
        <v>27</v>
      </c>
      <c r="D206" t="s">
        <v>81</v>
      </c>
      <c r="E206">
        <v>3</v>
      </c>
      <c r="F206" t="s">
        <v>51</v>
      </c>
      <c r="G206">
        <v>100000</v>
      </c>
      <c r="H206">
        <v>100000</v>
      </c>
      <c r="I206">
        <v>250000</v>
      </c>
      <c r="J206" t="s">
        <v>42</v>
      </c>
      <c r="K206" t="s">
        <v>43</v>
      </c>
      <c r="L206" t="s">
        <v>44</v>
      </c>
      <c r="M206" t="s">
        <v>33</v>
      </c>
      <c r="N206" t="s">
        <v>131</v>
      </c>
      <c r="O206" t="s">
        <v>539</v>
      </c>
      <c r="P206">
        <v>12.1</v>
      </c>
      <c r="Q206">
        <v>95</v>
      </c>
      <c r="R206">
        <v>85.8</v>
      </c>
      <c r="S206">
        <v>8.4</v>
      </c>
      <c r="T206">
        <v>2026</v>
      </c>
      <c r="U206">
        <v>3</v>
      </c>
      <c r="V206">
        <v>0</v>
      </c>
      <c r="W206" t="s">
        <v>47</v>
      </c>
      <c r="X206" t="s">
        <v>64</v>
      </c>
      <c r="Y206" t="s">
        <v>98</v>
      </c>
    </row>
    <row r="207" spans="1:25" x14ac:dyDescent="0.35">
      <c r="A207" t="s">
        <v>540</v>
      </c>
      <c r="B207" t="s">
        <v>146</v>
      </c>
      <c r="C207" t="s">
        <v>27</v>
      </c>
      <c r="D207" t="s">
        <v>81</v>
      </c>
      <c r="E207">
        <v>6</v>
      </c>
      <c r="F207" t="s">
        <v>69</v>
      </c>
      <c r="G207">
        <v>160000</v>
      </c>
      <c r="H207">
        <v>160000</v>
      </c>
      <c r="I207">
        <v>300000</v>
      </c>
      <c r="J207" t="s">
        <v>129</v>
      </c>
      <c r="K207" t="s">
        <v>130</v>
      </c>
      <c r="L207" t="s">
        <v>53</v>
      </c>
      <c r="M207" t="s">
        <v>33</v>
      </c>
      <c r="N207" t="s">
        <v>131</v>
      </c>
      <c r="O207" t="s">
        <v>541</v>
      </c>
      <c r="P207">
        <v>11.4</v>
      </c>
      <c r="Q207">
        <v>90</v>
      </c>
      <c r="R207">
        <v>16.3</v>
      </c>
      <c r="S207">
        <v>8.1999999999999993</v>
      </c>
      <c r="T207">
        <v>2025</v>
      </c>
      <c r="U207">
        <v>7</v>
      </c>
      <c r="V207">
        <v>0</v>
      </c>
      <c r="W207" t="s">
        <v>47</v>
      </c>
      <c r="X207" t="s">
        <v>64</v>
      </c>
      <c r="Y207" t="s">
        <v>48</v>
      </c>
    </row>
    <row r="208" spans="1:25" x14ac:dyDescent="0.35">
      <c r="A208" t="s">
        <v>542</v>
      </c>
      <c r="B208" t="s">
        <v>168</v>
      </c>
      <c r="C208" t="s">
        <v>169</v>
      </c>
      <c r="D208" t="s">
        <v>81</v>
      </c>
      <c r="E208">
        <v>11</v>
      </c>
      <c r="F208" t="s">
        <v>51</v>
      </c>
      <c r="G208">
        <v>157000</v>
      </c>
      <c r="H208">
        <v>157000</v>
      </c>
      <c r="I208">
        <v>218000</v>
      </c>
      <c r="J208" t="s">
        <v>30</v>
      </c>
      <c r="K208" t="s">
        <v>31</v>
      </c>
      <c r="L208" t="s">
        <v>44</v>
      </c>
      <c r="M208" t="s">
        <v>33</v>
      </c>
      <c r="N208" t="s">
        <v>34</v>
      </c>
      <c r="O208" t="s">
        <v>543</v>
      </c>
      <c r="P208">
        <v>3.9</v>
      </c>
      <c r="Q208">
        <v>90</v>
      </c>
      <c r="R208">
        <v>20.100000000000001</v>
      </c>
      <c r="S208">
        <v>9.1</v>
      </c>
      <c r="T208">
        <v>2026</v>
      </c>
      <c r="U208">
        <v>3</v>
      </c>
      <c r="V208">
        <v>0</v>
      </c>
      <c r="W208" t="s">
        <v>47</v>
      </c>
      <c r="X208" t="s">
        <v>64</v>
      </c>
      <c r="Y208" t="s">
        <v>48</v>
      </c>
    </row>
    <row r="209" spans="1:25" x14ac:dyDescent="0.35">
      <c r="A209" t="s">
        <v>544</v>
      </c>
      <c r="B209" t="s">
        <v>26</v>
      </c>
      <c r="C209" t="s">
        <v>27</v>
      </c>
      <c r="D209" t="s">
        <v>68</v>
      </c>
      <c r="E209">
        <v>7</v>
      </c>
      <c r="F209" t="s">
        <v>128</v>
      </c>
      <c r="G209">
        <v>348000</v>
      </c>
      <c r="H209">
        <v>155000</v>
      </c>
      <c r="I209">
        <v>290000</v>
      </c>
      <c r="J209" t="s">
        <v>122</v>
      </c>
      <c r="K209" t="s">
        <v>123</v>
      </c>
      <c r="L209" t="s">
        <v>53</v>
      </c>
      <c r="M209" t="s">
        <v>54</v>
      </c>
      <c r="N209" t="s">
        <v>88</v>
      </c>
      <c r="O209" t="s">
        <v>545</v>
      </c>
      <c r="P209">
        <v>17.100000000000001</v>
      </c>
      <c r="Q209">
        <v>96</v>
      </c>
      <c r="R209">
        <v>21.1</v>
      </c>
      <c r="S209">
        <v>8.3000000000000007</v>
      </c>
      <c r="T209">
        <v>2026</v>
      </c>
      <c r="U209">
        <v>2</v>
      </c>
      <c r="V209">
        <v>1</v>
      </c>
      <c r="W209" t="s">
        <v>47</v>
      </c>
      <c r="X209" t="s">
        <v>37</v>
      </c>
      <c r="Y209" t="s">
        <v>56</v>
      </c>
    </row>
    <row r="210" spans="1:25" x14ac:dyDescent="0.35">
      <c r="A210" t="s">
        <v>546</v>
      </c>
      <c r="B210" t="s">
        <v>141</v>
      </c>
      <c r="C210" t="s">
        <v>27</v>
      </c>
      <c r="D210" t="s">
        <v>74</v>
      </c>
      <c r="E210">
        <v>6</v>
      </c>
      <c r="F210" t="s">
        <v>51</v>
      </c>
      <c r="G210">
        <v>141000</v>
      </c>
      <c r="H210">
        <v>141000</v>
      </c>
      <c r="I210">
        <v>270000</v>
      </c>
      <c r="J210" t="s">
        <v>174</v>
      </c>
      <c r="K210" t="s">
        <v>31</v>
      </c>
      <c r="L210" t="s">
        <v>44</v>
      </c>
      <c r="M210" t="s">
        <v>33</v>
      </c>
      <c r="N210" t="s">
        <v>155</v>
      </c>
      <c r="O210" t="s">
        <v>547</v>
      </c>
      <c r="P210">
        <v>5.6</v>
      </c>
      <c r="Q210">
        <v>89</v>
      </c>
      <c r="R210">
        <v>11.9</v>
      </c>
      <c r="S210">
        <v>8.6</v>
      </c>
      <c r="T210">
        <v>2026</v>
      </c>
      <c r="U210">
        <v>2</v>
      </c>
      <c r="V210">
        <v>0</v>
      </c>
      <c r="W210" t="s">
        <v>47</v>
      </c>
      <c r="X210" t="s">
        <v>64</v>
      </c>
      <c r="Y210" t="s">
        <v>95</v>
      </c>
    </row>
    <row r="211" spans="1:25" x14ac:dyDescent="0.35">
      <c r="A211" t="s">
        <v>548</v>
      </c>
      <c r="B211" t="s">
        <v>163</v>
      </c>
      <c r="C211" t="s">
        <v>164</v>
      </c>
      <c r="D211" t="s">
        <v>81</v>
      </c>
      <c r="E211">
        <v>10</v>
      </c>
      <c r="F211" t="s">
        <v>128</v>
      </c>
      <c r="G211">
        <v>166000</v>
      </c>
      <c r="H211">
        <v>125000</v>
      </c>
      <c r="I211">
        <v>240000</v>
      </c>
      <c r="J211" t="s">
        <v>102</v>
      </c>
      <c r="K211" t="s">
        <v>103</v>
      </c>
      <c r="L211" t="s">
        <v>53</v>
      </c>
      <c r="M211" t="s">
        <v>45</v>
      </c>
      <c r="N211" t="s">
        <v>88</v>
      </c>
      <c r="O211" t="s">
        <v>549</v>
      </c>
      <c r="P211">
        <v>17.5</v>
      </c>
      <c r="Q211">
        <v>76</v>
      </c>
      <c r="R211">
        <v>7.5</v>
      </c>
      <c r="S211">
        <v>7.9</v>
      </c>
      <c r="T211">
        <v>2026</v>
      </c>
      <c r="U211">
        <v>3</v>
      </c>
      <c r="V211">
        <v>0</v>
      </c>
      <c r="W211" t="s">
        <v>47</v>
      </c>
      <c r="X211" t="s">
        <v>64</v>
      </c>
      <c r="Y211" t="s">
        <v>48</v>
      </c>
    </row>
    <row r="212" spans="1:25" x14ac:dyDescent="0.35">
      <c r="A212" t="s">
        <v>550</v>
      </c>
      <c r="B212" t="s">
        <v>158</v>
      </c>
      <c r="C212" t="s">
        <v>27</v>
      </c>
      <c r="D212" t="s">
        <v>68</v>
      </c>
      <c r="E212">
        <v>3</v>
      </c>
      <c r="F212" t="s">
        <v>41</v>
      </c>
      <c r="G212">
        <v>336000</v>
      </c>
      <c r="H212">
        <v>145000</v>
      </c>
      <c r="I212">
        <v>280000</v>
      </c>
      <c r="J212" t="s">
        <v>296</v>
      </c>
      <c r="K212" t="s">
        <v>31</v>
      </c>
      <c r="L212" t="s">
        <v>44</v>
      </c>
      <c r="M212" t="s">
        <v>61</v>
      </c>
      <c r="N212" t="s">
        <v>124</v>
      </c>
      <c r="O212" t="s">
        <v>551</v>
      </c>
      <c r="P212">
        <v>9.9</v>
      </c>
      <c r="Q212">
        <v>94</v>
      </c>
      <c r="R212">
        <v>59.8</v>
      </c>
      <c r="S212">
        <v>8</v>
      </c>
      <c r="T212">
        <v>2026</v>
      </c>
      <c r="U212">
        <v>3</v>
      </c>
      <c r="V212">
        <v>1</v>
      </c>
      <c r="W212" t="s">
        <v>47</v>
      </c>
      <c r="X212" t="s">
        <v>37</v>
      </c>
      <c r="Y212" t="s">
        <v>56</v>
      </c>
    </row>
    <row r="213" spans="1:25" x14ac:dyDescent="0.35">
      <c r="A213" t="s">
        <v>552</v>
      </c>
      <c r="B213" t="s">
        <v>127</v>
      </c>
      <c r="C213" t="s">
        <v>27</v>
      </c>
      <c r="D213" t="s">
        <v>68</v>
      </c>
      <c r="E213">
        <v>7</v>
      </c>
      <c r="F213" t="s">
        <v>41</v>
      </c>
      <c r="G213">
        <v>279000</v>
      </c>
      <c r="H213">
        <v>120000</v>
      </c>
      <c r="I213">
        <v>280000</v>
      </c>
      <c r="J213" t="s">
        <v>75</v>
      </c>
      <c r="K213" t="s">
        <v>31</v>
      </c>
      <c r="L213" t="s">
        <v>32</v>
      </c>
      <c r="M213" t="s">
        <v>45</v>
      </c>
      <c r="N213" t="s">
        <v>83</v>
      </c>
      <c r="O213" t="s">
        <v>553</v>
      </c>
      <c r="P213">
        <v>8</v>
      </c>
      <c r="Q213">
        <v>97</v>
      </c>
      <c r="R213">
        <v>26.5</v>
      </c>
      <c r="S213">
        <v>9.8000000000000007</v>
      </c>
      <c r="T213">
        <v>2026</v>
      </c>
      <c r="U213">
        <v>2</v>
      </c>
      <c r="V213">
        <v>1</v>
      </c>
      <c r="W213" t="s">
        <v>36</v>
      </c>
      <c r="X213" t="s">
        <v>64</v>
      </c>
      <c r="Y213" t="s">
        <v>38</v>
      </c>
    </row>
    <row r="214" spans="1:25" x14ac:dyDescent="0.35">
      <c r="A214" t="s">
        <v>554</v>
      </c>
      <c r="B214" t="s">
        <v>146</v>
      </c>
      <c r="C214" t="s">
        <v>27</v>
      </c>
      <c r="D214" t="s">
        <v>81</v>
      </c>
      <c r="E214">
        <v>8</v>
      </c>
      <c r="F214" t="s">
        <v>51</v>
      </c>
      <c r="G214">
        <v>160000</v>
      </c>
      <c r="H214">
        <v>160000</v>
      </c>
      <c r="I214">
        <v>300000</v>
      </c>
      <c r="J214" t="s">
        <v>137</v>
      </c>
      <c r="K214" t="s">
        <v>138</v>
      </c>
      <c r="L214" t="s">
        <v>32</v>
      </c>
      <c r="M214" t="s">
        <v>45</v>
      </c>
      <c r="N214" t="s">
        <v>110</v>
      </c>
      <c r="O214" t="s">
        <v>555</v>
      </c>
      <c r="P214">
        <v>17.600000000000001</v>
      </c>
      <c r="Q214">
        <v>90</v>
      </c>
      <c r="R214">
        <v>16.399999999999999</v>
      </c>
      <c r="S214">
        <v>7.5</v>
      </c>
      <c r="T214">
        <v>2025</v>
      </c>
      <c r="U214">
        <v>3</v>
      </c>
      <c r="V214">
        <v>0</v>
      </c>
      <c r="W214" t="s">
        <v>36</v>
      </c>
      <c r="X214" t="s">
        <v>64</v>
      </c>
      <c r="Y214" t="s">
        <v>48</v>
      </c>
    </row>
    <row r="215" spans="1:25" x14ac:dyDescent="0.35">
      <c r="A215" t="s">
        <v>556</v>
      </c>
      <c r="B215" t="s">
        <v>40</v>
      </c>
      <c r="C215" t="s">
        <v>27</v>
      </c>
      <c r="D215" t="s">
        <v>74</v>
      </c>
      <c r="E215">
        <v>1</v>
      </c>
      <c r="F215" t="s">
        <v>51</v>
      </c>
      <c r="G215">
        <v>90000</v>
      </c>
      <c r="H215">
        <v>90000</v>
      </c>
      <c r="I215">
        <v>200000</v>
      </c>
      <c r="J215" t="s">
        <v>117</v>
      </c>
      <c r="K215" t="s">
        <v>118</v>
      </c>
      <c r="L215" t="s">
        <v>53</v>
      </c>
      <c r="M215" t="s">
        <v>33</v>
      </c>
      <c r="N215" t="s">
        <v>71</v>
      </c>
      <c r="O215" t="s">
        <v>557</v>
      </c>
      <c r="P215">
        <v>9.6999999999999993</v>
      </c>
      <c r="Q215">
        <v>82</v>
      </c>
      <c r="R215">
        <v>16.5</v>
      </c>
      <c r="S215">
        <v>7.8</v>
      </c>
      <c r="T215">
        <v>2026</v>
      </c>
      <c r="U215">
        <v>1</v>
      </c>
      <c r="V215">
        <v>0</v>
      </c>
      <c r="W215" t="s">
        <v>47</v>
      </c>
      <c r="X215" t="s">
        <v>37</v>
      </c>
      <c r="Y215" t="s">
        <v>98</v>
      </c>
    </row>
    <row r="216" spans="1:25" x14ac:dyDescent="0.35">
      <c r="A216" t="s">
        <v>558</v>
      </c>
      <c r="B216" t="s">
        <v>179</v>
      </c>
      <c r="C216" t="s">
        <v>180</v>
      </c>
      <c r="D216" t="s">
        <v>74</v>
      </c>
      <c r="E216">
        <v>7</v>
      </c>
      <c r="F216" t="s">
        <v>69</v>
      </c>
      <c r="G216">
        <v>113000</v>
      </c>
      <c r="H216">
        <v>110000</v>
      </c>
      <c r="I216">
        <v>210000</v>
      </c>
      <c r="J216" t="s">
        <v>30</v>
      </c>
      <c r="K216" t="s">
        <v>31</v>
      </c>
      <c r="L216" t="s">
        <v>44</v>
      </c>
      <c r="M216" t="s">
        <v>82</v>
      </c>
      <c r="N216" t="s">
        <v>34</v>
      </c>
      <c r="O216" t="s">
        <v>559</v>
      </c>
      <c r="P216">
        <v>15.5</v>
      </c>
      <c r="Q216">
        <v>72</v>
      </c>
      <c r="R216">
        <v>13.5</v>
      </c>
      <c r="S216">
        <v>8.1</v>
      </c>
      <c r="T216">
        <v>2025</v>
      </c>
      <c r="U216">
        <v>6</v>
      </c>
      <c r="V216">
        <v>0</v>
      </c>
      <c r="W216" t="s">
        <v>47</v>
      </c>
      <c r="X216" t="s">
        <v>64</v>
      </c>
      <c r="Y216" t="s">
        <v>95</v>
      </c>
    </row>
    <row r="217" spans="1:25" x14ac:dyDescent="0.35">
      <c r="A217" t="s">
        <v>560</v>
      </c>
      <c r="B217" t="s">
        <v>58</v>
      </c>
      <c r="C217" t="s">
        <v>59</v>
      </c>
      <c r="D217" t="s">
        <v>28</v>
      </c>
      <c r="E217">
        <v>7</v>
      </c>
      <c r="F217" t="s">
        <v>29</v>
      </c>
      <c r="G217">
        <v>264000</v>
      </c>
      <c r="H217">
        <v>130000</v>
      </c>
      <c r="I217">
        <v>220000</v>
      </c>
      <c r="J217" t="s">
        <v>70</v>
      </c>
      <c r="K217" t="s">
        <v>31</v>
      </c>
      <c r="L217" t="s">
        <v>32</v>
      </c>
      <c r="M217" t="s">
        <v>54</v>
      </c>
      <c r="N217" t="s">
        <v>71</v>
      </c>
      <c r="O217" t="s">
        <v>561</v>
      </c>
      <c r="P217">
        <v>10.5</v>
      </c>
      <c r="Q217">
        <v>88</v>
      </c>
      <c r="R217">
        <v>20.5</v>
      </c>
      <c r="S217">
        <v>6.6</v>
      </c>
      <c r="T217">
        <v>2025</v>
      </c>
      <c r="U217">
        <v>2</v>
      </c>
      <c r="V217">
        <v>1</v>
      </c>
      <c r="W217" t="s">
        <v>36</v>
      </c>
      <c r="X217" t="s">
        <v>64</v>
      </c>
      <c r="Y217" t="s">
        <v>38</v>
      </c>
    </row>
    <row r="218" spans="1:25" x14ac:dyDescent="0.35">
      <c r="A218" t="s">
        <v>562</v>
      </c>
      <c r="B218" t="s">
        <v>146</v>
      </c>
      <c r="C218" t="s">
        <v>27</v>
      </c>
      <c r="D218" t="s">
        <v>74</v>
      </c>
      <c r="E218">
        <v>9</v>
      </c>
      <c r="F218" t="s">
        <v>51</v>
      </c>
      <c r="G218">
        <v>221000</v>
      </c>
      <c r="H218">
        <v>160000</v>
      </c>
      <c r="I218">
        <v>300000</v>
      </c>
      <c r="J218" t="s">
        <v>47</v>
      </c>
      <c r="K218" t="s">
        <v>87</v>
      </c>
      <c r="L218" t="s">
        <v>44</v>
      </c>
      <c r="M218" t="s">
        <v>54</v>
      </c>
      <c r="N218" t="s">
        <v>110</v>
      </c>
      <c r="O218" t="s">
        <v>563</v>
      </c>
      <c r="P218">
        <v>15.5</v>
      </c>
      <c r="Q218">
        <v>90</v>
      </c>
      <c r="R218">
        <v>8.1999999999999993</v>
      </c>
      <c r="S218">
        <v>8</v>
      </c>
      <c r="T218">
        <v>2026</v>
      </c>
      <c r="U218">
        <v>3</v>
      </c>
      <c r="V218">
        <v>0</v>
      </c>
      <c r="W218" t="s">
        <v>47</v>
      </c>
      <c r="X218" t="s">
        <v>64</v>
      </c>
      <c r="Y218" t="s">
        <v>38</v>
      </c>
    </row>
    <row r="219" spans="1:25" x14ac:dyDescent="0.35">
      <c r="A219" t="s">
        <v>564</v>
      </c>
      <c r="B219" t="s">
        <v>127</v>
      </c>
      <c r="C219" t="s">
        <v>27</v>
      </c>
      <c r="D219" t="s">
        <v>68</v>
      </c>
      <c r="E219">
        <v>4</v>
      </c>
      <c r="F219" t="s">
        <v>29</v>
      </c>
      <c r="G219">
        <v>257000</v>
      </c>
      <c r="H219">
        <v>120000</v>
      </c>
      <c r="I219">
        <v>280000</v>
      </c>
      <c r="J219" t="s">
        <v>117</v>
      </c>
      <c r="K219" t="s">
        <v>118</v>
      </c>
      <c r="L219" t="s">
        <v>53</v>
      </c>
      <c r="M219" t="s">
        <v>82</v>
      </c>
      <c r="N219" t="s">
        <v>165</v>
      </c>
      <c r="O219" t="s">
        <v>565</v>
      </c>
      <c r="P219">
        <v>9.9</v>
      </c>
      <c r="Q219">
        <v>97</v>
      </c>
      <c r="R219">
        <v>34.200000000000003</v>
      </c>
      <c r="S219">
        <v>7</v>
      </c>
      <c r="T219">
        <v>2026</v>
      </c>
      <c r="U219">
        <v>2</v>
      </c>
      <c r="V219">
        <v>1</v>
      </c>
      <c r="W219" t="s">
        <v>47</v>
      </c>
      <c r="X219" t="s">
        <v>64</v>
      </c>
      <c r="Y219" t="s">
        <v>38</v>
      </c>
    </row>
    <row r="220" spans="1:25" x14ac:dyDescent="0.35">
      <c r="A220" t="s">
        <v>566</v>
      </c>
      <c r="B220" t="s">
        <v>58</v>
      </c>
      <c r="C220" t="s">
        <v>59</v>
      </c>
      <c r="D220" t="s">
        <v>68</v>
      </c>
      <c r="E220">
        <v>8</v>
      </c>
      <c r="F220" t="s">
        <v>29</v>
      </c>
      <c r="G220">
        <v>264000</v>
      </c>
      <c r="H220">
        <v>130000</v>
      </c>
      <c r="I220">
        <v>220000</v>
      </c>
      <c r="J220" t="s">
        <v>75</v>
      </c>
      <c r="K220" t="s">
        <v>31</v>
      </c>
      <c r="L220" t="s">
        <v>44</v>
      </c>
      <c r="M220" t="s">
        <v>45</v>
      </c>
      <c r="N220" t="s">
        <v>124</v>
      </c>
      <c r="O220" t="s">
        <v>567</v>
      </c>
      <c r="P220">
        <v>10.4</v>
      </c>
      <c r="Q220">
        <v>88</v>
      </c>
      <c r="R220">
        <v>15.8</v>
      </c>
      <c r="S220">
        <v>7.4</v>
      </c>
      <c r="T220">
        <v>2025</v>
      </c>
      <c r="U220">
        <v>12</v>
      </c>
      <c r="V220">
        <v>1</v>
      </c>
      <c r="W220" t="s">
        <v>47</v>
      </c>
      <c r="X220" t="s">
        <v>64</v>
      </c>
      <c r="Y220" t="s">
        <v>38</v>
      </c>
    </row>
    <row r="221" spans="1:25" x14ac:dyDescent="0.35">
      <c r="A221" t="s">
        <v>568</v>
      </c>
      <c r="B221" t="s">
        <v>168</v>
      </c>
      <c r="C221" t="s">
        <v>169</v>
      </c>
      <c r="D221" t="s">
        <v>81</v>
      </c>
      <c r="E221">
        <v>10</v>
      </c>
      <c r="F221" t="s">
        <v>69</v>
      </c>
      <c r="G221">
        <v>157000</v>
      </c>
      <c r="H221">
        <v>157000</v>
      </c>
      <c r="I221">
        <v>218000</v>
      </c>
      <c r="J221" t="s">
        <v>47</v>
      </c>
      <c r="K221" t="s">
        <v>87</v>
      </c>
      <c r="L221" t="s">
        <v>44</v>
      </c>
      <c r="M221" t="s">
        <v>33</v>
      </c>
      <c r="N221" t="s">
        <v>110</v>
      </c>
      <c r="O221" t="s">
        <v>569</v>
      </c>
      <c r="P221">
        <v>7.4</v>
      </c>
      <c r="Q221">
        <v>90</v>
      </c>
      <c r="R221">
        <v>16.2</v>
      </c>
      <c r="S221">
        <v>7.3</v>
      </c>
      <c r="T221">
        <v>2025</v>
      </c>
      <c r="U221">
        <v>9</v>
      </c>
      <c r="V221">
        <v>0</v>
      </c>
      <c r="W221" t="s">
        <v>47</v>
      </c>
      <c r="X221" t="s">
        <v>64</v>
      </c>
      <c r="Y221" t="s">
        <v>48</v>
      </c>
    </row>
    <row r="222" spans="1:25" x14ac:dyDescent="0.35">
      <c r="A222" t="s">
        <v>570</v>
      </c>
      <c r="B222" t="s">
        <v>163</v>
      </c>
      <c r="C222" t="s">
        <v>164</v>
      </c>
      <c r="D222" t="s">
        <v>74</v>
      </c>
      <c r="E222">
        <v>6</v>
      </c>
      <c r="F222" t="s">
        <v>69</v>
      </c>
      <c r="G222">
        <v>125000</v>
      </c>
      <c r="H222">
        <v>125000</v>
      </c>
      <c r="I222">
        <v>240000</v>
      </c>
      <c r="J222" t="s">
        <v>142</v>
      </c>
      <c r="K222" t="s">
        <v>143</v>
      </c>
      <c r="L222" t="s">
        <v>44</v>
      </c>
      <c r="M222" t="s">
        <v>82</v>
      </c>
      <c r="N222" t="s">
        <v>76</v>
      </c>
      <c r="O222" t="s">
        <v>571</v>
      </c>
      <c r="P222">
        <v>12.6</v>
      </c>
      <c r="Q222">
        <v>76</v>
      </c>
      <c r="R222">
        <v>28.9</v>
      </c>
      <c r="S222">
        <v>9.3000000000000007</v>
      </c>
      <c r="T222">
        <v>2026</v>
      </c>
      <c r="U222">
        <v>2</v>
      </c>
      <c r="V222">
        <v>0</v>
      </c>
      <c r="W222" t="s">
        <v>47</v>
      </c>
      <c r="X222" t="s">
        <v>64</v>
      </c>
      <c r="Y222" t="s">
        <v>95</v>
      </c>
    </row>
    <row r="223" spans="1:25" x14ac:dyDescent="0.35">
      <c r="A223" t="s">
        <v>572</v>
      </c>
      <c r="B223" t="s">
        <v>40</v>
      </c>
      <c r="C223" t="s">
        <v>27</v>
      </c>
      <c r="D223" t="s">
        <v>68</v>
      </c>
      <c r="E223">
        <v>3</v>
      </c>
      <c r="F223" t="s">
        <v>41</v>
      </c>
      <c r="G223">
        <v>90000</v>
      </c>
      <c r="H223">
        <v>90000</v>
      </c>
      <c r="I223">
        <v>200000</v>
      </c>
      <c r="J223" t="s">
        <v>108</v>
      </c>
      <c r="K223" t="s">
        <v>109</v>
      </c>
      <c r="L223" t="s">
        <v>53</v>
      </c>
      <c r="M223" t="s">
        <v>54</v>
      </c>
      <c r="N223" t="s">
        <v>110</v>
      </c>
      <c r="O223" t="s">
        <v>573</v>
      </c>
      <c r="P223">
        <v>8.5</v>
      </c>
      <c r="Q223">
        <v>82</v>
      </c>
      <c r="R223">
        <v>28.5</v>
      </c>
      <c r="S223">
        <v>8.8000000000000007</v>
      </c>
      <c r="T223">
        <v>2026</v>
      </c>
      <c r="U223">
        <v>2</v>
      </c>
      <c r="V223">
        <v>1</v>
      </c>
      <c r="W223" t="s">
        <v>47</v>
      </c>
      <c r="X223" t="s">
        <v>37</v>
      </c>
      <c r="Y223" t="s">
        <v>98</v>
      </c>
    </row>
    <row r="224" spans="1:25" x14ac:dyDescent="0.35">
      <c r="A224" t="s">
        <v>574</v>
      </c>
      <c r="B224" t="s">
        <v>40</v>
      </c>
      <c r="C224" t="s">
        <v>27</v>
      </c>
      <c r="D224" t="s">
        <v>74</v>
      </c>
      <c r="E224">
        <v>3</v>
      </c>
      <c r="F224" t="s">
        <v>29</v>
      </c>
      <c r="G224">
        <v>106000</v>
      </c>
      <c r="H224">
        <v>90000</v>
      </c>
      <c r="I224">
        <v>200000</v>
      </c>
      <c r="J224" t="s">
        <v>75</v>
      </c>
      <c r="K224" t="s">
        <v>31</v>
      </c>
      <c r="L224" t="s">
        <v>53</v>
      </c>
      <c r="M224" t="s">
        <v>61</v>
      </c>
      <c r="N224" t="s">
        <v>34</v>
      </c>
      <c r="O224" t="s">
        <v>575</v>
      </c>
      <c r="P224">
        <v>6.3</v>
      </c>
      <c r="Q224">
        <v>82</v>
      </c>
      <c r="R224">
        <v>6.3</v>
      </c>
      <c r="S224">
        <v>8.9</v>
      </c>
      <c r="T224">
        <v>2026</v>
      </c>
      <c r="U224">
        <v>1</v>
      </c>
      <c r="V224">
        <v>0</v>
      </c>
      <c r="W224" t="s">
        <v>47</v>
      </c>
      <c r="X224" t="s">
        <v>37</v>
      </c>
      <c r="Y224" t="s">
        <v>95</v>
      </c>
    </row>
    <row r="225" spans="1:25" x14ac:dyDescent="0.35">
      <c r="A225" t="s">
        <v>576</v>
      </c>
      <c r="B225" t="s">
        <v>203</v>
      </c>
      <c r="C225" t="s">
        <v>169</v>
      </c>
      <c r="D225" t="s">
        <v>81</v>
      </c>
      <c r="E225">
        <v>5</v>
      </c>
      <c r="F225" t="s">
        <v>41</v>
      </c>
      <c r="G225">
        <v>159000</v>
      </c>
      <c r="H225">
        <v>138000</v>
      </c>
      <c r="I225">
        <v>195000</v>
      </c>
      <c r="J225" t="s">
        <v>142</v>
      </c>
      <c r="K225" t="s">
        <v>143</v>
      </c>
      <c r="L225" t="s">
        <v>32</v>
      </c>
      <c r="M225" t="s">
        <v>54</v>
      </c>
      <c r="N225" t="s">
        <v>131</v>
      </c>
      <c r="O225" t="s">
        <v>577</v>
      </c>
      <c r="P225">
        <v>7.6</v>
      </c>
      <c r="Q225">
        <v>92</v>
      </c>
      <c r="R225">
        <v>77.8</v>
      </c>
      <c r="S225">
        <v>7.2</v>
      </c>
      <c r="T225">
        <v>2026</v>
      </c>
      <c r="U225">
        <v>3</v>
      </c>
      <c r="V225">
        <v>0</v>
      </c>
      <c r="W225" t="s">
        <v>36</v>
      </c>
      <c r="X225" t="s">
        <v>64</v>
      </c>
      <c r="Y225" t="s">
        <v>48</v>
      </c>
    </row>
    <row r="226" spans="1:25" x14ac:dyDescent="0.35">
      <c r="A226" t="s">
        <v>578</v>
      </c>
      <c r="B226" t="s">
        <v>224</v>
      </c>
      <c r="C226" t="s">
        <v>27</v>
      </c>
      <c r="D226" t="s">
        <v>81</v>
      </c>
      <c r="E226">
        <v>10</v>
      </c>
      <c r="F226" t="s">
        <v>51</v>
      </c>
      <c r="G226">
        <v>145000</v>
      </c>
      <c r="H226">
        <v>145000</v>
      </c>
      <c r="I226">
        <v>280000</v>
      </c>
      <c r="J226" t="s">
        <v>102</v>
      </c>
      <c r="K226" t="s">
        <v>103</v>
      </c>
      <c r="L226" t="s">
        <v>44</v>
      </c>
      <c r="M226" t="s">
        <v>45</v>
      </c>
      <c r="N226" t="s">
        <v>110</v>
      </c>
      <c r="O226" t="s">
        <v>579</v>
      </c>
      <c r="P226">
        <v>4.8</v>
      </c>
      <c r="Q226">
        <v>87</v>
      </c>
      <c r="R226">
        <v>12.6</v>
      </c>
      <c r="S226">
        <v>6</v>
      </c>
      <c r="T226">
        <v>2026</v>
      </c>
      <c r="U226">
        <v>1</v>
      </c>
      <c r="V226">
        <v>0</v>
      </c>
      <c r="W226" t="s">
        <v>47</v>
      </c>
      <c r="X226" t="s">
        <v>64</v>
      </c>
      <c r="Y226" t="s">
        <v>95</v>
      </c>
    </row>
    <row r="227" spans="1:25" x14ac:dyDescent="0.35">
      <c r="A227" t="s">
        <v>580</v>
      </c>
      <c r="B227" t="s">
        <v>58</v>
      </c>
      <c r="C227" t="s">
        <v>59</v>
      </c>
      <c r="D227" t="s">
        <v>74</v>
      </c>
      <c r="E227">
        <v>5</v>
      </c>
      <c r="F227" t="s">
        <v>69</v>
      </c>
      <c r="G227">
        <v>130000</v>
      </c>
      <c r="H227">
        <v>130000</v>
      </c>
      <c r="I227">
        <v>220000</v>
      </c>
      <c r="J227" t="s">
        <v>129</v>
      </c>
      <c r="K227" t="s">
        <v>130</v>
      </c>
      <c r="L227" t="s">
        <v>44</v>
      </c>
      <c r="M227" t="s">
        <v>45</v>
      </c>
      <c r="N227" t="s">
        <v>155</v>
      </c>
      <c r="O227" t="s">
        <v>581</v>
      </c>
      <c r="P227">
        <v>10.5</v>
      </c>
      <c r="Q227">
        <v>88</v>
      </c>
      <c r="R227">
        <v>22.9</v>
      </c>
      <c r="S227">
        <v>8.5</v>
      </c>
      <c r="T227">
        <v>2026</v>
      </c>
      <c r="U227">
        <v>1</v>
      </c>
      <c r="V227">
        <v>0</v>
      </c>
      <c r="W227" t="s">
        <v>47</v>
      </c>
      <c r="X227" t="s">
        <v>64</v>
      </c>
      <c r="Y227" t="s">
        <v>95</v>
      </c>
    </row>
    <row r="228" spans="1:25" x14ac:dyDescent="0.35">
      <c r="A228" t="s">
        <v>582</v>
      </c>
      <c r="B228" t="s">
        <v>224</v>
      </c>
      <c r="C228" t="s">
        <v>27</v>
      </c>
      <c r="D228" t="s">
        <v>81</v>
      </c>
      <c r="E228">
        <v>7</v>
      </c>
      <c r="F228" t="s">
        <v>51</v>
      </c>
      <c r="G228">
        <v>208000</v>
      </c>
      <c r="H228">
        <v>145000</v>
      </c>
      <c r="I228">
        <v>280000</v>
      </c>
      <c r="J228" t="s">
        <v>52</v>
      </c>
      <c r="K228" t="s">
        <v>31</v>
      </c>
      <c r="L228" t="s">
        <v>44</v>
      </c>
      <c r="M228" t="s">
        <v>45</v>
      </c>
      <c r="N228" t="s">
        <v>131</v>
      </c>
      <c r="O228" t="s">
        <v>583</v>
      </c>
      <c r="P228">
        <v>7.5</v>
      </c>
      <c r="Q228">
        <v>87</v>
      </c>
      <c r="R228">
        <v>20.399999999999999</v>
      </c>
      <c r="S228">
        <v>7</v>
      </c>
      <c r="T228">
        <v>2026</v>
      </c>
      <c r="U228">
        <v>1</v>
      </c>
      <c r="V228">
        <v>0</v>
      </c>
      <c r="W228" t="s">
        <v>47</v>
      </c>
      <c r="X228" t="s">
        <v>64</v>
      </c>
      <c r="Y228" t="s">
        <v>38</v>
      </c>
    </row>
    <row r="229" spans="1:25" x14ac:dyDescent="0.35">
      <c r="A229" t="s">
        <v>584</v>
      </c>
      <c r="B229" t="s">
        <v>66</v>
      </c>
      <c r="C229" t="s">
        <v>67</v>
      </c>
      <c r="D229" t="s">
        <v>74</v>
      </c>
      <c r="E229">
        <v>4</v>
      </c>
      <c r="F229" t="s">
        <v>51</v>
      </c>
      <c r="G229">
        <v>140000</v>
      </c>
      <c r="H229">
        <v>140000</v>
      </c>
      <c r="I229">
        <v>260000</v>
      </c>
      <c r="J229" t="s">
        <v>174</v>
      </c>
      <c r="K229" t="s">
        <v>31</v>
      </c>
      <c r="L229" t="s">
        <v>32</v>
      </c>
      <c r="M229" t="s">
        <v>61</v>
      </c>
      <c r="N229" t="s">
        <v>131</v>
      </c>
      <c r="O229" t="s">
        <v>585</v>
      </c>
      <c r="P229">
        <v>10.199999999999999</v>
      </c>
      <c r="Q229">
        <v>85</v>
      </c>
      <c r="R229">
        <v>15.5</v>
      </c>
      <c r="S229">
        <v>9</v>
      </c>
      <c r="T229">
        <v>2026</v>
      </c>
      <c r="U229">
        <v>2</v>
      </c>
      <c r="V229">
        <v>0</v>
      </c>
      <c r="W229" t="s">
        <v>36</v>
      </c>
      <c r="X229" t="s">
        <v>64</v>
      </c>
      <c r="Y229" t="s">
        <v>95</v>
      </c>
    </row>
    <row r="230" spans="1:25" x14ac:dyDescent="0.35">
      <c r="A230" t="s">
        <v>586</v>
      </c>
      <c r="B230" t="s">
        <v>100</v>
      </c>
      <c r="C230" t="s">
        <v>101</v>
      </c>
      <c r="D230" t="s">
        <v>74</v>
      </c>
      <c r="E230">
        <v>12</v>
      </c>
      <c r="F230" t="s">
        <v>29</v>
      </c>
      <c r="G230">
        <v>199000</v>
      </c>
      <c r="H230">
        <v>180000</v>
      </c>
      <c r="I230">
        <v>320000</v>
      </c>
      <c r="J230" t="s">
        <v>296</v>
      </c>
      <c r="K230" t="s">
        <v>31</v>
      </c>
      <c r="L230" t="s">
        <v>53</v>
      </c>
      <c r="M230" t="s">
        <v>82</v>
      </c>
      <c r="N230" t="s">
        <v>76</v>
      </c>
      <c r="O230" t="s">
        <v>587</v>
      </c>
      <c r="P230">
        <v>9.1999999999999993</v>
      </c>
      <c r="Q230">
        <v>84</v>
      </c>
      <c r="R230">
        <v>24.2</v>
      </c>
      <c r="S230">
        <v>6.9</v>
      </c>
      <c r="T230">
        <v>2026</v>
      </c>
      <c r="U230">
        <v>2</v>
      </c>
      <c r="V230">
        <v>0</v>
      </c>
      <c r="W230" t="s">
        <v>47</v>
      </c>
      <c r="X230" t="s">
        <v>64</v>
      </c>
      <c r="Y230" t="s">
        <v>48</v>
      </c>
    </row>
    <row r="231" spans="1:25" x14ac:dyDescent="0.35">
      <c r="A231" t="s">
        <v>588</v>
      </c>
      <c r="B231" t="s">
        <v>91</v>
      </c>
      <c r="C231" t="s">
        <v>27</v>
      </c>
      <c r="D231" t="s">
        <v>68</v>
      </c>
      <c r="E231">
        <v>6</v>
      </c>
      <c r="F231" t="s">
        <v>41</v>
      </c>
      <c r="G231">
        <v>326000</v>
      </c>
      <c r="H231">
        <v>145000</v>
      </c>
      <c r="I231">
        <v>290000</v>
      </c>
      <c r="J231" t="s">
        <v>296</v>
      </c>
      <c r="K231" t="s">
        <v>31</v>
      </c>
      <c r="L231" t="s">
        <v>44</v>
      </c>
      <c r="M231" t="s">
        <v>61</v>
      </c>
      <c r="N231" t="s">
        <v>71</v>
      </c>
      <c r="O231" t="s">
        <v>589</v>
      </c>
      <c r="P231">
        <v>3.4</v>
      </c>
      <c r="Q231">
        <v>91</v>
      </c>
      <c r="R231">
        <v>63.7</v>
      </c>
      <c r="S231">
        <v>9.6999999999999993</v>
      </c>
      <c r="T231">
        <v>2025</v>
      </c>
      <c r="U231">
        <v>7</v>
      </c>
      <c r="V231">
        <v>1</v>
      </c>
      <c r="W231" t="s">
        <v>47</v>
      </c>
      <c r="X231" t="s">
        <v>64</v>
      </c>
      <c r="Y231" t="s">
        <v>56</v>
      </c>
    </row>
    <row r="232" spans="1:25" x14ac:dyDescent="0.35">
      <c r="A232" t="s">
        <v>590</v>
      </c>
      <c r="B232" t="s">
        <v>66</v>
      </c>
      <c r="C232" t="s">
        <v>67</v>
      </c>
      <c r="D232" t="s">
        <v>28</v>
      </c>
      <c r="E232">
        <v>10</v>
      </c>
      <c r="F232" t="s">
        <v>51</v>
      </c>
      <c r="G232">
        <v>223000</v>
      </c>
      <c r="H232">
        <v>140000</v>
      </c>
      <c r="I232">
        <v>260000</v>
      </c>
      <c r="J232" t="s">
        <v>174</v>
      </c>
      <c r="K232" t="s">
        <v>31</v>
      </c>
      <c r="L232" t="s">
        <v>32</v>
      </c>
      <c r="M232" t="s">
        <v>61</v>
      </c>
      <c r="N232" t="s">
        <v>34</v>
      </c>
      <c r="O232" t="s">
        <v>591</v>
      </c>
      <c r="P232">
        <v>13</v>
      </c>
      <c r="Q232">
        <v>85</v>
      </c>
      <c r="R232">
        <v>22.1</v>
      </c>
      <c r="S232">
        <v>7.3</v>
      </c>
      <c r="T232">
        <v>2026</v>
      </c>
      <c r="U232">
        <v>3</v>
      </c>
      <c r="V232">
        <v>1</v>
      </c>
      <c r="W232" t="s">
        <v>36</v>
      </c>
      <c r="X232" t="s">
        <v>64</v>
      </c>
      <c r="Y232" t="s">
        <v>38</v>
      </c>
    </row>
    <row r="233" spans="1:25" x14ac:dyDescent="0.35">
      <c r="A233" t="s">
        <v>592</v>
      </c>
      <c r="B233" t="s">
        <v>127</v>
      </c>
      <c r="C233" t="s">
        <v>27</v>
      </c>
      <c r="D233" t="s">
        <v>81</v>
      </c>
      <c r="E233">
        <v>5</v>
      </c>
      <c r="F233" t="s">
        <v>51</v>
      </c>
      <c r="G233">
        <v>198000</v>
      </c>
      <c r="H233">
        <v>120000</v>
      </c>
      <c r="I233">
        <v>280000</v>
      </c>
      <c r="J233" t="s">
        <v>296</v>
      </c>
      <c r="K233" t="s">
        <v>31</v>
      </c>
      <c r="L233" t="s">
        <v>53</v>
      </c>
      <c r="M233" t="s">
        <v>82</v>
      </c>
      <c r="N233" t="s">
        <v>110</v>
      </c>
      <c r="O233" t="s">
        <v>593</v>
      </c>
      <c r="P233">
        <v>12.9</v>
      </c>
      <c r="Q233">
        <v>97</v>
      </c>
      <c r="R233">
        <v>46.9</v>
      </c>
      <c r="S233">
        <v>7.1</v>
      </c>
      <c r="T233">
        <v>2026</v>
      </c>
      <c r="U233">
        <v>1</v>
      </c>
      <c r="V233">
        <v>0</v>
      </c>
      <c r="W233" t="s">
        <v>47</v>
      </c>
      <c r="X233" t="s">
        <v>64</v>
      </c>
      <c r="Y233" t="s">
        <v>48</v>
      </c>
    </row>
    <row r="234" spans="1:25" x14ac:dyDescent="0.35">
      <c r="A234" t="s">
        <v>594</v>
      </c>
      <c r="B234" t="s">
        <v>153</v>
      </c>
      <c r="C234" t="s">
        <v>154</v>
      </c>
      <c r="D234" t="s">
        <v>28</v>
      </c>
      <c r="E234">
        <v>4</v>
      </c>
      <c r="F234" t="s">
        <v>128</v>
      </c>
      <c r="G234">
        <v>216000</v>
      </c>
      <c r="H234">
        <v>95000</v>
      </c>
      <c r="I234">
        <v>180000</v>
      </c>
      <c r="J234" t="s">
        <v>75</v>
      </c>
      <c r="K234" t="s">
        <v>31</v>
      </c>
      <c r="L234" t="s">
        <v>44</v>
      </c>
      <c r="M234" t="s">
        <v>54</v>
      </c>
      <c r="N234" t="s">
        <v>83</v>
      </c>
      <c r="O234" t="s">
        <v>595</v>
      </c>
      <c r="P234">
        <v>15.8</v>
      </c>
      <c r="Q234">
        <v>78</v>
      </c>
      <c r="R234">
        <v>17.600000000000001</v>
      </c>
      <c r="S234">
        <v>8.8000000000000007</v>
      </c>
      <c r="T234">
        <v>2026</v>
      </c>
      <c r="U234">
        <v>3</v>
      </c>
      <c r="V234">
        <v>1</v>
      </c>
      <c r="W234" t="s">
        <v>47</v>
      </c>
      <c r="X234" t="s">
        <v>64</v>
      </c>
      <c r="Y234" t="s">
        <v>38</v>
      </c>
    </row>
    <row r="235" spans="1:25" x14ac:dyDescent="0.35">
      <c r="A235" t="s">
        <v>596</v>
      </c>
      <c r="B235" t="s">
        <v>58</v>
      </c>
      <c r="C235" t="s">
        <v>59</v>
      </c>
      <c r="D235" t="s">
        <v>28</v>
      </c>
      <c r="E235">
        <v>6</v>
      </c>
      <c r="F235" t="s">
        <v>41</v>
      </c>
      <c r="G235">
        <v>130000</v>
      </c>
      <c r="H235">
        <v>130000</v>
      </c>
      <c r="I235">
        <v>220000</v>
      </c>
      <c r="J235" t="s">
        <v>108</v>
      </c>
      <c r="K235" t="s">
        <v>109</v>
      </c>
      <c r="L235" t="s">
        <v>32</v>
      </c>
      <c r="M235" t="s">
        <v>61</v>
      </c>
      <c r="N235" t="s">
        <v>34</v>
      </c>
      <c r="O235" t="s">
        <v>597</v>
      </c>
      <c r="P235">
        <v>14.6</v>
      </c>
      <c r="Q235">
        <v>88</v>
      </c>
      <c r="R235">
        <v>6.1</v>
      </c>
      <c r="S235">
        <v>9.6</v>
      </c>
      <c r="T235">
        <v>2025</v>
      </c>
      <c r="U235">
        <v>1</v>
      </c>
      <c r="V235">
        <v>1</v>
      </c>
      <c r="W235" t="s">
        <v>36</v>
      </c>
      <c r="X235" t="s">
        <v>64</v>
      </c>
      <c r="Y235" t="s">
        <v>95</v>
      </c>
    </row>
    <row r="236" spans="1:25" x14ac:dyDescent="0.35">
      <c r="A236" t="s">
        <v>598</v>
      </c>
      <c r="B236" t="s">
        <v>141</v>
      </c>
      <c r="C236" t="s">
        <v>27</v>
      </c>
      <c r="D236" t="s">
        <v>81</v>
      </c>
      <c r="E236">
        <v>9</v>
      </c>
      <c r="F236" t="s">
        <v>41</v>
      </c>
      <c r="G236">
        <v>191000</v>
      </c>
      <c r="H236">
        <v>141000</v>
      </c>
      <c r="I236">
        <v>270000</v>
      </c>
      <c r="J236" t="s">
        <v>30</v>
      </c>
      <c r="K236" t="s">
        <v>31</v>
      </c>
      <c r="L236" t="s">
        <v>44</v>
      </c>
      <c r="M236" t="s">
        <v>45</v>
      </c>
      <c r="N236" t="s">
        <v>119</v>
      </c>
      <c r="O236" t="s">
        <v>599</v>
      </c>
      <c r="P236">
        <v>9.1999999999999993</v>
      </c>
      <c r="Q236">
        <v>89</v>
      </c>
      <c r="R236">
        <v>7</v>
      </c>
      <c r="S236">
        <v>9</v>
      </c>
      <c r="T236">
        <v>2025</v>
      </c>
      <c r="U236">
        <v>9</v>
      </c>
      <c r="V236">
        <v>0</v>
      </c>
      <c r="W236" t="s">
        <v>47</v>
      </c>
      <c r="X236" t="s">
        <v>64</v>
      </c>
      <c r="Y236" t="s">
        <v>48</v>
      </c>
    </row>
    <row r="237" spans="1:25" x14ac:dyDescent="0.35">
      <c r="A237" t="s">
        <v>600</v>
      </c>
      <c r="B237" t="s">
        <v>134</v>
      </c>
      <c r="C237" t="s">
        <v>27</v>
      </c>
      <c r="D237" t="s">
        <v>74</v>
      </c>
      <c r="E237">
        <v>2</v>
      </c>
      <c r="F237" t="s">
        <v>51</v>
      </c>
      <c r="G237">
        <v>150000</v>
      </c>
      <c r="H237">
        <v>150000</v>
      </c>
      <c r="I237">
        <v>295000</v>
      </c>
      <c r="J237" t="s">
        <v>122</v>
      </c>
      <c r="K237" t="s">
        <v>123</v>
      </c>
      <c r="L237" t="s">
        <v>44</v>
      </c>
      <c r="M237" t="s">
        <v>82</v>
      </c>
      <c r="N237" t="s">
        <v>155</v>
      </c>
      <c r="O237" t="s">
        <v>601</v>
      </c>
      <c r="P237">
        <v>9.9</v>
      </c>
      <c r="Q237">
        <v>95</v>
      </c>
      <c r="R237">
        <v>63</v>
      </c>
      <c r="S237">
        <v>8.1999999999999993</v>
      </c>
      <c r="T237">
        <v>2026</v>
      </c>
      <c r="U237">
        <v>3</v>
      </c>
      <c r="V237">
        <v>0</v>
      </c>
      <c r="W237" t="s">
        <v>47</v>
      </c>
      <c r="X237" t="s">
        <v>37</v>
      </c>
      <c r="Y237" t="s">
        <v>95</v>
      </c>
    </row>
    <row r="238" spans="1:25" x14ac:dyDescent="0.35">
      <c r="A238" t="s">
        <v>602</v>
      </c>
      <c r="B238" t="s">
        <v>134</v>
      </c>
      <c r="C238" t="s">
        <v>27</v>
      </c>
      <c r="D238" t="s">
        <v>74</v>
      </c>
      <c r="E238">
        <v>5</v>
      </c>
      <c r="F238" t="s">
        <v>51</v>
      </c>
      <c r="G238">
        <v>150000</v>
      </c>
      <c r="H238">
        <v>150000</v>
      </c>
      <c r="I238">
        <v>295000</v>
      </c>
      <c r="J238" t="s">
        <v>102</v>
      </c>
      <c r="K238" t="s">
        <v>103</v>
      </c>
      <c r="L238" t="s">
        <v>53</v>
      </c>
      <c r="M238" t="s">
        <v>45</v>
      </c>
      <c r="N238" t="s">
        <v>83</v>
      </c>
      <c r="O238" t="s">
        <v>603</v>
      </c>
      <c r="P238">
        <v>13.5</v>
      </c>
      <c r="Q238">
        <v>95</v>
      </c>
      <c r="R238">
        <v>87.8</v>
      </c>
      <c r="S238">
        <v>9.1999999999999993</v>
      </c>
      <c r="T238">
        <v>2026</v>
      </c>
      <c r="U238">
        <v>3</v>
      </c>
      <c r="V238">
        <v>0</v>
      </c>
      <c r="W238" t="s">
        <v>47</v>
      </c>
      <c r="X238" t="s">
        <v>37</v>
      </c>
      <c r="Y238" t="s">
        <v>95</v>
      </c>
    </row>
    <row r="239" spans="1:25" x14ac:dyDescent="0.35">
      <c r="A239" t="s">
        <v>604</v>
      </c>
      <c r="B239" t="s">
        <v>40</v>
      </c>
      <c r="C239" t="s">
        <v>27</v>
      </c>
      <c r="D239" t="s">
        <v>81</v>
      </c>
      <c r="E239">
        <v>4</v>
      </c>
      <c r="F239" t="s">
        <v>51</v>
      </c>
      <c r="G239">
        <v>129000</v>
      </c>
      <c r="H239">
        <v>90000</v>
      </c>
      <c r="I239">
        <v>200000</v>
      </c>
      <c r="J239" t="s">
        <v>113</v>
      </c>
      <c r="K239" t="s">
        <v>114</v>
      </c>
      <c r="L239" t="s">
        <v>32</v>
      </c>
      <c r="M239" t="s">
        <v>54</v>
      </c>
      <c r="N239" t="s">
        <v>155</v>
      </c>
      <c r="O239" t="s">
        <v>605</v>
      </c>
      <c r="P239">
        <v>9.1999999999999993</v>
      </c>
      <c r="Q239">
        <v>82</v>
      </c>
      <c r="R239">
        <v>5.2</v>
      </c>
      <c r="S239">
        <v>9.6999999999999993</v>
      </c>
      <c r="T239">
        <v>2025</v>
      </c>
      <c r="U239">
        <v>6</v>
      </c>
      <c r="V239">
        <v>0</v>
      </c>
      <c r="W239" t="s">
        <v>36</v>
      </c>
      <c r="X239" t="s">
        <v>37</v>
      </c>
      <c r="Y239" t="s">
        <v>95</v>
      </c>
    </row>
    <row r="240" spans="1:25" x14ac:dyDescent="0.35">
      <c r="A240" t="s">
        <v>606</v>
      </c>
      <c r="B240" t="s">
        <v>196</v>
      </c>
      <c r="C240" t="s">
        <v>27</v>
      </c>
      <c r="D240" t="s">
        <v>81</v>
      </c>
      <c r="E240">
        <v>4</v>
      </c>
      <c r="F240" t="s">
        <v>41</v>
      </c>
      <c r="G240">
        <v>139000</v>
      </c>
      <c r="H240">
        <v>100000</v>
      </c>
      <c r="I240">
        <v>250000</v>
      </c>
      <c r="J240" t="s">
        <v>142</v>
      </c>
      <c r="K240" t="s">
        <v>143</v>
      </c>
      <c r="L240" t="s">
        <v>32</v>
      </c>
      <c r="M240" t="s">
        <v>54</v>
      </c>
      <c r="N240" t="s">
        <v>110</v>
      </c>
      <c r="O240" t="s">
        <v>607</v>
      </c>
      <c r="P240">
        <v>12</v>
      </c>
      <c r="Q240">
        <v>95</v>
      </c>
      <c r="R240">
        <v>82</v>
      </c>
      <c r="S240">
        <v>8.8000000000000007</v>
      </c>
      <c r="T240">
        <v>2026</v>
      </c>
      <c r="U240">
        <v>2</v>
      </c>
      <c r="V240">
        <v>0</v>
      </c>
      <c r="W240" t="s">
        <v>36</v>
      </c>
      <c r="X240" t="s">
        <v>64</v>
      </c>
      <c r="Y240" t="s">
        <v>95</v>
      </c>
    </row>
    <row r="241" spans="1:25" x14ac:dyDescent="0.35">
      <c r="A241" t="s">
        <v>608</v>
      </c>
      <c r="B241" t="s">
        <v>609</v>
      </c>
      <c r="C241" t="s">
        <v>124</v>
      </c>
      <c r="D241" t="s">
        <v>74</v>
      </c>
      <c r="E241">
        <v>4</v>
      </c>
      <c r="F241" t="s">
        <v>51</v>
      </c>
      <c r="G241">
        <v>167000</v>
      </c>
      <c r="H241">
        <v>115000</v>
      </c>
      <c r="I241">
        <v>280000</v>
      </c>
      <c r="J241" t="s">
        <v>47</v>
      </c>
      <c r="K241" t="s">
        <v>87</v>
      </c>
      <c r="L241" t="s">
        <v>44</v>
      </c>
      <c r="M241" t="s">
        <v>54</v>
      </c>
      <c r="N241" t="s">
        <v>124</v>
      </c>
      <c r="O241" t="s">
        <v>610</v>
      </c>
      <c r="P241">
        <v>14</v>
      </c>
      <c r="Q241">
        <v>88</v>
      </c>
      <c r="R241">
        <v>5.3</v>
      </c>
      <c r="S241">
        <v>9</v>
      </c>
      <c r="T241">
        <v>2025</v>
      </c>
      <c r="U241">
        <v>5</v>
      </c>
      <c r="V241">
        <v>0</v>
      </c>
      <c r="W241" t="s">
        <v>47</v>
      </c>
      <c r="X241" t="s">
        <v>64</v>
      </c>
      <c r="Y241" t="s">
        <v>48</v>
      </c>
    </row>
    <row r="242" spans="1:25" x14ac:dyDescent="0.35">
      <c r="A242" t="s">
        <v>611</v>
      </c>
      <c r="B242" t="s">
        <v>79</v>
      </c>
      <c r="C242" t="s">
        <v>80</v>
      </c>
      <c r="D242" t="s">
        <v>81</v>
      </c>
      <c r="E242">
        <v>6</v>
      </c>
      <c r="F242" t="s">
        <v>128</v>
      </c>
      <c r="G242">
        <v>242000</v>
      </c>
      <c r="H242">
        <v>140000</v>
      </c>
      <c r="I242">
        <v>260000</v>
      </c>
      <c r="J242" t="s">
        <v>296</v>
      </c>
      <c r="K242" t="s">
        <v>31</v>
      </c>
      <c r="L242" t="s">
        <v>44</v>
      </c>
      <c r="M242" t="s">
        <v>82</v>
      </c>
      <c r="N242" t="s">
        <v>71</v>
      </c>
      <c r="O242" t="s">
        <v>612</v>
      </c>
      <c r="P242">
        <v>15.9</v>
      </c>
      <c r="Q242">
        <v>80</v>
      </c>
      <c r="R242">
        <v>8.6999999999999993</v>
      </c>
      <c r="S242">
        <v>7.3</v>
      </c>
      <c r="T242">
        <v>2026</v>
      </c>
      <c r="U242">
        <v>3</v>
      </c>
      <c r="V242">
        <v>0</v>
      </c>
      <c r="W242" t="s">
        <v>47</v>
      </c>
      <c r="X242" t="s">
        <v>64</v>
      </c>
      <c r="Y242" t="s">
        <v>38</v>
      </c>
    </row>
    <row r="243" spans="1:25" x14ac:dyDescent="0.35">
      <c r="A243" t="s">
        <v>613</v>
      </c>
      <c r="B243" t="s">
        <v>127</v>
      </c>
      <c r="C243" t="s">
        <v>27</v>
      </c>
      <c r="D243" t="s">
        <v>28</v>
      </c>
      <c r="E243">
        <v>9</v>
      </c>
      <c r="F243" t="s">
        <v>41</v>
      </c>
      <c r="G243">
        <v>193000</v>
      </c>
      <c r="H243">
        <v>120000</v>
      </c>
      <c r="I243">
        <v>280000</v>
      </c>
      <c r="J243" t="s">
        <v>102</v>
      </c>
      <c r="K243" t="s">
        <v>103</v>
      </c>
      <c r="L243" t="s">
        <v>44</v>
      </c>
      <c r="M243" t="s">
        <v>45</v>
      </c>
      <c r="N243" t="s">
        <v>155</v>
      </c>
      <c r="O243" t="s">
        <v>614</v>
      </c>
      <c r="P243">
        <v>15.4</v>
      </c>
      <c r="Q243">
        <v>97</v>
      </c>
      <c r="R243">
        <v>33</v>
      </c>
      <c r="S243">
        <v>6.3</v>
      </c>
      <c r="T243">
        <v>2026</v>
      </c>
      <c r="U243">
        <v>2</v>
      </c>
      <c r="V243">
        <v>1</v>
      </c>
      <c r="W243" t="s">
        <v>47</v>
      </c>
      <c r="X243" t="s">
        <v>64</v>
      </c>
      <c r="Y243" t="s">
        <v>48</v>
      </c>
    </row>
    <row r="244" spans="1:25" x14ac:dyDescent="0.35">
      <c r="A244" t="s">
        <v>615</v>
      </c>
      <c r="B244" t="s">
        <v>146</v>
      </c>
      <c r="C244" t="s">
        <v>27</v>
      </c>
      <c r="D244" t="s">
        <v>74</v>
      </c>
      <c r="E244">
        <v>5</v>
      </c>
      <c r="F244" t="s">
        <v>69</v>
      </c>
      <c r="G244">
        <v>160000</v>
      </c>
      <c r="H244">
        <v>160000</v>
      </c>
      <c r="I244">
        <v>300000</v>
      </c>
      <c r="J244" t="s">
        <v>92</v>
      </c>
      <c r="K244" t="s">
        <v>93</v>
      </c>
      <c r="L244" t="s">
        <v>44</v>
      </c>
      <c r="M244" t="s">
        <v>33</v>
      </c>
      <c r="N244" t="s">
        <v>83</v>
      </c>
      <c r="O244" t="s">
        <v>616</v>
      </c>
      <c r="P244">
        <v>17.899999999999999</v>
      </c>
      <c r="Q244">
        <v>90</v>
      </c>
      <c r="R244">
        <v>16.100000000000001</v>
      </c>
      <c r="S244">
        <v>6.6</v>
      </c>
      <c r="T244">
        <v>2025</v>
      </c>
      <c r="U244">
        <v>4</v>
      </c>
      <c r="V244">
        <v>0</v>
      </c>
      <c r="W244" t="s">
        <v>47</v>
      </c>
      <c r="X244" t="s">
        <v>64</v>
      </c>
      <c r="Y244" t="s">
        <v>48</v>
      </c>
    </row>
    <row r="245" spans="1:25" x14ac:dyDescent="0.35">
      <c r="A245" t="s">
        <v>617</v>
      </c>
      <c r="B245" t="s">
        <v>141</v>
      </c>
      <c r="C245" t="s">
        <v>27</v>
      </c>
      <c r="D245" t="s">
        <v>74</v>
      </c>
      <c r="E245">
        <v>6</v>
      </c>
      <c r="F245" t="s">
        <v>41</v>
      </c>
      <c r="G245">
        <v>141000</v>
      </c>
      <c r="H245">
        <v>141000</v>
      </c>
      <c r="I245">
        <v>270000</v>
      </c>
      <c r="J245" t="s">
        <v>60</v>
      </c>
      <c r="K245" t="s">
        <v>60</v>
      </c>
      <c r="L245" t="s">
        <v>44</v>
      </c>
      <c r="M245" t="s">
        <v>61</v>
      </c>
      <c r="N245" t="s">
        <v>88</v>
      </c>
      <c r="O245" t="s">
        <v>618</v>
      </c>
      <c r="P245">
        <v>5.3</v>
      </c>
      <c r="Q245">
        <v>89</v>
      </c>
      <c r="R245">
        <v>23.5</v>
      </c>
      <c r="S245">
        <v>6.8</v>
      </c>
      <c r="T245">
        <v>2026</v>
      </c>
      <c r="U245">
        <v>2</v>
      </c>
      <c r="V245">
        <v>0</v>
      </c>
      <c r="W245" t="s">
        <v>47</v>
      </c>
      <c r="X245" t="s">
        <v>64</v>
      </c>
      <c r="Y245" t="s">
        <v>95</v>
      </c>
    </row>
    <row r="246" spans="1:25" x14ac:dyDescent="0.35">
      <c r="A246" t="s">
        <v>619</v>
      </c>
      <c r="B246" t="s">
        <v>163</v>
      </c>
      <c r="C246" t="s">
        <v>164</v>
      </c>
      <c r="D246" t="s">
        <v>81</v>
      </c>
      <c r="E246">
        <v>3</v>
      </c>
      <c r="F246" t="s">
        <v>41</v>
      </c>
      <c r="G246">
        <v>217000</v>
      </c>
      <c r="H246">
        <v>125000</v>
      </c>
      <c r="I246">
        <v>240000</v>
      </c>
      <c r="J246" t="s">
        <v>47</v>
      </c>
      <c r="K246" t="s">
        <v>87</v>
      </c>
      <c r="L246" t="s">
        <v>53</v>
      </c>
      <c r="M246" t="s">
        <v>54</v>
      </c>
      <c r="N246" t="s">
        <v>119</v>
      </c>
      <c r="O246" t="s">
        <v>620</v>
      </c>
      <c r="P246">
        <v>8.6999999999999993</v>
      </c>
      <c r="Q246">
        <v>76</v>
      </c>
      <c r="R246">
        <v>21.5</v>
      </c>
      <c r="S246">
        <v>8.5</v>
      </c>
      <c r="T246">
        <v>2026</v>
      </c>
      <c r="U246">
        <v>2</v>
      </c>
      <c r="V246">
        <v>0</v>
      </c>
      <c r="W246" t="s">
        <v>47</v>
      </c>
      <c r="X246" t="s">
        <v>64</v>
      </c>
      <c r="Y246" t="s">
        <v>38</v>
      </c>
    </row>
    <row r="247" spans="1:25" x14ac:dyDescent="0.35">
      <c r="A247" t="s">
        <v>621</v>
      </c>
      <c r="B247" t="s">
        <v>203</v>
      </c>
      <c r="C247" t="s">
        <v>169</v>
      </c>
      <c r="D247" t="s">
        <v>68</v>
      </c>
      <c r="E247">
        <v>6</v>
      </c>
      <c r="F247" t="s">
        <v>29</v>
      </c>
      <c r="G247">
        <v>234000</v>
      </c>
      <c r="H247">
        <v>138000</v>
      </c>
      <c r="I247">
        <v>195000</v>
      </c>
      <c r="J247" t="s">
        <v>174</v>
      </c>
      <c r="K247" t="s">
        <v>31</v>
      </c>
      <c r="L247" t="s">
        <v>53</v>
      </c>
      <c r="M247" t="s">
        <v>82</v>
      </c>
      <c r="N247" t="s">
        <v>155</v>
      </c>
      <c r="O247" t="s">
        <v>622</v>
      </c>
      <c r="P247">
        <v>6.9</v>
      </c>
      <c r="Q247">
        <v>92</v>
      </c>
      <c r="R247">
        <v>67</v>
      </c>
      <c r="S247">
        <v>6.2</v>
      </c>
      <c r="T247">
        <v>2026</v>
      </c>
      <c r="U247">
        <v>2</v>
      </c>
      <c r="V247">
        <v>1</v>
      </c>
      <c r="W247" t="s">
        <v>47</v>
      </c>
      <c r="X247" t="s">
        <v>64</v>
      </c>
      <c r="Y247" t="s">
        <v>38</v>
      </c>
    </row>
    <row r="248" spans="1:25" x14ac:dyDescent="0.35">
      <c r="A248" t="s">
        <v>623</v>
      </c>
      <c r="B248" t="s">
        <v>66</v>
      </c>
      <c r="C248" t="s">
        <v>67</v>
      </c>
      <c r="D248" t="s">
        <v>81</v>
      </c>
      <c r="E248">
        <v>6</v>
      </c>
      <c r="F248" t="s">
        <v>41</v>
      </c>
      <c r="G248">
        <v>195000</v>
      </c>
      <c r="H248">
        <v>140000</v>
      </c>
      <c r="I248">
        <v>260000</v>
      </c>
      <c r="J248" t="s">
        <v>47</v>
      </c>
      <c r="K248" t="s">
        <v>87</v>
      </c>
      <c r="L248" t="s">
        <v>53</v>
      </c>
      <c r="M248" t="s">
        <v>45</v>
      </c>
      <c r="N248" t="s">
        <v>76</v>
      </c>
      <c r="O248" t="s">
        <v>624</v>
      </c>
      <c r="P248">
        <v>16.100000000000001</v>
      </c>
      <c r="Q248">
        <v>85</v>
      </c>
      <c r="R248">
        <v>5.7</v>
      </c>
      <c r="S248">
        <v>8.1</v>
      </c>
      <c r="T248">
        <v>2025</v>
      </c>
      <c r="U248">
        <v>3</v>
      </c>
      <c r="V248">
        <v>0</v>
      </c>
      <c r="W248" t="s">
        <v>47</v>
      </c>
      <c r="X248" t="s">
        <v>64</v>
      </c>
      <c r="Y248" t="s">
        <v>48</v>
      </c>
    </row>
    <row r="249" spans="1:25" x14ac:dyDescent="0.35">
      <c r="A249" t="s">
        <v>625</v>
      </c>
      <c r="B249" t="s">
        <v>66</v>
      </c>
      <c r="C249" t="s">
        <v>67</v>
      </c>
      <c r="D249" t="s">
        <v>74</v>
      </c>
      <c r="E249">
        <v>9</v>
      </c>
      <c r="F249" t="s">
        <v>69</v>
      </c>
      <c r="G249">
        <v>140000</v>
      </c>
      <c r="H249">
        <v>140000</v>
      </c>
      <c r="I249">
        <v>260000</v>
      </c>
      <c r="J249" t="s">
        <v>137</v>
      </c>
      <c r="K249" t="s">
        <v>138</v>
      </c>
      <c r="L249" t="s">
        <v>44</v>
      </c>
      <c r="M249" t="s">
        <v>61</v>
      </c>
      <c r="N249" t="s">
        <v>88</v>
      </c>
      <c r="O249" t="s">
        <v>626</v>
      </c>
      <c r="P249">
        <v>10.1</v>
      </c>
      <c r="Q249">
        <v>85</v>
      </c>
      <c r="R249">
        <v>8.5</v>
      </c>
      <c r="S249">
        <v>8.1</v>
      </c>
      <c r="T249">
        <v>2026</v>
      </c>
      <c r="U249">
        <v>1</v>
      </c>
      <c r="V249">
        <v>0</v>
      </c>
      <c r="W249" t="s">
        <v>47</v>
      </c>
      <c r="X249" t="s">
        <v>64</v>
      </c>
      <c r="Y249" t="s">
        <v>95</v>
      </c>
    </row>
    <row r="250" spans="1:25" x14ac:dyDescent="0.35">
      <c r="A250" t="s">
        <v>627</v>
      </c>
      <c r="B250" t="s">
        <v>149</v>
      </c>
      <c r="C250" t="s">
        <v>150</v>
      </c>
      <c r="D250" t="s">
        <v>68</v>
      </c>
      <c r="E250">
        <v>7</v>
      </c>
      <c r="F250" t="s">
        <v>29</v>
      </c>
      <c r="G250">
        <v>235000</v>
      </c>
      <c r="H250">
        <v>130000</v>
      </c>
      <c r="I250">
        <v>260000</v>
      </c>
      <c r="J250" t="s">
        <v>117</v>
      </c>
      <c r="K250" t="s">
        <v>118</v>
      </c>
      <c r="L250" t="s">
        <v>53</v>
      </c>
      <c r="M250" t="s">
        <v>61</v>
      </c>
      <c r="N250" t="s">
        <v>131</v>
      </c>
      <c r="O250" t="s">
        <v>628</v>
      </c>
      <c r="P250">
        <v>15.7</v>
      </c>
      <c r="Q250">
        <v>93</v>
      </c>
      <c r="R250">
        <v>79.2</v>
      </c>
      <c r="S250">
        <v>7.6</v>
      </c>
      <c r="T250">
        <v>2026</v>
      </c>
      <c r="U250">
        <v>2</v>
      </c>
      <c r="V250">
        <v>1</v>
      </c>
      <c r="W250" t="s">
        <v>47</v>
      </c>
      <c r="X250" t="s">
        <v>64</v>
      </c>
      <c r="Y250" t="s">
        <v>38</v>
      </c>
    </row>
    <row r="251" spans="1:25" x14ac:dyDescent="0.35">
      <c r="A251" t="s">
        <v>629</v>
      </c>
      <c r="B251" t="s">
        <v>134</v>
      </c>
      <c r="C251" t="s">
        <v>27</v>
      </c>
      <c r="D251" t="s">
        <v>81</v>
      </c>
      <c r="E251">
        <v>2</v>
      </c>
      <c r="F251" t="s">
        <v>41</v>
      </c>
      <c r="G251">
        <v>150000</v>
      </c>
      <c r="H251">
        <v>150000</v>
      </c>
      <c r="I251">
        <v>295000</v>
      </c>
      <c r="J251" t="s">
        <v>142</v>
      </c>
      <c r="K251" t="s">
        <v>143</v>
      </c>
      <c r="L251" t="s">
        <v>32</v>
      </c>
      <c r="M251" t="s">
        <v>61</v>
      </c>
      <c r="N251" t="s">
        <v>83</v>
      </c>
      <c r="O251" t="s">
        <v>630</v>
      </c>
      <c r="P251">
        <v>15.8</v>
      </c>
      <c r="Q251">
        <v>95</v>
      </c>
      <c r="R251">
        <v>24.8</v>
      </c>
      <c r="S251">
        <v>9.1999999999999993</v>
      </c>
      <c r="T251">
        <v>2026</v>
      </c>
      <c r="U251">
        <v>3</v>
      </c>
      <c r="V251">
        <v>0</v>
      </c>
      <c r="W251" t="s">
        <v>36</v>
      </c>
      <c r="X251" t="s">
        <v>37</v>
      </c>
      <c r="Y251" t="s">
        <v>95</v>
      </c>
    </row>
    <row r="252" spans="1:25" x14ac:dyDescent="0.35">
      <c r="A252" t="s">
        <v>631</v>
      </c>
      <c r="B252" t="s">
        <v>58</v>
      </c>
      <c r="C252" t="s">
        <v>59</v>
      </c>
      <c r="D252" t="s">
        <v>68</v>
      </c>
      <c r="E252">
        <v>3</v>
      </c>
      <c r="F252" t="s">
        <v>69</v>
      </c>
      <c r="G252">
        <v>213000</v>
      </c>
      <c r="H252">
        <v>130000</v>
      </c>
      <c r="I252">
        <v>220000</v>
      </c>
      <c r="J252" t="s">
        <v>75</v>
      </c>
      <c r="K252" t="s">
        <v>31</v>
      </c>
      <c r="L252" t="s">
        <v>32</v>
      </c>
      <c r="M252" t="s">
        <v>45</v>
      </c>
      <c r="N252" t="s">
        <v>71</v>
      </c>
      <c r="O252" t="s">
        <v>632</v>
      </c>
      <c r="P252">
        <v>17.3</v>
      </c>
      <c r="Q252">
        <v>88</v>
      </c>
      <c r="R252">
        <v>29.6</v>
      </c>
      <c r="S252">
        <v>9.3000000000000007</v>
      </c>
      <c r="T252">
        <v>2026</v>
      </c>
      <c r="U252">
        <v>2</v>
      </c>
      <c r="V252">
        <v>1</v>
      </c>
      <c r="W252" t="s">
        <v>36</v>
      </c>
      <c r="X252" t="s">
        <v>64</v>
      </c>
      <c r="Y252" t="s">
        <v>38</v>
      </c>
    </row>
    <row r="253" spans="1:25" x14ac:dyDescent="0.35">
      <c r="A253" t="s">
        <v>633</v>
      </c>
      <c r="B253" t="s">
        <v>100</v>
      </c>
      <c r="C253" t="s">
        <v>101</v>
      </c>
      <c r="D253" t="s">
        <v>68</v>
      </c>
      <c r="E253">
        <v>12</v>
      </c>
      <c r="F253" t="s">
        <v>41</v>
      </c>
      <c r="G253">
        <v>329000</v>
      </c>
      <c r="H253">
        <v>180000</v>
      </c>
      <c r="I253">
        <v>320000</v>
      </c>
      <c r="J253" t="s">
        <v>42</v>
      </c>
      <c r="K253" t="s">
        <v>43</v>
      </c>
      <c r="L253" t="s">
        <v>44</v>
      </c>
      <c r="M253" t="s">
        <v>45</v>
      </c>
      <c r="N253" t="s">
        <v>71</v>
      </c>
      <c r="O253" t="s">
        <v>634</v>
      </c>
      <c r="P253">
        <v>12</v>
      </c>
      <c r="Q253">
        <v>84</v>
      </c>
      <c r="R253">
        <v>23.4</v>
      </c>
      <c r="S253">
        <v>8.1</v>
      </c>
      <c r="T253">
        <v>2026</v>
      </c>
      <c r="U253">
        <v>3</v>
      </c>
      <c r="V253">
        <v>1</v>
      </c>
      <c r="W253" t="s">
        <v>47</v>
      </c>
      <c r="X253" t="s">
        <v>64</v>
      </c>
      <c r="Y253" t="s">
        <v>56</v>
      </c>
    </row>
    <row r="254" spans="1:25" x14ac:dyDescent="0.35">
      <c r="A254" t="s">
        <v>635</v>
      </c>
      <c r="B254" t="s">
        <v>127</v>
      </c>
      <c r="C254" t="s">
        <v>27</v>
      </c>
      <c r="D254" t="s">
        <v>68</v>
      </c>
      <c r="E254">
        <v>7</v>
      </c>
      <c r="F254" t="s">
        <v>69</v>
      </c>
      <c r="G254">
        <v>307000</v>
      </c>
      <c r="H254">
        <v>120000</v>
      </c>
      <c r="I254">
        <v>280000</v>
      </c>
      <c r="J254" t="s">
        <v>70</v>
      </c>
      <c r="K254" t="s">
        <v>31</v>
      </c>
      <c r="L254" t="s">
        <v>44</v>
      </c>
      <c r="M254" t="s">
        <v>82</v>
      </c>
      <c r="N254" t="s">
        <v>124</v>
      </c>
      <c r="O254" t="s">
        <v>636</v>
      </c>
      <c r="P254">
        <v>9.8000000000000007</v>
      </c>
      <c r="Q254">
        <v>97</v>
      </c>
      <c r="R254">
        <v>57.7</v>
      </c>
      <c r="S254">
        <v>9.4</v>
      </c>
      <c r="T254">
        <v>2026</v>
      </c>
      <c r="U254">
        <v>2</v>
      </c>
      <c r="V254">
        <v>1</v>
      </c>
      <c r="W254" t="s">
        <v>47</v>
      </c>
      <c r="X254" t="s">
        <v>64</v>
      </c>
      <c r="Y254" t="s">
        <v>56</v>
      </c>
    </row>
    <row r="255" spans="1:25" x14ac:dyDescent="0.35">
      <c r="A255" t="s">
        <v>637</v>
      </c>
      <c r="B255" t="s">
        <v>40</v>
      </c>
      <c r="C255" t="s">
        <v>27</v>
      </c>
      <c r="D255" t="s">
        <v>74</v>
      </c>
      <c r="E255">
        <v>2</v>
      </c>
      <c r="F255" t="s">
        <v>29</v>
      </c>
      <c r="G255">
        <v>98000</v>
      </c>
      <c r="H255">
        <v>90000</v>
      </c>
      <c r="I255">
        <v>200000</v>
      </c>
      <c r="J255" t="s">
        <v>113</v>
      </c>
      <c r="K255" t="s">
        <v>114</v>
      </c>
      <c r="L255" t="s">
        <v>44</v>
      </c>
      <c r="M255" t="s">
        <v>45</v>
      </c>
      <c r="N255" t="s">
        <v>124</v>
      </c>
      <c r="O255" t="s">
        <v>638</v>
      </c>
      <c r="P255">
        <v>5.5</v>
      </c>
      <c r="Q255">
        <v>82</v>
      </c>
      <c r="R255">
        <v>18.100000000000001</v>
      </c>
      <c r="S255">
        <v>7.5</v>
      </c>
      <c r="T255">
        <v>2026</v>
      </c>
      <c r="U255">
        <v>3</v>
      </c>
      <c r="V255">
        <v>0</v>
      </c>
      <c r="W255" t="s">
        <v>47</v>
      </c>
      <c r="X255" t="s">
        <v>37</v>
      </c>
      <c r="Y255" t="s">
        <v>98</v>
      </c>
    </row>
    <row r="256" spans="1:25" x14ac:dyDescent="0.35">
      <c r="A256" t="s">
        <v>639</v>
      </c>
      <c r="B256" t="s">
        <v>158</v>
      </c>
      <c r="C256" t="s">
        <v>27</v>
      </c>
      <c r="D256" t="s">
        <v>68</v>
      </c>
      <c r="E256">
        <v>4</v>
      </c>
      <c r="F256" t="s">
        <v>41</v>
      </c>
      <c r="G256">
        <v>336000</v>
      </c>
      <c r="H256">
        <v>145000</v>
      </c>
      <c r="I256">
        <v>280000</v>
      </c>
      <c r="J256" t="s">
        <v>75</v>
      </c>
      <c r="K256" t="s">
        <v>31</v>
      </c>
      <c r="L256" t="s">
        <v>44</v>
      </c>
      <c r="M256" t="s">
        <v>45</v>
      </c>
      <c r="N256" t="s">
        <v>110</v>
      </c>
      <c r="O256" t="s">
        <v>640</v>
      </c>
      <c r="P256">
        <v>8.4</v>
      </c>
      <c r="Q256">
        <v>94</v>
      </c>
      <c r="R256">
        <v>47.6</v>
      </c>
      <c r="S256">
        <v>8.4</v>
      </c>
      <c r="T256">
        <v>2025</v>
      </c>
      <c r="U256">
        <v>3</v>
      </c>
      <c r="V256">
        <v>1</v>
      </c>
      <c r="W256" t="s">
        <v>47</v>
      </c>
      <c r="X256" t="s">
        <v>37</v>
      </c>
      <c r="Y256" t="s">
        <v>56</v>
      </c>
    </row>
    <row r="257" spans="1:25" x14ac:dyDescent="0.35">
      <c r="A257" t="s">
        <v>641</v>
      </c>
      <c r="B257" t="s">
        <v>141</v>
      </c>
      <c r="C257" t="s">
        <v>27</v>
      </c>
      <c r="D257" t="s">
        <v>28</v>
      </c>
      <c r="E257">
        <v>10</v>
      </c>
      <c r="F257" t="s">
        <v>41</v>
      </c>
      <c r="G257">
        <v>324000</v>
      </c>
      <c r="H257">
        <v>141000</v>
      </c>
      <c r="I257">
        <v>270000</v>
      </c>
      <c r="J257" t="s">
        <v>174</v>
      </c>
      <c r="K257" t="s">
        <v>31</v>
      </c>
      <c r="L257" t="s">
        <v>44</v>
      </c>
      <c r="M257" t="s">
        <v>54</v>
      </c>
      <c r="N257" t="s">
        <v>119</v>
      </c>
      <c r="O257" t="s">
        <v>642</v>
      </c>
      <c r="P257">
        <v>5.9</v>
      </c>
      <c r="Q257">
        <v>89</v>
      </c>
      <c r="R257">
        <v>7</v>
      </c>
      <c r="S257">
        <v>8.3000000000000007</v>
      </c>
      <c r="T257">
        <v>2025</v>
      </c>
      <c r="U257">
        <v>9</v>
      </c>
      <c r="V257">
        <v>1</v>
      </c>
      <c r="W257" t="s">
        <v>47</v>
      </c>
      <c r="X257" t="s">
        <v>64</v>
      </c>
      <c r="Y257" t="s">
        <v>56</v>
      </c>
    </row>
    <row r="258" spans="1:25" x14ac:dyDescent="0.35">
      <c r="A258" t="s">
        <v>643</v>
      </c>
      <c r="B258" t="s">
        <v>224</v>
      </c>
      <c r="C258" t="s">
        <v>27</v>
      </c>
      <c r="D258" t="s">
        <v>81</v>
      </c>
      <c r="E258">
        <v>3</v>
      </c>
      <c r="F258" t="s">
        <v>41</v>
      </c>
      <c r="G258">
        <v>145000</v>
      </c>
      <c r="H258">
        <v>145000</v>
      </c>
      <c r="I258">
        <v>280000</v>
      </c>
      <c r="J258" t="s">
        <v>108</v>
      </c>
      <c r="K258" t="s">
        <v>109</v>
      </c>
      <c r="L258" t="s">
        <v>44</v>
      </c>
      <c r="M258" t="s">
        <v>54</v>
      </c>
      <c r="N258" t="s">
        <v>34</v>
      </c>
      <c r="O258" t="s">
        <v>644</v>
      </c>
      <c r="P258">
        <v>4.2</v>
      </c>
      <c r="Q258">
        <v>87</v>
      </c>
      <c r="R258">
        <v>21.8</v>
      </c>
      <c r="S258">
        <v>8.3000000000000007</v>
      </c>
      <c r="T258">
        <v>2026</v>
      </c>
      <c r="U258">
        <v>3</v>
      </c>
      <c r="V258">
        <v>0</v>
      </c>
      <c r="W258" t="s">
        <v>47</v>
      </c>
      <c r="X258" t="s">
        <v>64</v>
      </c>
      <c r="Y258" t="s">
        <v>95</v>
      </c>
    </row>
    <row r="259" spans="1:25" x14ac:dyDescent="0.35">
      <c r="A259" t="s">
        <v>645</v>
      </c>
      <c r="B259" t="s">
        <v>153</v>
      </c>
      <c r="C259" t="s">
        <v>154</v>
      </c>
      <c r="D259" t="s">
        <v>68</v>
      </c>
      <c r="E259">
        <v>2</v>
      </c>
      <c r="F259" t="s">
        <v>51</v>
      </c>
      <c r="G259">
        <v>118000</v>
      </c>
      <c r="H259">
        <v>95000</v>
      </c>
      <c r="I259">
        <v>180000</v>
      </c>
      <c r="J259" t="s">
        <v>102</v>
      </c>
      <c r="K259" t="s">
        <v>103</v>
      </c>
      <c r="L259" t="s">
        <v>32</v>
      </c>
      <c r="M259" t="s">
        <v>61</v>
      </c>
      <c r="N259" t="s">
        <v>155</v>
      </c>
      <c r="O259" t="s">
        <v>646</v>
      </c>
      <c r="P259">
        <v>12.7</v>
      </c>
      <c r="Q259">
        <v>78</v>
      </c>
      <c r="R259">
        <v>8.1</v>
      </c>
      <c r="S259">
        <v>9.3000000000000007</v>
      </c>
      <c r="T259">
        <v>2025</v>
      </c>
      <c r="U259">
        <v>7</v>
      </c>
      <c r="V259">
        <v>1</v>
      </c>
      <c r="W259" t="s">
        <v>36</v>
      </c>
      <c r="X259" t="s">
        <v>64</v>
      </c>
      <c r="Y259" t="s">
        <v>95</v>
      </c>
    </row>
    <row r="260" spans="1:25" x14ac:dyDescent="0.35">
      <c r="A260" t="s">
        <v>647</v>
      </c>
      <c r="B260" t="s">
        <v>79</v>
      </c>
      <c r="C260" t="s">
        <v>80</v>
      </c>
      <c r="D260" t="s">
        <v>74</v>
      </c>
      <c r="E260">
        <v>4</v>
      </c>
      <c r="F260" t="s">
        <v>41</v>
      </c>
      <c r="G260">
        <v>140000</v>
      </c>
      <c r="H260">
        <v>140000</v>
      </c>
      <c r="I260">
        <v>260000</v>
      </c>
      <c r="J260" t="s">
        <v>70</v>
      </c>
      <c r="K260" t="s">
        <v>31</v>
      </c>
      <c r="L260" t="s">
        <v>44</v>
      </c>
      <c r="M260" t="s">
        <v>61</v>
      </c>
      <c r="N260" t="s">
        <v>131</v>
      </c>
      <c r="O260" t="s">
        <v>648</v>
      </c>
      <c r="P260">
        <v>13</v>
      </c>
      <c r="Q260">
        <v>80</v>
      </c>
      <c r="R260">
        <v>23.2</v>
      </c>
      <c r="S260">
        <v>7.9</v>
      </c>
      <c r="T260">
        <v>2026</v>
      </c>
      <c r="U260">
        <v>3</v>
      </c>
      <c r="V260">
        <v>0</v>
      </c>
      <c r="W260" t="s">
        <v>47</v>
      </c>
      <c r="X260" t="s">
        <v>64</v>
      </c>
      <c r="Y260" t="s">
        <v>95</v>
      </c>
    </row>
    <row r="261" spans="1:25" x14ac:dyDescent="0.35">
      <c r="A261" t="s">
        <v>649</v>
      </c>
      <c r="B261" t="s">
        <v>91</v>
      </c>
      <c r="C261" t="s">
        <v>27</v>
      </c>
      <c r="D261" t="s">
        <v>74</v>
      </c>
      <c r="E261">
        <v>4</v>
      </c>
      <c r="F261" t="s">
        <v>41</v>
      </c>
      <c r="G261">
        <v>145000</v>
      </c>
      <c r="H261">
        <v>145000</v>
      </c>
      <c r="I261">
        <v>290000</v>
      </c>
      <c r="J261" t="s">
        <v>129</v>
      </c>
      <c r="K261" t="s">
        <v>130</v>
      </c>
      <c r="L261" t="s">
        <v>32</v>
      </c>
      <c r="M261" t="s">
        <v>61</v>
      </c>
      <c r="N261" t="s">
        <v>119</v>
      </c>
      <c r="O261" t="s">
        <v>650</v>
      </c>
      <c r="P261">
        <v>7.5</v>
      </c>
      <c r="Q261">
        <v>91</v>
      </c>
      <c r="R261">
        <v>65.400000000000006</v>
      </c>
      <c r="S261">
        <v>7</v>
      </c>
      <c r="T261">
        <v>2025</v>
      </c>
      <c r="U261">
        <v>5</v>
      </c>
      <c r="V261">
        <v>0</v>
      </c>
      <c r="W261" t="s">
        <v>36</v>
      </c>
      <c r="X261" t="s">
        <v>64</v>
      </c>
      <c r="Y261" t="s">
        <v>95</v>
      </c>
    </row>
    <row r="262" spans="1:25" x14ac:dyDescent="0.35">
      <c r="A262" t="s">
        <v>651</v>
      </c>
      <c r="B262" t="s">
        <v>79</v>
      </c>
      <c r="C262" t="s">
        <v>80</v>
      </c>
      <c r="D262" t="s">
        <v>74</v>
      </c>
      <c r="E262">
        <v>8</v>
      </c>
      <c r="F262" t="s">
        <v>41</v>
      </c>
      <c r="G262">
        <v>140000</v>
      </c>
      <c r="H262">
        <v>140000</v>
      </c>
      <c r="I262">
        <v>260000</v>
      </c>
      <c r="J262" t="s">
        <v>102</v>
      </c>
      <c r="K262" t="s">
        <v>103</v>
      </c>
      <c r="L262" t="s">
        <v>53</v>
      </c>
      <c r="M262" t="s">
        <v>82</v>
      </c>
      <c r="N262" t="s">
        <v>88</v>
      </c>
      <c r="O262" t="s">
        <v>652</v>
      </c>
      <c r="P262">
        <v>14.5</v>
      </c>
      <c r="Q262">
        <v>80</v>
      </c>
      <c r="R262">
        <v>17</v>
      </c>
      <c r="S262">
        <v>8.4</v>
      </c>
      <c r="T262">
        <v>2026</v>
      </c>
      <c r="U262">
        <v>3</v>
      </c>
      <c r="V262">
        <v>0</v>
      </c>
      <c r="W262" t="s">
        <v>47</v>
      </c>
      <c r="X262" t="s">
        <v>64</v>
      </c>
      <c r="Y262" t="s">
        <v>95</v>
      </c>
    </row>
    <row r="263" spans="1:25" x14ac:dyDescent="0.35">
      <c r="A263" t="s">
        <v>653</v>
      </c>
      <c r="B263" t="s">
        <v>66</v>
      </c>
      <c r="C263" t="s">
        <v>67</v>
      </c>
      <c r="D263" t="s">
        <v>74</v>
      </c>
      <c r="E263">
        <v>9</v>
      </c>
      <c r="F263" t="s">
        <v>51</v>
      </c>
      <c r="G263">
        <v>140000</v>
      </c>
      <c r="H263">
        <v>140000</v>
      </c>
      <c r="I263">
        <v>260000</v>
      </c>
      <c r="J263" t="s">
        <v>170</v>
      </c>
      <c r="K263" t="s">
        <v>171</v>
      </c>
      <c r="L263" t="s">
        <v>53</v>
      </c>
      <c r="M263" t="s">
        <v>45</v>
      </c>
      <c r="N263" t="s">
        <v>110</v>
      </c>
      <c r="O263" t="s">
        <v>654</v>
      </c>
      <c r="P263">
        <v>11.4</v>
      </c>
      <c r="Q263">
        <v>85</v>
      </c>
      <c r="R263">
        <v>14.4</v>
      </c>
      <c r="S263">
        <v>8</v>
      </c>
      <c r="T263">
        <v>2025</v>
      </c>
      <c r="U263">
        <v>10</v>
      </c>
      <c r="V263">
        <v>0</v>
      </c>
      <c r="W263" t="s">
        <v>47</v>
      </c>
      <c r="X263" t="s">
        <v>64</v>
      </c>
      <c r="Y263" t="s">
        <v>95</v>
      </c>
    </row>
    <row r="264" spans="1:25" x14ac:dyDescent="0.35">
      <c r="A264" t="s">
        <v>655</v>
      </c>
      <c r="B264" t="s">
        <v>50</v>
      </c>
      <c r="C264" t="s">
        <v>27</v>
      </c>
      <c r="D264" t="s">
        <v>74</v>
      </c>
      <c r="E264">
        <v>4</v>
      </c>
      <c r="F264" t="s">
        <v>128</v>
      </c>
      <c r="G264">
        <v>263000</v>
      </c>
      <c r="H264">
        <v>160000</v>
      </c>
      <c r="I264">
        <v>300000</v>
      </c>
      <c r="J264" t="s">
        <v>75</v>
      </c>
      <c r="K264" t="s">
        <v>31</v>
      </c>
      <c r="L264" t="s">
        <v>53</v>
      </c>
      <c r="M264" t="s">
        <v>54</v>
      </c>
      <c r="N264" t="s">
        <v>88</v>
      </c>
      <c r="O264" t="s">
        <v>656</v>
      </c>
      <c r="P264">
        <v>5.0999999999999996</v>
      </c>
      <c r="Q264">
        <v>98</v>
      </c>
      <c r="R264">
        <v>53.3</v>
      </c>
      <c r="S264">
        <v>6.7</v>
      </c>
      <c r="T264">
        <v>2025</v>
      </c>
      <c r="U264">
        <v>1</v>
      </c>
      <c r="V264">
        <v>0</v>
      </c>
      <c r="W264" t="s">
        <v>47</v>
      </c>
      <c r="X264" t="s">
        <v>37</v>
      </c>
      <c r="Y264" t="s">
        <v>38</v>
      </c>
    </row>
    <row r="265" spans="1:25" x14ac:dyDescent="0.35">
      <c r="A265" t="s">
        <v>657</v>
      </c>
      <c r="B265" t="s">
        <v>233</v>
      </c>
      <c r="C265" t="s">
        <v>180</v>
      </c>
      <c r="D265" t="s">
        <v>68</v>
      </c>
      <c r="E265">
        <v>10</v>
      </c>
      <c r="F265" t="s">
        <v>51</v>
      </c>
      <c r="G265">
        <v>154000</v>
      </c>
      <c r="H265">
        <v>100000</v>
      </c>
      <c r="I265">
        <v>200000</v>
      </c>
      <c r="J265" t="s">
        <v>70</v>
      </c>
      <c r="K265" t="s">
        <v>31</v>
      </c>
      <c r="L265" t="s">
        <v>44</v>
      </c>
      <c r="M265" t="s">
        <v>33</v>
      </c>
      <c r="N265" t="s">
        <v>155</v>
      </c>
      <c r="O265" t="s">
        <v>658</v>
      </c>
      <c r="P265">
        <v>9.3000000000000007</v>
      </c>
      <c r="Q265">
        <v>68</v>
      </c>
      <c r="R265">
        <v>23.1</v>
      </c>
      <c r="S265">
        <v>7.7</v>
      </c>
      <c r="T265">
        <v>2026</v>
      </c>
      <c r="U265">
        <v>3</v>
      </c>
      <c r="V265">
        <v>1</v>
      </c>
      <c r="W265" t="s">
        <v>47</v>
      </c>
      <c r="X265" t="s">
        <v>64</v>
      </c>
      <c r="Y265" t="s">
        <v>48</v>
      </c>
    </row>
    <row r="266" spans="1:25" x14ac:dyDescent="0.35">
      <c r="A266" t="s">
        <v>659</v>
      </c>
      <c r="B266" t="s">
        <v>203</v>
      </c>
      <c r="C266" t="s">
        <v>169</v>
      </c>
      <c r="D266" t="s">
        <v>74</v>
      </c>
      <c r="E266">
        <v>4</v>
      </c>
      <c r="F266" t="s">
        <v>51</v>
      </c>
      <c r="G266">
        <v>147000</v>
      </c>
      <c r="H266">
        <v>138000</v>
      </c>
      <c r="I266">
        <v>195000</v>
      </c>
      <c r="J266" t="s">
        <v>174</v>
      </c>
      <c r="K266" t="s">
        <v>31</v>
      </c>
      <c r="L266" t="s">
        <v>44</v>
      </c>
      <c r="M266" t="s">
        <v>82</v>
      </c>
      <c r="N266" t="s">
        <v>110</v>
      </c>
      <c r="O266" t="s">
        <v>660</v>
      </c>
      <c r="P266">
        <v>5.2</v>
      </c>
      <c r="Q266">
        <v>92</v>
      </c>
      <c r="R266">
        <v>47.2</v>
      </c>
      <c r="S266">
        <v>6.4</v>
      </c>
      <c r="T266">
        <v>2025</v>
      </c>
      <c r="U266">
        <v>5</v>
      </c>
      <c r="V266">
        <v>0</v>
      </c>
      <c r="W266" t="s">
        <v>47</v>
      </c>
      <c r="X266" t="s">
        <v>64</v>
      </c>
      <c r="Y266" t="s">
        <v>95</v>
      </c>
    </row>
    <row r="267" spans="1:25" x14ac:dyDescent="0.35">
      <c r="A267" t="s">
        <v>661</v>
      </c>
      <c r="B267" t="s">
        <v>203</v>
      </c>
      <c r="C267" t="s">
        <v>169</v>
      </c>
      <c r="D267" t="s">
        <v>74</v>
      </c>
      <c r="E267">
        <v>6</v>
      </c>
      <c r="F267" t="s">
        <v>29</v>
      </c>
      <c r="G267">
        <v>225000</v>
      </c>
      <c r="H267">
        <v>138000</v>
      </c>
      <c r="I267">
        <v>195000</v>
      </c>
      <c r="J267" t="s">
        <v>174</v>
      </c>
      <c r="K267" t="s">
        <v>31</v>
      </c>
      <c r="L267" t="s">
        <v>44</v>
      </c>
      <c r="M267" t="s">
        <v>54</v>
      </c>
      <c r="N267" t="s">
        <v>110</v>
      </c>
      <c r="O267" t="s">
        <v>662</v>
      </c>
      <c r="P267">
        <v>5.4</v>
      </c>
      <c r="Q267">
        <v>92</v>
      </c>
      <c r="R267">
        <v>47.4</v>
      </c>
      <c r="S267">
        <v>6.5</v>
      </c>
      <c r="T267">
        <v>2026</v>
      </c>
      <c r="U267">
        <v>3</v>
      </c>
      <c r="V267">
        <v>0</v>
      </c>
      <c r="W267" t="s">
        <v>47</v>
      </c>
      <c r="X267" t="s">
        <v>64</v>
      </c>
      <c r="Y267" t="s">
        <v>38</v>
      </c>
    </row>
    <row r="268" spans="1:25" x14ac:dyDescent="0.35">
      <c r="A268" t="s">
        <v>663</v>
      </c>
      <c r="B268" t="s">
        <v>127</v>
      </c>
      <c r="C268" t="s">
        <v>27</v>
      </c>
      <c r="D268" t="s">
        <v>74</v>
      </c>
      <c r="E268">
        <v>5</v>
      </c>
      <c r="F268" t="s">
        <v>41</v>
      </c>
      <c r="G268">
        <v>162000</v>
      </c>
      <c r="H268">
        <v>120000</v>
      </c>
      <c r="I268">
        <v>280000</v>
      </c>
      <c r="J268" t="s">
        <v>30</v>
      </c>
      <c r="K268" t="s">
        <v>31</v>
      </c>
      <c r="L268" t="s">
        <v>53</v>
      </c>
      <c r="M268" t="s">
        <v>45</v>
      </c>
      <c r="N268" t="s">
        <v>34</v>
      </c>
      <c r="O268" t="s">
        <v>664</v>
      </c>
      <c r="P268">
        <v>17.2</v>
      </c>
      <c r="Q268">
        <v>97</v>
      </c>
      <c r="R268">
        <v>49.2</v>
      </c>
      <c r="S268">
        <v>7.7</v>
      </c>
      <c r="T268">
        <v>2026</v>
      </c>
      <c r="U268">
        <v>3</v>
      </c>
      <c r="V268">
        <v>0</v>
      </c>
      <c r="W268" t="s">
        <v>47</v>
      </c>
      <c r="X268" t="s">
        <v>64</v>
      </c>
      <c r="Y268" t="s">
        <v>48</v>
      </c>
    </row>
    <row r="269" spans="1:25" x14ac:dyDescent="0.35">
      <c r="A269" t="s">
        <v>665</v>
      </c>
      <c r="B269" t="s">
        <v>233</v>
      </c>
      <c r="C269" t="s">
        <v>180</v>
      </c>
      <c r="D269" t="s">
        <v>81</v>
      </c>
      <c r="E269">
        <v>7</v>
      </c>
      <c r="F269" t="s">
        <v>29</v>
      </c>
      <c r="G269">
        <v>137000</v>
      </c>
      <c r="H269">
        <v>100000</v>
      </c>
      <c r="I269">
        <v>200000</v>
      </c>
      <c r="J269" t="s">
        <v>170</v>
      </c>
      <c r="K269" t="s">
        <v>171</v>
      </c>
      <c r="L269" t="s">
        <v>32</v>
      </c>
      <c r="M269" t="s">
        <v>45</v>
      </c>
      <c r="N269" t="s">
        <v>62</v>
      </c>
      <c r="O269" t="s">
        <v>666</v>
      </c>
      <c r="P269">
        <v>9.1</v>
      </c>
      <c r="Q269">
        <v>68</v>
      </c>
      <c r="R269">
        <v>17</v>
      </c>
      <c r="S269">
        <v>9.1999999999999993</v>
      </c>
      <c r="T269">
        <v>2025</v>
      </c>
      <c r="U269">
        <v>6</v>
      </c>
      <c r="V269">
        <v>0</v>
      </c>
      <c r="W269" t="s">
        <v>36</v>
      </c>
      <c r="X269" t="s">
        <v>64</v>
      </c>
      <c r="Y269" t="s">
        <v>95</v>
      </c>
    </row>
    <row r="270" spans="1:25" x14ac:dyDescent="0.35">
      <c r="A270" t="s">
        <v>667</v>
      </c>
      <c r="B270" t="s">
        <v>158</v>
      </c>
      <c r="C270" t="s">
        <v>27</v>
      </c>
      <c r="D270" t="s">
        <v>74</v>
      </c>
      <c r="E270">
        <v>2</v>
      </c>
      <c r="F270" t="s">
        <v>69</v>
      </c>
      <c r="G270">
        <v>145000</v>
      </c>
      <c r="H270">
        <v>145000</v>
      </c>
      <c r="I270">
        <v>280000</v>
      </c>
      <c r="J270" t="s">
        <v>92</v>
      </c>
      <c r="K270" t="s">
        <v>93</v>
      </c>
      <c r="L270" t="s">
        <v>44</v>
      </c>
      <c r="M270" t="s">
        <v>61</v>
      </c>
      <c r="N270" t="s">
        <v>71</v>
      </c>
      <c r="O270" t="s">
        <v>668</v>
      </c>
      <c r="P270">
        <v>6.8</v>
      </c>
      <c r="Q270">
        <v>94</v>
      </c>
      <c r="R270">
        <v>86.1</v>
      </c>
      <c r="S270">
        <v>7.5</v>
      </c>
      <c r="T270">
        <v>2025</v>
      </c>
      <c r="U270">
        <v>12</v>
      </c>
      <c r="V270">
        <v>0</v>
      </c>
      <c r="W270" t="s">
        <v>47</v>
      </c>
      <c r="X270" t="s">
        <v>37</v>
      </c>
      <c r="Y270" t="s">
        <v>95</v>
      </c>
    </row>
    <row r="271" spans="1:25" x14ac:dyDescent="0.35">
      <c r="A271" t="s">
        <v>669</v>
      </c>
      <c r="B271" t="s">
        <v>153</v>
      </c>
      <c r="C271" t="s">
        <v>154</v>
      </c>
      <c r="D271" t="s">
        <v>28</v>
      </c>
      <c r="E271">
        <v>3</v>
      </c>
      <c r="F271" t="s">
        <v>51</v>
      </c>
      <c r="G271">
        <v>131000</v>
      </c>
      <c r="H271">
        <v>95000</v>
      </c>
      <c r="I271">
        <v>180000</v>
      </c>
      <c r="J271" t="s">
        <v>122</v>
      </c>
      <c r="K271" t="s">
        <v>123</v>
      </c>
      <c r="L271" t="s">
        <v>53</v>
      </c>
      <c r="M271" t="s">
        <v>45</v>
      </c>
      <c r="N271" t="s">
        <v>110</v>
      </c>
      <c r="O271" t="s">
        <v>670</v>
      </c>
      <c r="P271">
        <v>8.6999999999999993</v>
      </c>
      <c r="Q271">
        <v>78</v>
      </c>
      <c r="R271">
        <v>7.7</v>
      </c>
      <c r="S271">
        <v>9.1</v>
      </c>
      <c r="T271">
        <v>2026</v>
      </c>
      <c r="U271">
        <v>2</v>
      </c>
      <c r="V271">
        <v>1</v>
      </c>
      <c r="W271" t="s">
        <v>47</v>
      </c>
      <c r="X271" t="s">
        <v>64</v>
      </c>
      <c r="Y271" t="s">
        <v>95</v>
      </c>
    </row>
    <row r="272" spans="1:25" x14ac:dyDescent="0.35">
      <c r="A272" t="s">
        <v>671</v>
      </c>
      <c r="B272" t="s">
        <v>66</v>
      </c>
      <c r="C272" t="s">
        <v>67</v>
      </c>
      <c r="D272" t="s">
        <v>74</v>
      </c>
      <c r="E272">
        <v>8</v>
      </c>
      <c r="F272" t="s">
        <v>29</v>
      </c>
      <c r="G272">
        <v>142000</v>
      </c>
      <c r="H272">
        <v>140000</v>
      </c>
      <c r="I272">
        <v>260000</v>
      </c>
      <c r="J272" t="s">
        <v>47</v>
      </c>
      <c r="K272" t="s">
        <v>87</v>
      </c>
      <c r="L272" t="s">
        <v>32</v>
      </c>
      <c r="M272" t="s">
        <v>33</v>
      </c>
      <c r="N272" t="s">
        <v>71</v>
      </c>
      <c r="O272" t="s">
        <v>672</v>
      </c>
      <c r="P272">
        <v>16.8</v>
      </c>
      <c r="Q272">
        <v>85</v>
      </c>
      <c r="R272">
        <v>12.5</v>
      </c>
      <c r="S272">
        <v>9</v>
      </c>
      <c r="T272">
        <v>2026</v>
      </c>
      <c r="U272">
        <v>2</v>
      </c>
      <c r="V272">
        <v>0</v>
      </c>
      <c r="W272" t="s">
        <v>36</v>
      </c>
      <c r="X272" t="s">
        <v>64</v>
      </c>
      <c r="Y272" t="s">
        <v>95</v>
      </c>
    </row>
    <row r="273" spans="1:25" x14ac:dyDescent="0.35">
      <c r="A273" t="s">
        <v>673</v>
      </c>
      <c r="B273" t="s">
        <v>185</v>
      </c>
      <c r="C273" t="s">
        <v>186</v>
      </c>
      <c r="D273" t="s">
        <v>74</v>
      </c>
      <c r="E273">
        <v>6</v>
      </c>
      <c r="F273" t="s">
        <v>51</v>
      </c>
      <c r="G273">
        <v>140000</v>
      </c>
      <c r="H273">
        <v>140000</v>
      </c>
      <c r="I273">
        <v>270000</v>
      </c>
      <c r="J273" t="s">
        <v>60</v>
      </c>
      <c r="K273" t="s">
        <v>60</v>
      </c>
      <c r="L273" t="s">
        <v>44</v>
      </c>
      <c r="M273" t="s">
        <v>33</v>
      </c>
      <c r="N273" t="s">
        <v>124</v>
      </c>
      <c r="O273" t="s">
        <v>674</v>
      </c>
      <c r="P273">
        <v>17.8</v>
      </c>
      <c r="Q273">
        <v>85</v>
      </c>
      <c r="R273">
        <v>7.7</v>
      </c>
      <c r="S273">
        <v>7.1</v>
      </c>
      <c r="T273">
        <v>2025</v>
      </c>
      <c r="U273">
        <v>7</v>
      </c>
      <c r="V273">
        <v>0</v>
      </c>
      <c r="W273" t="s">
        <v>47</v>
      </c>
      <c r="X273" t="s">
        <v>64</v>
      </c>
      <c r="Y273" t="s">
        <v>95</v>
      </c>
    </row>
    <row r="274" spans="1:25" x14ac:dyDescent="0.35">
      <c r="A274" t="s">
        <v>675</v>
      </c>
      <c r="B274" t="s">
        <v>185</v>
      </c>
      <c r="C274" t="s">
        <v>186</v>
      </c>
      <c r="D274" t="s">
        <v>28</v>
      </c>
      <c r="E274">
        <v>6</v>
      </c>
      <c r="F274" t="s">
        <v>69</v>
      </c>
      <c r="G274">
        <v>140000</v>
      </c>
      <c r="H274">
        <v>140000</v>
      </c>
      <c r="I274">
        <v>270000</v>
      </c>
      <c r="J274" t="s">
        <v>92</v>
      </c>
      <c r="K274" t="s">
        <v>93</v>
      </c>
      <c r="L274" t="s">
        <v>53</v>
      </c>
      <c r="M274" t="s">
        <v>45</v>
      </c>
      <c r="N274" t="s">
        <v>76</v>
      </c>
      <c r="O274" t="s">
        <v>676</v>
      </c>
      <c r="P274">
        <v>11.6</v>
      </c>
      <c r="Q274">
        <v>85</v>
      </c>
      <c r="R274">
        <v>15.4</v>
      </c>
      <c r="S274">
        <v>7.1</v>
      </c>
      <c r="T274">
        <v>2026</v>
      </c>
      <c r="U274">
        <v>1</v>
      </c>
      <c r="V274">
        <v>1</v>
      </c>
      <c r="W274" t="s">
        <v>47</v>
      </c>
      <c r="X274" t="s">
        <v>64</v>
      </c>
      <c r="Y274" t="s">
        <v>95</v>
      </c>
    </row>
    <row r="275" spans="1:25" x14ac:dyDescent="0.35">
      <c r="A275" t="s">
        <v>677</v>
      </c>
      <c r="B275" t="s">
        <v>168</v>
      </c>
      <c r="C275" t="s">
        <v>169</v>
      </c>
      <c r="D275" t="s">
        <v>74</v>
      </c>
      <c r="E275">
        <v>12</v>
      </c>
      <c r="F275" t="s">
        <v>29</v>
      </c>
      <c r="G275">
        <v>166000</v>
      </c>
      <c r="H275">
        <v>157000</v>
      </c>
      <c r="I275">
        <v>218000</v>
      </c>
      <c r="J275" t="s">
        <v>174</v>
      </c>
      <c r="K275" t="s">
        <v>31</v>
      </c>
      <c r="L275" t="s">
        <v>44</v>
      </c>
      <c r="M275" t="s">
        <v>33</v>
      </c>
      <c r="N275" t="s">
        <v>88</v>
      </c>
      <c r="O275" t="s">
        <v>678</v>
      </c>
      <c r="P275">
        <v>6.9</v>
      </c>
      <c r="Q275">
        <v>90</v>
      </c>
      <c r="R275">
        <v>16.3</v>
      </c>
      <c r="S275">
        <v>7.4</v>
      </c>
      <c r="T275">
        <v>2025</v>
      </c>
      <c r="U275">
        <v>10</v>
      </c>
      <c r="V275">
        <v>0</v>
      </c>
      <c r="W275" t="s">
        <v>47</v>
      </c>
      <c r="X275" t="s">
        <v>64</v>
      </c>
      <c r="Y275" t="s">
        <v>48</v>
      </c>
    </row>
    <row r="276" spans="1:25" x14ac:dyDescent="0.35">
      <c r="A276" t="s">
        <v>679</v>
      </c>
      <c r="B276" t="s">
        <v>196</v>
      </c>
      <c r="C276" t="s">
        <v>27</v>
      </c>
      <c r="D276" t="s">
        <v>81</v>
      </c>
      <c r="E276">
        <v>6</v>
      </c>
      <c r="F276" t="s">
        <v>51</v>
      </c>
      <c r="G276">
        <v>100000</v>
      </c>
      <c r="H276">
        <v>100000</v>
      </c>
      <c r="I276">
        <v>250000</v>
      </c>
      <c r="J276" t="s">
        <v>92</v>
      </c>
      <c r="K276" t="s">
        <v>93</v>
      </c>
      <c r="L276" t="s">
        <v>53</v>
      </c>
      <c r="M276" t="s">
        <v>45</v>
      </c>
      <c r="N276" t="s">
        <v>88</v>
      </c>
      <c r="O276" t="s">
        <v>680</v>
      </c>
      <c r="P276">
        <v>8.8000000000000007</v>
      </c>
      <c r="Q276">
        <v>95</v>
      </c>
      <c r="R276">
        <v>68.3</v>
      </c>
      <c r="S276">
        <v>8</v>
      </c>
      <c r="T276">
        <v>2026</v>
      </c>
      <c r="U276">
        <v>2</v>
      </c>
      <c r="V276">
        <v>0</v>
      </c>
      <c r="W276" t="s">
        <v>47</v>
      </c>
      <c r="X276" t="s">
        <v>64</v>
      </c>
      <c r="Y276" t="s">
        <v>98</v>
      </c>
    </row>
    <row r="277" spans="1:25" x14ac:dyDescent="0.35">
      <c r="A277" t="s">
        <v>681</v>
      </c>
      <c r="B277" t="s">
        <v>100</v>
      </c>
      <c r="C277" t="s">
        <v>101</v>
      </c>
      <c r="D277" t="s">
        <v>74</v>
      </c>
      <c r="E277">
        <v>7</v>
      </c>
      <c r="F277" t="s">
        <v>29</v>
      </c>
      <c r="G277">
        <v>180000</v>
      </c>
      <c r="H277">
        <v>180000</v>
      </c>
      <c r="I277">
        <v>320000</v>
      </c>
      <c r="J277" t="s">
        <v>117</v>
      </c>
      <c r="K277" t="s">
        <v>118</v>
      </c>
      <c r="L277" t="s">
        <v>44</v>
      </c>
      <c r="M277" t="s">
        <v>33</v>
      </c>
      <c r="N277" t="s">
        <v>88</v>
      </c>
      <c r="O277" t="s">
        <v>682</v>
      </c>
      <c r="P277">
        <v>11.3</v>
      </c>
      <c r="Q277">
        <v>84</v>
      </c>
      <c r="R277">
        <v>13.8</v>
      </c>
      <c r="S277">
        <v>9.6999999999999993</v>
      </c>
      <c r="T277">
        <v>2025</v>
      </c>
      <c r="U277">
        <v>3</v>
      </c>
      <c r="V277">
        <v>0</v>
      </c>
      <c r="W277" t="s">
        <v>47</v>
      </c>
      <c r="X277" t="s">
        <v>64</v>
      </c>
      <c r="Y277" t="s">
        <v>48</v>
      </c>
    </row>
    <row r="278" spans="1:25" x14ac:dyDescent="0.35">
      <c r="A278" t="s">
        <v>683</v>
      </c>
      <c r="B278" t="s">
        <v>127</v>
      </c>
      <c r="C278" t="s">
        <v>27</v>
      </c>
      <c r="D278" t="s">
        <v>28</v>
      </c>
      <c r="E278">
        <v>5</v>
      </c>
      <c r="F278" t="s">
        <v>41</v>
      </c>
      <c r="G278">
        <v>120000</v>
      </c>
      <c r="H278">
        <v>120000</v>
      </c>
      <c r="I278">
        <v>280000</v>
      </c>
      <c r="J278" t="s">
        <v>108</v>
      </c>
      <c r="K278" t="s">
        <v>109</v>
      </c>
      <c r="L278" t="s">
        <v>44</v>
      </c>
      <c r="M278" t="s">
        <v>82</v>
      </c>
      <c r="N278" t="s">
        <v>131</v>
      </c>
      <c r="O278" t="s">
        <v>684</v>
      </c>
      <c r="P278">
        <v>16.5</v>
      </c>
      <c r="Q278">
        <v>97</v>
      </c>
      <c r="R278">
        <v>35.299999999999997</v>
      </c>
      <c r="S278">
        <v>6.5</v>
      </c>
      <c r="T278">
        <v>2025</v>
      </c>
      <c r="U278">
        <v>5</v>
      </c>
      <c r="V278">
        <v>1</v>
      </c>
      <c r="W278" t="s">
        <v>47</v>
      </c>
      <c r="X278" t="s">
        <v>64</v>
      </c>
      <c r="Y278" t="s">
        <v>95</v>
      </c>
    </row>
    <row r="279" spans="1:25" x14ac:dyDescent="0.35">
      <c r="A279" t="s">
        <v>685</v>
      </c>
      <c r="B279" t="s">
        <v>196</v>
      </c>
      <c r="C279" t="s">
        <v>27</v>
      </c>
      <c r="D279" t="s">
        <v>81</v>
      </c>
      <c r="E279">
        <v>7</v>
      </c>
      <c r="F279" t="s">
        <v>51</v>
      </c>
      <c r="G279">
        <v>205000</v>
      </c>
      <c r="H279">
        <v>100000</v>
      </c>
      <c r="I279">
        <v>250000</v>
      </c>
      <c r="J279" t="s">
        <v>30</v>
      </c>
      <c r="K279" t="s">
        <v>31</v>
      </c>
      <c r="L279" t="s">
        <v>44</v>
      </c>
      <c r="M279" t="s">
        <v>54</v>
      </c>
      <c r="N279" t="s">
        <v>62</v>
      </c>
      <c r="O279" t="s">
        <v>686</v>
      </c>
      <c r="P279">
        <v>8.8000000000000007</v>
      </c>
      <c r="Q279">
        <v>95</v>
      </c>
      <c r="R279">
        <v>25.6</v>
      </c>
      <c r="S279">
        <v>9.5</v>
      </c>
      <c r="T279">
        <v>2025</v>
      </c>
      <c r="U279">
        <v>8</v>
      </c>
      <c r="V279">
        <v>0</v>
      </c>
      <c r="W279" t="s">
        <v>47</v>
      </c>
      <c r="X279" t="s">
        <v>64</v>
      </c>
      <c r="Y279" t="s">
        <v>38</v>
      </c>
    </row>
    <row r="280" spans="1:25" x14ac:dyDescent="0.35">
      <c r="A280" t="s">
        <v>687</v>
      </c>
      <c r="B280" t="s">
        <v>233</v>
      </c>
      <c r="C280" t="s">
        <v>180</v>
      </c>
      <c r="D280" t="s">
        <v>81</v>
      </c>
      <c r="E280">
        <v>5</v>
      </c>
      <c r="F280" t="s">
        <v>69</v>
      </c>
      <c r="G280">
        <v>118000</v>
      </c>
      <c r="H280">
        <v>100000</v>
      </c>
      <c r="I280">
        <v>200000</v>
      </c>
      <c r="J280" t="s">
        <v>122</v>
      </c>
      <c r="K280" t="s">
        <v>123</v>
      </c>
      <c r="L280" t="s">
        <v>44</v>
      </c>
      <c r="M280" t="s">
        <v>45</v>
      </c>
      <c r="N280" t="s">
        <v>131</v>
      </c>
      <c r="O280" t="s">
        <v>688</v>
      </c>
      <c r="P280">
        <v>12.8</v>
      </c>
      <c r="Q280">
        <v>68</v>
      </c>
      <c r="R280">
        <v>16.899999999999999</v>
      </c>
      <c r="S280">
        <v>9.6</v>
      </c>
      <c r="T280">
        <v>2026</v>
      </c>
      <c r="U280">
        <v>1</v>
      </c>
      <c r="V280">
        <v>0</v>
      </c>
      <c r="W280" t="s">
        <v>47</v>
      </c>
      <c r="X280" t="s">
        <v>64</v>
      </c>
      <c r="Y280" t="s">
        <v>95</v>
      </c>
    </row>
    <row r="281" spans="1:25" x14ac:dyDescent="0.35">
      <c r="A281" t="s">
        <v>689</v>
      </c>
      <c r="B281" t="s">
        <v>50</v>
      </c>
      <c r="C281" t="s">
        <v>27</v>
      </c>
      <c r="D281" t="s">
        <v>28</v>
      </c>
      <c r="E281">
        <v>5</v>
      </c>
      <c r="F281" t="s">
        <v>29</v>
      </c>
      <c r="G281">
        <v>263000</v>
      </c>
      <c r="H281">
        <v>160000</v>
      </c>
      <c r="I281">
        <v>300000</v>
      </c>
      <c r="J281" t="s">
        <v>137</v>
      </c>
      <c r="K281" t="s">
        <v>138</v>
      </c>
      <c r="L281" t="s">
        <v>53</v>
      </c>
      <c r="M281" t="s">
        <v>45</v>
      </c>
      <c r="N281" t="s">
        <v>34</v>
      </c>
      <c r="O281" t="s">
        <v>690</v>
      </c>
      <c r="P281">
        <v>7.5</v>
      </c>
      <c r="Q281">
        <v>98</v>
      </c>
      <c r="R281">
        <v>84.8</v>
      </c>
      <c r="S281">
        <v>7.6</v>
      </c>
      <c r="T281">
        <v>2026</v>
      </c>
      <c r="U281">
        <v>2</v>
      </c>
      <c r="V281">
        <v>1</v>
      </c>
      <c r="W281" t="s">
        <v>47</v>
      </c>
      <c r="X281" t="s">
        <v>37</v>
      </c>
      <c r="Y281" t="s">
        <v>38</v>
      </c>
    </row>
    <row r="282" spans="1:25" x14ac:dyDescent="0.35">
      <c r="A282" t="s">
        <v>691</v>
      </c>
      <c r="B282" t="s">
        <v>66</v>
      </c>
      <c r="C282" t="s">
        <v>67</v>
      </c>
      <c r="D282" t="s">
        <v>74</v>
      </c>
      <c r="E282">
        <v>7</v>
      </c>
      <c r="F282" t="s">
        <v>128</v>
      </c>
      <c r="G282">
        <v>140000</v>
      </c>
      <c r="H282">
        <v>140000</v>
      </c>
      <c r="I282">
        <v>260000</v>
      </c>
      <c r="J282" t="s">
        <v>142</v>
      </c>
      <c r="K282" t="s">
        <v>143</v>
      </c>
      <c r="L282" t="s">
        <v>32</v>
      </c>
      <c r="M282" t="s">
        <v>82</v>
      </c>
      <c r="N282" t="s">
        <v>119</v>
      </c>
      <c r="O282" t="s">
        <v>692</v>
      </c>
      <c r="P282">
        <v>8.6999999999999993</v>
      </c>
      <c r="Q282">
        <v>85</v>
      </c>
      <c r="R282">
        <v>15.3</v>
      </c>
      <c r="S282">
        <v>8</v>
      </c>
      <c r="T282">
        <v>2026</v>
      </c>
      <c r="U282">
        <v>2</v>
      </c>
      <c r="V282">
        <v>0</v>
      </c>
      <c r="W282" t="s">
        <v>36</v>
      </c>
      <c r="X282" t="s">
        <v>64</v>
      </c>
      <c r="Y282" t="s">
        <v>95</v>
      </c>
    </row>
    <row r="283" spans="1:25" x14ac:dyDescent="0.35">
      <c r="A283" t="s">
        <v>693</v>
      </c>
      <c r="B283" t="s">
        <v>91</v>
      </c>
      <c r="C283" t="s">
        <v>27</v>
      </c>
      <c r="D283" t="s">
        <v>81</v>
      </c>
      <c r="E283">
        <v>4</v>
      </c>
      <c r="F283" t="s">
        <v>41</v>
      </c>
      <c r="G283">
        <v>145000</v>
      </c>
      <c r="H283">
        <v>145000</v>
      </c>
      <c r="I283">
        <v>290000</v>
      </c>
      <c r="J283" t="s">
        <v>129</v>
      </c>
      <c r="K283" t="s">
        <v>130</v>
      </c>
      <c r="L283" t="s">
        <v>44</v>
      </c>
      <c r="M283" t="s">
        <v>82</v>
      </c>
      <c r="N283" t="s">
        <v>76</v>
      </c>
      <c r="O283" t="s">
        <v>694</v>
      </c>
      <c r="P283">
        <v>9.3000000000000007</v>
      </c>
      <c r="Q283">
        <v>91</v>
      </c>
      <c r="R283">
        <v>56.3</v>
      </c>
      <c r="S283">
        <v>9.6999999999999993</v>
      </c>
      <c r="T283">
        <v>2026</v>
      </c>
      <c r="U283">
        <v>3</v>
      </c>
      <c r="V283">
        <v>0</v>
      </c>
      <c r="W283" t="s">
        <v>47</v>
      </c>
      <c r="X283" t="s">
        <v>64</v>
      </c>
      <c r="Y283" t="s">
        <v>95</v>
      </c>
    </row>
    <row r="284" spans="1:25" x14ac:dyDescent="0.35">
      <c r="A284" t="s">
        <v>695</v>
      </c>
      <c r="B284" t="s">
        <v>609</v>
      </c>
      <c r="C284" t="s">
        <v>124</v>
      </c>
      <c r="D284" t="s">
        <v>68</v>
      </c>
      <c r="E284">
        <v>8</v>
      </c>
      <c r="F284" t="s">
        <v>41</v>
      </c>
      <c r="G284">
        <v>209000</v>
      </c>
      <c r="H284">
        <v>115000</v>
      </c>
      <c r="I284">
        <v>280000</v>
      </c>
      <c r="J284" t="s">
        <v>142</v>
      </c>
      <c r="K284" t="s">
        <v>143</v>
      </c>
      <c r="L284" t="s">
        <v>44</v>
      </c>
      <c r="M284" t="s">
        <v>82</v>
      </c>
      <c r="N284" t="s">
        <v>76</v>
      </c>
      <c r="O284" t="s">
        <v>696</v>
      </c>
      <c r="P284">
        <v>8.6</v>
      </c>
      <c r="Q284">
        <v>88</v>
      </c>
      <c r="R284">
        <v>28.9</v>
      </c>
      <c r="S284">
        <v>7</v>
      </c>
      <c r="T284">
        <v>2026</v>
      </c>
      <c r="U284">
        <v>2</v>
      </c>
      <c r="V284">
        <v>1</v>
      </c>
      <c r="W284" t="s">
        <v>47</v>
      </c>
      <c r="X284" t="s">
        <v>64</v>
      </c>
      <c r="Y284" t="s">
        <v>38</v>
      </c>
    </row>
    <row r="285" spans="1:25" x14ac:dyDescent="0.35">
      <c r="A285" t="s">
        <v>697</v>
      </c>
      <c r="B285" t="s">
        <v>141</v>
      </c>
      <c r="C285" t="s">
        <v>27</v>
      </c>
      <c r="D285" t="s">
        <v>81</v>
      </c>
      <c r="E285">
        <v>9</v>
      </c>
      <c r="F285" t="s">
        <v>69</v>
      </c>
      <c r="G285">
        <v>141000</v>
      </c>
      <c r="H285">
        <v>141000</v>
      </c>
      <c r="I285">
        <v>270000</v>
      </c>
      <c r="J285" t="s">
        <v>108</v>
      </c>
      <c r="K285" t="s">
        <v>109</v>
      </c>
      <c r="L285" t="s">
        <v>32</v>
      </c>
      <c r="M285" t="s">
        <v>45</v>
      </c>
      <c r="N285" t="s">
        <v>34</v>
      </c>
      <c r="O285" t="s">
        <v>698</v>
      </c>
      <c r="P285">
        <v>8.1</v>
      </c>
      <c r="Q285">
        <v>89</v>
      </c>
      <c r="R285">
        <v>24.4</v>
      </c>
      <c r="S285">
        <v>6.1</v>
      </c>
      <c r="T285">
        <v>2026</v>
      </c>
      <c r="U285">
        <v>3</v>
      </c>
      <c r="V285">
        <v>0</v>
      </c>
      <c r="W285" t="s">
        <v>36</v>
      </c>
      <c r="X285" t="s">
        <v>64</v>
      </c>
      <c r="Y285" t="s">
        <v>95</v>
      </c>
    </row>
    <row r="286" spans="1:25" x14ac:dyDescent="0.35">
      <c r="A286" t="s">
        <v>699</v>
      </c>
      <c r="B286" t="s">
        <v>26</v>
      </c>
      <c r="C286" t="s">
        <v>27</v>
      </c>
      <c r="D286" t="s">
        <v>68</v>
      </c>
      <c r="E286">
        <v>4</v>
      </c>
      <c r="F286" t="s">
        <v>128</v>
      </c>
      <c r="G286">
        <v>348000</v>
      </c>
      <c r="H286">
        <v>155000</v>
      </c>
      <c r="I286">
        <v>290000</v>
      </c>
      <c r="J286" t="s">
        <v>174</v>
      </c>
      <c r="K286" t="s">
        <v>31</v>
      </c>
      <c r="L286" t="s">
        <v>44</v>
      </c>
      <c r="M286" t="s">
        <v>33</v>
      </c>
      <c r="N286" t="s">
        <v>62</v>
      </c>
      <c r="O286" t="s">
        <v>700</v>
      </c>
      <c r="P286">
        <v>14.9</v>
      </c>
      <c r="Q286">
        <v>96</v>
      </c>
      <c r="R286">
        <v>71.900000000000006</v>
      </c>
      <c r="S286">
        <v>6.5</v>
      </c>
      <c r="T286">
        <v>2026</v>
      </c>
      <c r="U286">
        <v>2</v>
      </c>
      <c r="V286">
        <v>1</v>
      </c>
      <c r="W286" t="s">
        <v>47</v>
      </c>
      <c r="X286" t="s">
        <v>37</v>
      </c>
      <c r="Y286" t="s">
        <v>56</v>
      </c>
    </row>
    <row r="287" spans="1:25" x14ac:dyDescent="0.35">
      <c r="A287" t="s">
        <v>701</v>
      </c>
      <c r="B287" t="s">
        <v>66</v>
      </c>
      <c r="C287" t="s">
        <v>67</v>
      </c>
      <c r="D287" t="s">
        <v>74</v>
      </c>
      <c r="E287">
        <v>10</v>
      </c>
      <c r="F287" t="s">
        <v>41</v>
      </c>
      <c r="G287">
        <v>140000</v>
      </c>
      <c r="H287">
        <v>140000</v>
      </c>
      <c r="I287">
        <v>260000</v>
      </c>
      <c r="J287" t="s">
        <v>129</v>
      </c>
      <c r="K287" t="s">
        <v>130</v>
      </c>
      <c r="L287" t="s">
        <v>53</v>
      </c>
      <c r="M287" t="s">
        <v>45</v>
      </c>
      <c r="N287" t="s">
        <v>62</v>
      </c>
      <c r="O287" t="s">
        <v>702</v>
      </c>
      <c r="P287">
        <v>14.6</v>
      </c>
      <c r="Q287">
        <v>85</v>
      </c>
      <c r="R287">
        <v>12.5</v>
      </c>
      <c r="S287">
        <v>7.5</v>
      </c>
      <c r="T287">
        <v>2025</v>
      </c>
      <c r="U287">
        <v>12</v>
      </c>
      <c r="V287">
        <v>0</v>
      </c>
      <c r="W287" t="s">
        <v>47</v>
      </c>
      <c r="X287" t="s">
        <v>64</v>
      </c>
      <c r="Y287" t="s">
        <v>95</v>
      </c>
    </row>
    <row r="288" spans="1:25" x14ac:dyDescent="0.35">
      <c r="A288" t="s">
        <v>703</v>
      </c>
      <c r="B288" t="s">
        <v>58</v>
      </c>
      <c r="C288" t="s">
        <v>59</v>
      </c>
      <c r="D288" t="s">
        <v>68</v>
      </c>
      <c r="E288">
        <v>3</v>
      </c>
      <c r="F288" t="s">
        <v>29</v>
      </c>
      <c r="G288">
        <v>203000</v>
      </c>
      <c r="H288">
        <v>130000</v>
      </c>
      <c r="I288">
        <v>220000</v>
      </c>
      <c r="J288" t="s">
        <v>47</v>
      </c>
      <c r="K288" t="s">
        <v>87</v>
      </c>
      <c r="L288" t="s">
        <v>44</v>
      </c>
      <c r="M288" t="s">
        <v>33</v>
      </c>
      <c r="N288" t="s">
        <v>155</v>
      </c>
      <c r="O288" t="s">
        <v>704</v>
      </c>
      <c r="P288">
        <v>13</v>
      </c>
      <c r="Q288">
        <v>88</v>
      </c>
      <c r="R288">
        <v>29.1</v>
      </c>
      <c r="S288">
        <v>9.1</v>
      </c>
      <c r="T288">
        <v>2026</v>
      </c>
      <c r="U288">
        <v>1</v>
      </c>
      <c r="V288">
        <v>1</v>
      </c>
      <c r="W288" t="s">
        <v>47</v>
      </c>
      <c r="X288" t="s">
        <v>64</v>
      </c>
      <c r="Y288" t="s">
        <v>38</v>
      </c>
    </row>
    <row r="289" spans="1:25" x14ac:dyDescent="0.35">
      <c r="A289" t="s">
        <v>705</v>
      </c>
      <c r="B289" t="s">
        <v>127</v>
      </c>
      <c r="C289" t="s">
        <v>27</v>
      </c>
      <c r="D289" t="s">
        <v>28</v>
      </c>
      <c r="E289">
        <v>6</v>
      </c>
      <c r="F289" t="s">
        <v>41</v>
      </c>
      <c r="G289">
        <v>153000</v>
      </c>
      <c r="H289">
        <v>120000</v>
      </c>
      <c r="I289">
        <v>280000</v>
      </c>
      <c r="J289" t="s">
        <v>113</v>
      </c>
      <c r="K289" t="s">
        <v>114</v>
      </c>
      <c r="L289" t="s">
        <v>44</v>
      </c>
      <c r="M289" t="s">
        <v>33</v>
      </c>
      <c r="N289" t="s">
        <v>88</v>
      </c>
      <c r="O289" t="s">
        <v>706</v>
      </c>
      <c r="P289">
        <v>12.7</v>
      </c>
      <c r="Q289">
        <v>97</v>
      </c>
      <c r="R289">
        <v>82</v>
      </c>
      <c r="S289">
        <v>6.2</v>
      </c>
      <c r="T289">
        <v>2026</v>
      </c>
      <c r="U289">
        <v>1</v>
      </c>
      <c r="V289">
        <v>1</v>
      </c>
      <c r="W289" t="s">
        <v>47</v>
      </c>
      <c r="X289" t="s">
        <v>64</v>
      </c>
      <c r="Y289" t="s">
        <v>48</v>
      </c>
    </row>
    <row r="290" spans="1:25" x14ac:dyDescent="0.35">
      <c r="A290" t="s">
        <v>707</v>
      </c>
      <c r="B290" t="s">
        <v>196</v>
      </c>
      <c r="C290" t="s">
        <v>27</v>
      </c>
      <c r="D290" t="s">
        <v>28</v>
      </c>
      <c r="E290">
        <v>3</v>
      </c>
      <c r="F290" t="s">
        <v>41</v>
      </c>
      <c r="G290">
        <v>160000</v>
      </c>
      <c r="H290">
        <v>100000</v>
      </c>
      <c r="I290">
        <v>250000</v>
      </c>
      <c r="J290" t="s">
        <v>75</v>
      </c>
      <c r="K290" t="s">
        <v>31</v>
      </c>
      <c r="L290" t="s">
        <v>44</v>
      </c>
      <c r="M290" t="s">
        <v>33</v>
      </c>
      <c r="N290" t="s">
        <v>76</v>
      </c>
      <c r="O290" t="s">
        <v>708</v>
      </c>
      <c r="P290">
        <v>16.399999999999999</v>
      </c>
      <c r="Q290">
        <v>95</v>
      </c>
      <c r="R290">
        <v>68.900000000000006</v>
      </c>
      <c r="S290">
        <v>7.5</v>
      </c>
      <c r="T290">
        <v>2025</v>
      </c>
      <c r="U290">
        <v>11</v>
      </c>
      <c r="V290">
        <v>1</v>
      </c>
      <c r="W290" t="s">
        <v>47</v>
      </c>
      <c r="X290" t="s">
        <v>64</v>
      </c>
      <c r="Y290" t="s">
        <v>48</v>
      </c>
    </row>
    <row r="291" spans="1:25" x14ac:dyDescent="0.35">
      <c r="A291" t="s">
        <v>709</v>
      </c>
      <c r="B291" t="s">
        <v>153</v>
      </c>
      <c r="C291" t="s">
        <v>154</v>
      </c>
      <c r="D291" t="s">
        <v>28</v>
      </c>
      <c r="E291">
        <v>6</v>
      </c>
      <c r="F291" t="s">
        <v>29</v>
      </c>
      <c r="G291">
        <v>131000</v>
      </c>
      <c r="H291">
        <v>95000</v>
      </c>
      <c r="I291">
        <v>180000</v>
      </c>
      <c r="J291" t="s">
        <v>102</v>
      </c>
      <c r="K291" t="s">
        <v>103</v>
      </c>
      <c r="L291" t="s">
        <v>44</v>
      </c>
      <c r="M291" t="s">
        <v>61</v>
      </c>
      <c r="N291" t="s">
        <v>131</v>
      </c>
      <c r="O291" t="s">
        <v>710</v>
      </c>
      <c r="P291">
        <v>13.5</v>
      </c>
      <c r="Q291">
        <v>78</v>
      </c>
      <c r="R291">
        <v>16</v>
      </c>
      <c r="S291">
        <v>9.5</v>
      </c>
      <c r="T291">
        <v>2025</v>
      </c>
      <c r="U291">
        <v>2</v>
      </c>
      <c r="V291">
        <v>1</v>
      </c>
      <c r="W291" t="s">
        <v>47</v>
      </c>
      <c r="X291" t="s">
        <v>64</v>
      </c>
      <c r="Y291" t="s">
        <v>95</v>
      </c>
    </row>
    <row r="292" spans="1:25" x14ac:dyDescent="0.35">
      <c r="A292" t="s">
        <v>711</v>
      </c>
      <c r="B292" t="s">
        <v>26</v>
      </c>
      <c r="C292" t="s">
        <v>27</v>
      </c>
      <c r="D292" t="s">
        <v>81</v>
      </c>
      <c r="E292">
        <v>2</v>
      </c>
      <c r="F292" t="s">
        <v>41</v>
      </c>
      <c r="G292">
        <v>155000</v>
      </c>
      <c r="H292">
        <v>155000</v>
      </c>
      <c r="I292">
        <v>290000</v>
      </c>
      <c r="J292" t="s">
        <v>108</v>
      </c>
      <c r="K292" t="s">
        <v>109</v>
      </c>
      <c r="L292" t="s">
        <v>53</v>
      </c>
      <c r="M292" t="s">
        <v>45</v>
      </c>
      <c r="N292" t="s">
        <v>124</v>
      </c>
      <c r="O292" t="s">
        <v>712</v>
      </c>
      <c r="P292">
        <v>15.7</v>
      </c>
      <c r="Q292">
        <v>96</v>
      </c>
      <c r="R292">
        <v>65.5</v>
      </c>
      <c r="S292">
        <v>6.8</v>
      </c>
      <c r="T292">
        <v>2026</v>
      </c>
      <c r="U292">
        <v>3</v>
      </c>
      <c r="V292">
        <v>0</v>
      </c>
      <c r="W292" t="s">
        <v>47</v>
      </c>
      <c r="X292" t="s">
        <v>37</v>
      </c>
      <c r="Y292" t="s">
        <v>48</v>
      </c>
    </row>
    <row r="293" spans="1:25" x14ac:dyDescent="0.35">
      <c r="A293" t="s">
        <v>713</v>
      </c>
      <c r="B293" t="s">
        <v>100</v>
      </c>
      <c r="C293" t="s">
        <v>101</v>
      </c>
      <c r="D293" t="s">
        <v>81</v>
      </c>
      <c r="E293">
        <v>15</v>
      </c>
      <c r="F293" t="s">
        <v>51</v>
      </c>
      <c r="G293">
        <v>180000</v>
      </c>
      <c r="H293">
        <v>180000</v>
      </c>
      <c r="I293">
        <v>320000</v>
      </c>
      <c r="J293" t="s">
        <v>122</v>
      </c>
      <c r="K293" t="s">
        <v>123</v>
      </c>
      <c r="L293" t="s">
        <v>44</v>
      </c>
      <c r="M293" t="s">
        <v>61</v>
      </c>
      <c r="N293" t="s">
        <v>62</v>
      </c>
      <c r="O293" t="s">
        <v>714</v>
      </c>
      <c r="P293">
        <v>9.9</v>
      </c>
      <c r="Q293">
        <v>84</v>
      </c>
      <c r="R293">
        <v>29.7</v>
      </c>
      <c r="S293">
        <v>9.6999999999999993</v>
      </c>
      <c r="T293">
        <v>2026</v>
      </c>
      <c r="U293">
        <v>3</v>
      </c>
      <c r="V293">
        <v>0</v>
      </c>
      <c r="W293" t="s">
        <v>47</v>
      </c>
      <c r="X293" t="s">
        <v>64</v>
      </c>
      <c r="Y293" t="s">
        <v>48</v>
      </c>
    </row>
    <row r="294" spans="1:25" x14ac:dyDescent="0.35">
      <c r="A294" t="s">
        <v>715</v>
      </c>
      <c r="B294" t="s">
        <v>79</v>
      </c>
      <c r="C294" t="s">
        <v>80</v>
      </c>
      <c r="D294" t="s">
        <v>81</v>
      </c>
      <c r="E294">
        <v>4</v>
      </c>
      <c r="F294" t="s">
        <v>128</v>
      </c>
      <c r="G294">
        <v>168000</v>
      </c>
      <c r="H294">
        <v>140000</v>
      </c>
      <c r="I294">
        <v>260000</v>
      </c>
      <c r="J294" t="s">
        <v>42</v>
      </c>
      <c r="K294" t="s">
        <v>43</v>
      </c>
      <c r="L294" t="s">
        <v>44</v>
      </c>
      <c r="M294" t="s">
        <v>45</v>
      </c>
      <c r="N294" t="s">
        <v>62</v>
      </c>
      <c r="O294" t="s">
        <v>716</v>
      </c>
      <c r="P294">
        <v>10.9</v>
      </c>
      <c r="Q294">
        <v>80</v>
      </c>
      <c r="R294">
        <v>15.9</v>
      </c>
      <c r="S294">
        <v>7.3</v>
      </c>
      <c r="T294">
        <v>2026</v>
      </c>
      <c r="U294">
        <v>2</v>
      </c>
      <c r="V294">
        <v>0</v>
      </c>
      <c r="W294" t="s">
        <v>47</v>
      </c>
      <c r="X294" t="s">
        <v>64</v>
      </c>
      <c r="Y294" t="s">
        <v>48</v>
      </c>
    </row>
    <row r="295" spans="1:25" x14ac:dyDescent="0.35">
      <c r="A295" t="s">
        <v>717</v>
      </c>
      <c r="B295" t="s">
        <v>127</v>
      </c>
      <c r="C295" t="s">
        <v>27</v>
      </c>
      <c r="D295" t="s">
        <v>81</v>
      </c>
      <c r="E295">
        <v>10</v>
      </c>
      <c r="F295" t="s">
        <v>29</v>
      </c>
      <c r="G295">
        <v>189000</v>
      </c>
      <c r="H295">
        <v>120000</v>
      </c>
      <c r="I295">
        <v>280000</v>
      </c>
      <c r="J295" t="s">
        <v>30</v>
      </c>
      <c r="K295" t="s">
        <v>31</v>
      </c>
      <c r="L295" t="s">
        <v>53</v>
      </c>
      <c r="M295" t="s">
        <v>33</v>
      </c>
      <c r="N295" t="s">
        <v>71</v>
      </c>
      <c r="O295" t="s">
        <v>718</v>
      </c>
      <c r="P295">
        <v>17</v>
      </c>
      <c r="Q295">
        <v>97</v>
      </c>
      <c r="R295">
        <v>31.8</v>
      </c>
      <c r="S295">
        <v>6.4</v>
      </c>
      <c r="T295">
        <v>2025</v>
      </c>
      <c r="U295">
        <v>4</v>
      </c>
      <c r="V295">
        <v>0</v>
      </c>
      <c r="W295" t="s">
        <v>47</v>
      </c>
      <c r="X295" t="s">
        <v>64</v>
      </c>
      <c r="Y295" t="s">
        <v>48</v>
      </c>
    </row>
    <row r="296" spans="1:25" x14ac:dyDescent="0.35">
      <c r="A296" t="s">
        <v>719</v>
      </c>
      <c r="B296" t="s">
        <v>134</v>
      </c>
      <c r="C296" t="s">
        <v>27</v>
      </c>
      <c r="D296" t="s">
        <v>68</v>
      </c>
      <c r="E296">
        <v>6</v>
      </c>
      <c r="F296" t="s">
        <v>29</v>
      </c>
      <c r="G296">
        <v>226000</v>
      </c>
      <c r="H296">
        <v>150000</v>
      </c>
      <c r="I296">
        <v>295000</v>
      </c>
      <c r="J296" t="s">
        <v>122</v>
      </c>
      <c r="K296" t="s">
        <v>123</v>
      </c>
      <c r="L296" t="s">
        <v>53</v>
      </c>
      <c r="M296" t="s">
        <v>61</v>
      </c>
      <c r="N296" t="s">
        <v>88</v>
      </c>
      <c r="O296" t="s">
        <v>720</v>
      </c>
      <c r="P296">
        <v>14.3</v>
      </c>
      <c r="Q296">
        <v>95</v>
      </c>
      <c r="R296">
        <v>86.2</v>
      </c>
      <c r="S296">
        <v>6.8</v>
      </c>
      <c r="T296">
        <v>2025</v>
      </c>
      <c r="U296">
        <v>12</v>
      </c>
      <c r="V296">
        <v>1</v>
      </c>
      <c r="W296" t="s">
        <v>47</v>
      </c>
      <c r="X296" t="s">
        <v>37</v>
      </c>
      <c r="Y296" t="s">
        <v>38</v>
      </c>
    </row>
    <row r="297" spans="1:25" x14ac:dyDescent="0.35">
      <c r="A297" t="s">
        <v>721</v>
      </c>
      <c r="B297" t="s">
        <v>153</v>
      </c>
      <c r="C297" t="s">
        <v>154</v>
      </c>
      <c r="D297" t="s">
        <v>81</v>
      </c>
      <c r="E297">
        <v>5</v>
      </c>
      <c r="F297" t="s">
        <v>41</v>
      </c>
      <c r="G297">
        <v>158000</v>
      </c>
      <c r="H297">
        <v>95000</v>
      </c>
      <c r="I297">
        <v>180000</v>
      </c>
      <c r="J297" t="s">
        <v>296</v>
      </c>
      <c r="K297" t="s">
        <v>31</v>
      </c>
      <c r="L297" t="s">
        <v>44</v>
      </c>
      <c r="M297" t="s">
        <v>82</v>
      </c>
      <c r="N297" t="s">
        <v>34</v>
      </c>
      <c r="O297" t="s">
        <v>722</v>
      </c>
      <c r="P297">
        <v>13.2</v>
      </c>
      <c r="Q297">
        <v>78</v>
      </c>
      <c r="R297">
        <v>26.6</v>
      </c>
      <c r="S297">
        <v>6.8</v>
      </c>
      <c r="T297">
        <v>2026</v>
      </c>
      <c r="U297">
        <v>2</v>
      </c>
      <c r="V297">
        <v>0</v>
      </c>
      <c r="W297" t="s">
        <v>47</v>
      </c>
      <c r="X297" t="s">
        <v>64</v>
      </c>
      <c r="Y297" t="s">
        <v>48</v>
      </c>
    </row>
    <row r="298" spans="1:25" x14ac:dyDescent="0.35">
      <c r="A298" t="s">
        <v>723</v>
      </c>
      <c r="B298" t="s">
        <v>224</v>
      </c>
      <c r="C298" t="s">
        <v>27</v>
      </c>
      <c r="D298" t="s">
        <v>81</v>
      </c>
      <c r="E298">
        <v>6</v>
      </c>
      <c r="F298" t="s">
        <v>29</v>
      </c>
      <c r="G298">
        <v>270000</v>
      </c>
      <c r="H298">
        <v>145000</v>
      </c>
      <c r="I298">
        <v>280000</v>
      </c>
      <c r="J298" t="s">
        <v>174</v>
      </c>
      <c r="K298" t="s">
        <v>31</v>
      </c>
      <c r="L298" t="s">
        <v>53</v>
      </c>
      <c r="M298" t="s">
        <v>45</v>
      </c>
      <c r="N298" t="s">
        <v>124</v>
      </c>
      <c r="O298" t="s">
        <v>724</v>
      </c>
      <c r="P298">
        <v>3.2</v>
      </c>
      <c r="Q298">
        <v>87</v>
      </c>
      <c r="R298">
        <v>18.3</v>
      </c>
      <c r="S298">
        <v>7.8</v>
      </c>
      <c r="T298">
        <v>2026</v>
      </c>
      <c r="U298">
        <v>1</v>
      </c>
      <c r="V298">
        <v>0</v>
      </c>
      <c r="W298" t="s">
        <v>47</v>
      </c>
      <c r="X298" t="s">
        <v>64</v>
      </c>
      <c r="Y298" t="s">
        <v>38</v>
      </c>
    </row>
    <row r="299" spans="1:25" x14ac:dyDescent="0.35">
      <c r="A299" t="s">
        <v>725</v>
      </c>
      <c r="B299" t="s">
        <v>100</v>
      </c>
      <c r="C299" t="s">
        <v>101</v>
      </c>
      <c r="D299" t="s">
        <v>74</v>
      </c>
      <c r="E299">
        <v>12</v>
      </c>
      <c r="F299" t="s">
        <v>51</v>
      </c>
      <c r="G299">
        <v>180000</v>
      </c>
      <c r="H299">
        <v>180000</v>
      </c>
      <c r="I299">
        <v>320000</v>
      </c>
      <c r="J299" t="s">
        <v>47</v>
      </c>
      <c r="K299" t="s">
        <v>87</v>
      </c>
      <c r="L299" t="s">
        <v>44</v>
      </c>
      <c r="M299" t="s">
        <v>61</v>
      </c>
      <c r="N299" t="s">
        <v>119</v>
      </c>
      <c r="O299" t="s">
        <v>726</v>
      </c>
      <c r="P299">
        <v>15</v>
      </c>
      <c r="Q299">
        <v>84</v>
      </c>
      <c r="R299">
        <v>26.4</v>
      </c>
      <c r="S299">
        <v>8.8000000000000007</v>
      </c>
      <c r="T299">
        <v>2025</v>
      </c>
      <c r="U299">
        <v>8</v>
      </c>
      <c r="V299">
        <v>0</v>
      </c>
      <c r="W299" t="s">
        <v>47</v>
      </c>
      <c r="X299" t="s">
        <v>64</v>
      </c>
      <c r="Y299" t="s">
        <v>48</v>
      </c>
    </row>
    <row r="300" spans="1:25" x14ac:dyDescent="0.35">
      <c r="A300" t="s">
        <v>727</v>
      </c>
      <c r="B300" t="s">
        <v>100</v>
      </c>
      <c r="C300" t="s">
        <v>101</v>
      </c>
      <c r="D300" t="s">
        <v>81</v>
      </c>
      <c r="E300">
        <v>6</v>
      </c>
      <c r="F300" t="s">
        <v>128</v>
      </c>
      <c r="G300">
        <v>310000</v>
      </c>
      <c r="H300">
        <v>180000</v>
      </c>
      <c r="I300">
        <v>320000</v>
      </c>
      <c r="J300" t="s">
        <v>191</v>
      </c>
      <c r="K300" t="s">
        <v>31</v>
      </c>
      <c r="L300" t="s">
        <v>53</v>
      </c>
      <c r="M300" t="s">
        <v>45</v>
      </c>
      <c r="N300" t="s">
        <v>124</v>
      </c>
      <c r="O300" t="s">
        <v>728</v>
      </c>
      <c r="P300">
        <v>13.4</v>
      </c>
      <c r="Q300">
        <v>84</v>
      </c>
      <c r="R300">
        <v>24.9</v>
      </c>
      <c r="S300">
        <v>9</v>
      </c>
      <c r="T300">
        <v>2025</v>
      </c>
      <c r="U300">
        <v>6</v>
      </c>
      <c r="V300">
        <v>0</v>
      </c>
      <c r="W300" t="s">
        <v>47</v>
      </c>
      <c r="X300" t="s">
        <v>64</v>
      </c>
      <c r="Y300" t="s">
        <v>56</v>
      </c>
    </row>
    <row r="301" spans="1:25" x14ac:dyDescent="0.35">
      <c r="A301" t="s">
        <v>729</v>
      </c>
      <c r="B301" t="s">
        <v>134</v>
      </c>
      <c r="C301" t="s">
        <v>27</v>
      </c>
      <c r="D301" t="s">
        <v>28</v>
      </c>
      <c r="E301">
        <v>4</v>
      </c>
      <c r="F301" t="s">
        <v>41</v>
      </c>
      <c r="G301">
        <v>354000</v>
      </c>
      <c r="H301">
        <v>150000</v>
      </c>
      <c r="I301">
        <v>295000</v>
      </c>
      <c r="J301" t="s">
        <v>296</v>
      </c>
      <c r="K301" t="s">
        <v>31</v>
      </c>
      <c r="L301" t="s">
        <v>44</v>
      </c>
      <c r="M301" t="s">
        <v>54</v>
      </c>
      <c r="N301" t="s">
        <v>71</v>
      </c>
      <c r="O301" t="s">
        <v>730</v>
      </c>
      <c r="P301">
        <v>14.5</v>
      </c>
      <c r="Q301">
        <v>95</v>
      </c>
      <c r="R301">
        <v>68.8</v>
      </c>
      <c r="S301">
        <v>8.9</v>
      </c>
      <c r="T301">
        <v>2026</v>
      </c>
      <c r="U301">
        <v>3</v>
      </c>
      <c r="V301">
        <v>1</v>
      </c>
      <c r="W301" t="s">
        <v>47</v>
      </c>
      <c r="X301" t="s">
        <v>37</v>
      </c>
      <c r="Y301" t="s">
        <v>56</v>
      </c>
    </row>
    <row r="302" spans="1:25" x14ac:dyDescent="0.35">
      <c r="A302" t="s">
        <v>731</v>
      </c>
      <c r="B302" t="s">
        <v>141</v>
      </c>
      <c r="C302" t="s">
        <v>27</v>
      </c>
      <c r="D302" t="s">
        <v>28</v>
      </c>
      <c r="E302">
        <v>9</v>
      </c>
      <c r="F302" t="s">
        <v>128</v>
      </c>
      <c r="G302">
        <v>229000</v>
      </c>
      <c r="H302">
        <v>141000</v>
      </c>
      <c r="I302">
        <v>270000</v>
      </c>
      <c r="J302" t="s">
        <v>42</v>
      </c>
      <c r="K302" t="s">
        <v>43</v>
      </c>
      <c r="L302" t="s">
        <v>44</v>
      </c>
      <c r="M302" t="s">
        <v>82</v>
      </c>
      <c r="N302" t="s">
        <v>34</v>
      </c>
      <c r="O302" t="s">
        <v>732</v>
      </c>
      <c r="P302">
        <v>6.7</v>
      </c>
      <c r="Q302">
        <v>89</v>
      </c>
      <c r="R302">
        <v>25.6</v>
      </c>
      <c r="S302">
        <v>9.4</v>
      </c>
      <c r="T302">
        <v>2026</v>
      </c>
      <c r="U302">
        <v>2</v>
      </c>
      <c r="V302">
        <v>1</v>
      </c>
      <c r="W302" t="s">
        <v>47</v>
      </c>
      <c r="X302" t="s">
        <v>64</v>
      </c>
      <c r="Y302" t="s">
        <v>38</v>
      </c>
    </row>
    <row r="303" spans="1:25" x14ac:dyDescent="0.35">
      <c r="A303" t="s">
        <v>733</v>
      </c>
      <c r="B303" t="s">
        <v>146</v>
      </c>
      <c r="C303" t="s">
        <v>27</v>
      </c>
      <c r="D303" t="s">
        <v>68</v>
      </c>
      <c r="E303">
        <v>4</v>
      </c>
      <c r="F303" t="s">
        <v>41</v>
      </c>
      <c r="G303">
        <v>304000</v>
      </c>
      <c r="H303">
        <v>160000</v>
      </c>
      <c r="I303">
        <v>300000</v>
      </c>
      <c r="J303" t="s">
        <v>52</v>
      </c>
      <c r="K303" t="s">
        <v>31</v>
      </c>
      <c r="L303" t="s">
        <v>32</v>
      </c>
      <c r="M303" t="s">
        <v>61</v>
      </c>
      <c r="N303" t="s">
        <v>88</v>
      </c>
      <c r="O303" t="s">
        <v>734</v>
      </c>
      <c r="P303">
        <v>10</v>
      </c>
      <c r="Q303">
        <v>90</v>
      </c>
      <c r="R303">
        <v>28.8</v>
      </c>
      <c r="S303">
        <v>6.1</v>
      </c>
      <c r="T303">
        <v>2026</v>
      </c>
      <c r="U303">
        <v>3</v>
      </c>
      <c r="V303">
        <v>1</v>
      </c>
      <c r="W303" t="s">
        <v>36</v>
      </c>
      <c r="X303" t="s">
        <v>64</v>
      </c>
      <c r="Y303" t="s">
        <v>56</v>
      </c>
    </row>
    <row r="304" spans="1:25" x14ac:dyDescent="0.35">
      <c r="A304" t="s">
        <v>735</v>
      </c>
      <c r="B304" t="s">
        <v>163</v>
      </c>
      <c r="C304" t="s">
        <v>164</v>
      </c>
      <c r="D304" t="s">
        <v>28</v>
      </c>
      <c r="E304">
        <v>3</v>
      </c>
      <c r="F304" t="s">
        <v>69</v>
      </c>
      <c r="G304">
        <v>211000</v>
      </c>
      <c r="H304">
        <v>125000</v>
      </c>
      <c r="I304">
        <v>240000</v>
      </c>
      <c r="J304" t="s">
        <v>191</v>
      </c>
      <c r="K304" t="s">
        <v>31</v>
      </c>
      <c r="L304" t="s">
        <v>44</v>
      </c>
      <c r="M304" t="s">
        <v>45</v>
      </c>
      <c r="N304" t="s">
        <v>119</v>
      </c>
      <c r="O304" t="s">
        <v>736</v>
      </c>
      <c r="P304">
        <v>11.3</v>
      </c>
      <c r="Q304">
        <v>76</v>
      </c>
      <c r="R304">
        <v>19.8</v>
      </c>
      <c r="S304">
        <v>8.6</v>
      </c>
      <c r="T304">
        <v>2026</v>
      </c>
      <c r="U304">
        <v>2</v>
      </c>
      <c r="V304">
        <v>1</v>
      </c>
      <c r="W304" t="s">
        <v>47</v>
      </c>
      <c r="X304" t="s">
        <v>64</v>
      </c>
      <c r="Y304" t="s">
        <v>38</v>
      </c>
    </row>
    <row r="305" spans="1:25" x14ac:dyDescent="0.35">
      <c r="A305" t="s">
        <v>737</v>
      </c>
      <c r="B305" t="s">
        <v>100</v>
      </c>
      <c r="C305" t="s">
        <v>101</v>
      </c>
      <c r="D305" t="s">
        <v>81</v>
      </c>
      <c r="E305">
        <v>10</v>
      </c>
      <c r="F305" t="s">
        <v>128</v>
      </c>
      <c r="G305">
        <v>259000</v>
      </c>
      <c r="H305">
        <v>180000</v>
      </c>
      <c r="I305">
        <v>320000</v>
      </c>
      <c r="J305" t="s">
        <v>129</v>
      </c>
      <c r="K305" t="s">
        <v>130</v>
      </c>
      <c r="L305" t="s">
        <v>44</v>
      </c>
      <c r="M305" t="s">
        <v>54</v>
      </c>
      <c r="N305" t="s">
        <v>110</v>
      </c>
      <c r="O305" t="s">
        <v>738</v>
      </c>
      <c r="P305">
        <v>9.6999999999999993</v>
      </c>
      <c r="Q305">
        <v>84</v>
      </c>
      <c r="R305">
        <v>28.1</v>
      </c>
      <c r="S305">
        <v>8.6999999999999993</v>
      </c>
      <c r="T305">
        <v>2025</v>
      </c>
      <c r="U305">
        <v>3</v>
      </c>
      <c r="V305">
        <v>0</v>
      </c>
      <c r="W305" t="s">
        <v>47</v>
      </c>
      <c r="X305" t="s">
        <v>64</v>
      </c>
      <c r="Y305" t="s">
        <v>38</v>
      </c>
    </row>
    <row r="306" spans="1:25" x14ac:dyDescent="0.35">
      <c r="A306" t="s">
        <v>739</v>
      </c>
      <c r="B306" t="s">
        <v>185</v>
      </c>
      <c r="C306" t="s">
        <v>186</v>
      </c>
      <c r="D306" t="s">
        <v>81</v>
      </c>
      <c r="E306">
        <v>5</v>
      </c>
      <c r="F306" t="s">
        <v>41</v>
      </c>
      <c r="G306">
        <v>151000</v>
      </c>
      <c r="H306">
        <v>140000</v>
      </c>
      <c r="I306">
        <v>270000</v>
      </c>
      <c r="J306" t="s">
        <v>191</v>
      </c>
      <c r="K306" t="s">
        <v>31</v>
      </c>
      <c r="L306" t="s">
        <v>32</v>
      </c>
      <c r="M306" t="s">
        <v>61</v>
      </c>
      <c r="N306" t="s">
        <v>124</v>
      </c>
      <c r="O306" t="s">
        <v>740</v>
      </c>
      <c r="P306">
        <v>11.2</v>
      </c>
      <c r="Q306">
        <v>85</v>
      </c>
      <c r="R306">
        <v>13.6</v>
      </c>
      <c r="S306">
        <v>7.4</v>
      </c>
      <c r="T306">
        <v>2026</v>
      </c>
      <c r="U306">
        <v>1</v>
      </c>
      <c r="V306">
        <v>0</v>
      </c>
      <c r="W306" t="s">
        <v>36</v>
      </c>
      <c r="X306" t="s">
        <v>64</v>
      </c>
      <c r="Y306" t="s">
        <v>48</v>
      </c>
    </row>
    <row r="307" spans="1:25" x14ac:dyDescent="0.35">
      <c r="A307" t="s">
        <v>741</v>
      </c>
      <c r="B307" t="s">
        <v>163</v>
      </c>
      <c r="C307" t="s">
        <v>164</v>
      </c>
      <c r="D307" t="s">
        <v>74</v>
      </c>
      <c r="E307">
        <v>5</v>
      </c>
      <c r="F307" t="s">
        <v>69</v>
      </c>
      <c r="G307">
        <v>125000</v>
      </c>
      <c r="H307">
        <v>125000</v>
      </c>
      <c r="I307">
        <v>240000</v>
      </c>
      <c r="J307" t="s">
        <v>129</v>
      </c>
      <c r="K307" t="s">
        <v>130</v>
      </c>
      <c r="L307" t="s">
        <v>53</v>
      </c>
      <c r="M307" t="s">
        <v>33</v>
      </c>
      <c r="N307" t="s">
        <v>165</v>
      </c>
      <c r="O307" t="s">
        <v>742</v>
      </c>
      <c r="P307">
        <v>17.2</v>
      </c>
      <c r="Q307">
        <v>76</v>
      </c>
      <c r="R307">
        <v>13.5</v>
      </c>
      <c r="S307">
        <v>6.4</v>
      </c>
      <c r="T307">
        <v>2026</v>
      </c>
      <c r="U307">
        <v>1</v>
      </c>
      <c r="V307">
        <v>0</v>
      </c>
      <c r="W307" t="s">
        <v>47</v>
      </c>
      <c r="X307" t="s">
        <v>64</v>
      </c>
      <c r="Y307" t="s">
        <v>95</v>
      </c>
    </row>
    <row r="308" spans="1:25" x14ac:dyDescent="0.35">
      <c r="A308" t="s">
        <v>743</v>
      </c>
      <c r="B308" t="s">
        <v>168</v>
      </c>
      <c r="C308" t="s">
        <v>169</v>
      </c>
      <c r="D308" t="s">
        <v>28</v>
      </c>
      <c r="E308">
        <v>8</v>
      </c>
      <c r="F308" t="s">
        <v>41</v>
      </c>
      <c r="G308">
        <v>157000</v>
      </c>
      <c r="H308">
        <v>157000</v>
      </c>
      <c r="I308">
        <v>218000</v>
      </c>
      <c r="J308" t="s">
        <v>102</v>
      </c>
      <c r="K308" t="s">
        <v>103</v>
      </c>
      <c r="L308" t="s">
        <v>44</v>
      </c>
      <c r="M308" t="s">
        <v>33</v>
      </c>
      <c r="N308" t="s">
        <v>34</v>
      </c>
      <c r="O308" t="s">
        <v>744</v>
      </c>
      <c r="P308">
        <v>6.1</v>
      </c>
      <c r="Q308">
        <v>90</v>
      </c>
      <c r="R308">
        <v>21.8</v>
      </c>
      <c r="S308">
        <v>6.3</v>
      </c>
      <c r="T308">
        <v>2026</v>
      </c>
      <c r="U308">
        <v>1</v>
      </c>
      <c r="V308">
        <v>1</v>
      </c>
      <c r="W308" t="s">
        <v>47</v>
      </c>
      <c r="X308" t="s">
        <v>64</v>
      </c>
      <c r="Y308" t="s">
        <v>48</v>
      </c>
    </row>
    <row r="309" spans="1:25" x14ac:dyDescent="0.35">
      <c r="A309" t="s">
        <v>745</v>
      </c>
      <c r="B309" t="s">
        <v>179</v>
      </c>
      <c r="C309" t="s">
        <v>180</v>
      </c>
      <c r="D309" t="s">
        <v>74</v>
      </c>
      <c r="E309">
        <v>10</v>
      </c>
      <c r="F309" t="s">
        <v>128</v>
      </c>
      <c r="G309">
        <v>138000</v>
      </c>
      <c r="H309">
        <v>110000</v>
      </c>
      <c r="I309">
        <v>210000</v>
      </c>
      <c r="J309" t="s">
        <v>113</v>
      </c>
      <c r="K309" t="s">
        <v>114</v>
      </c>
      <c r="L309" t="s">
        <v>53</v>
      </c>
      <c r="M309" t="s">
        <v>54</v>
      </c>
      <c r="N309" t="s">
        <v>88</v>
      </c>
      <c r="O309" t="s">
        <v>746</v>
      </c>
      <c r="P309">
        <v>8.9</v>
      </c>
      <c r="Q309">
        <v>72</v>
      </c>
      <c r="R309">
        <v>23.2</v>
      </c>
      <c r="S309">
        <v>7.7</v>
      </c>
      <c r="T309">
        <v>2026</v>
      </c>
      <c r="U309">
        <v>2</v>
      </c>
      <c r="V309">
        <v>0</v>
      </c>
      <c r="W309" t="s">
        <v>47</v>
      </c>
      <c r="X309" t="s">
        <v>64</v>
      </c>
      <c r="Y309" t="s">
        <v>95</v>
      </c>
    </row>
    <row r="310" spans="1:25" x14ac:dyDescent="0.35">
      <c r="A310" t="s">
        <v>747</v>
      </c>
      <c r="B310" t="s">
        <v>149</v>
      </c>
      <c r="C310" t="s">
        <v>150</v>
      </c>
      <c r="D310" t="s">
        <v>68</v>
      </c>
      <c r="E310">
        <v>7</v>
      </c>
      <c r="F310" t="s">
        <v>29</v>
      </c>
      <c r="G310">
        <v>312000</v>
      </c>
      <c r="H310">
        <v>130000</v>
      </c>
      <c r="I310">
        <v>260000</v>
      </c>
      <c r="J310" t="s">
        <v>75</v>
      </c>
      <c r="K310" t="s">
        <v>31</v>
      </c>
      <c r="L310" t="s">
        <v>53</v>
      </c>
      <c r="M310" t="s">
        <v>45</v>
      </c>
      <c r="N310" t="s">
        <v>34</v>
      </c>
      <c r="O310" t="s">
        <v>748</v>
      </c>
      <c r="P310">
        <v>13.9</v>
      </c>
      <c r="Q310">
        <v>93</v>
      </c>
      <c r="R310">
        <v>42.4</v>
      </c>
      <c r="S310">
        <v>6</v>
      </c>
      <c r="T310">
        <v>2026</v>
      </c>
      <c r="U310">
        <v>2</v>
      </c>
      <c r="V310">
        <v>1</v>
      </c>
      <c r="W310" t="s">
        <v>47</v>
      </c>
      <c r="X310" t="s">
        <v>64</v>
      </c>
      <c r="Y310" t="s">
        <v>56</v>
      </c>
    </row>
    <row r="311" spans="1:25" x14ac:dyDescent="0.35">
      <c r="A311" t="s">
        <v>749</v>
      </c>
      <c r="B311" t="s">
        <v>40</v>
      </c>
      <c r="C311" t="s">
        <v>27</v>
      </c>
      <c r="D311" t="s">
        <v>68</v>
      </c>
      <c r="E311">
        <v>2</v>
      </c>
      <c r="F311" t="s">
        <v>51</v>
      </c>
      <c r="G311">
        <v>240000</v>
      </c>
      <c r="H311">
        <v>90000</v>
      </c>
      <c r="I311">
        <v>200000</v>
      </c>
      <c r="J311" t="s">
        <v>75</v>
      </c>
      <c r="K311" t="s">
        <v>31</v>
      </c>
      <c r="L311" t="s">
        <v>44</v>
      </c>
      <c r="M311" t="s">
        <v>54</v>
      </c>
      <c r="N311" t="s">
        <v>165</v>
      </c>
      <c r="O311" t="s">
        <v>750</v>
      </c>
      <c r="P311">
        <v>6.9</v>
      </c>
      <c r="Q311">
        <v>82</v>
      </c>
      <c r="R311">
        <v>16.600000000000001</v>
      </c>
      <c r="S311">
        <v>6.1</v>
      </c>
      <c r="T311">
        <v>2025</v>
      </c>
      <c r="U311">
        <v>5</v>
      </c>
      <c r="V311">
        <v>1</v>
      </c>
      <c r="W311" t="s">
        <v>47</v>
      </c>
      <c r="X311" t="s">
        <v>37</v>
      </c>
      <c r="Y311" t="s">
        <v>38</v>
      </c>
    </row>
    <row r="312" spans="1:25" x14ac:dyDescent="0.35">
      <c r="A312" t="s">
        <v>751</v>
      </c>
      <c r="B312" t="s">
        <v>149</v>
      </c>
      <c r="C312" t="s">
        <v>150</v>
      </c>
      <c r="D312" t="s">
        <v>28</v>
      </c>
      <c r="E312">
        <v>8</v>
      </c>
      <c r="F312" t="s">
        <v>69</v>
      </c>
      <c r="G312">
        <v>161000</v>
      </c>
      <c r="H312">
        <v>130000</v>
      </c>
      <c r="I312">
        <v>260000</v>
      </c>
      <c r="J312" t="s">
        <v>47</v>
      </c>
      <c r="K312" t="s">
        <v>87</v>
      </c>
      <c r="L312" t="s">
        <v>44</v>
      </c>
      <c r="M312" t="s">
        <v>33</v>
      </c>
      <c r="N312" t="s">
        <v>124</v>
      </c>
      <c r="O312" t="s">
        <v>752</v>
      </c>
      <c r="P312">
        <v>12.8</v>
      </c>
      <c r="Q312">
        <v>93</v>
      </c>
      <c r="R312">
        <v>46.8</v>
      </c>
      <c r="S312">
        <v>7</v>
      </c>
      <c r="T312">
        <v>2026</v>
      </c>
      <c r="U312">
        <v>3</v>
      </c>
      <c r="V312">
        <v>1</v>
      </c>
      <c r="W312" t="s">
        <v>47</v>
      </c>
      <c r="X312" t="s">
        <v>64</v>
      </c>
      <c r="Y312" t="s">
        <v>48</v>
      </c>
    </row>
    <row r="313" spans="1:25" x14ac:dyDescent="0.35">
      <c r="A313" t="s">
        <v>753</v>
      </c>
      <c r="B313" t="s">
        <v>203</v>
      </c>
      <c r="C313" t="s">
        <v>169</v>
      </c>
      <c r="D313" t="s">
        <v>74</v>
      </c>
      <c r="E313">
        <v>2</v>
      </c>
      <c r="F313" t="s">
        <v>128</v>
      </c>
      <c r="G313">
        <v>149000</v>
      </c>
      <c r="H313">
        <v>138000</v>
      </c>
      <c r="I313">
        <v>195000</v>
      </c>
      <c r="J313" t="s">
        <v>60</v>
      </c>
      <c r="K313" t="s">
        <v>60</v>
      </c>
      <c r="L313" t="s">
        <v>44</v>
      </c>
      <c r="M313" t="s">
        <v>54</v>
      </c>
      <c r="N313" t="s">
        <v>110</v>
      </c>
      <c r="O313" t="s">
        <v>754</v>
      </c>
      <c r="P313">
        <v>7.5</v>
      </c>
      <c r="Q313">
        <v>92</v>
      </c>
      <c r="R313">
        <v>84.7</v>
      </c>
      <c r="S313">
        <v>6.2</v>
      </c>
      <c r="T313">
        <v>2025</v>
      </c>
      <c r="U313">
        <v>11</v>
      </c>
      <c r="V313">
        <v>0</v>
      </c>
      <c r="W313" t="s">
        <v>47</v>
      </c>
      <c r="X313" t="s">
        <v>64</v>
      </c>
      <c r="Y313" t="s">
        <v>95</v>
      </c>
    </row>
    <row r="314" spans="1:25" x14ac:dyDescent="0.35">
      <c r="A314" t="s">
        <v>755</v>
      </c>
      <c r="B314" t="s">
        <v>86</v>
      </c>
      <c r="C314" t="s">
        <v>27</v>
      </c>
      <c r="D314" t="s">
        <v>81</v>
      </c>
      <c r="E314">
        <v>7</v>
      </c>
      <c r="F314" t="s">
        <v>41</v>
      </c>
      <c r="G314">
        <v>183000</v>
      </c>
      <c r="H314">
        <v>180000</v>
      </c>
      <c r="I314">
        <v>312000</v>
      </c>
      <c r="J314" t="s">
        <v>117</v>
      </c>
      <c r="K314" t="s">
        <v>118</v>
      </c>
      <c r="L314" t="s">
        <v>44</v>
      </c>
      <c r="M314" t="s">
        <v>61</v>
      </c>
      <c r="N314" t="s">
        <v>165</v>
      </c>
      <c r="O314" t="s">
        <v>756</v>
      </c>
      <c r="P314">
        <v>9.4</v>
      </c>
      <c r="Q314">
        <v>96</v>
      </c>
      <c r="R314">
        <v>25</v>
      </c>
      <c r="S314">
        <v>7.1</v>
      </c>
      <c r="T314">
        <v>2026</v>
      </c>
      <c r="U314">
        <v>2</v>
      </c>
      <c r="V314">
        <v>0</v>
      </c>
      <c r="W314" t="s">
        <v>47</v>
      </c>
      <c r="X314" t="s">
        <v>64</v>
      </c>
      <c r="Y314" t="s">
        <v>48</v>
      </c>
    </row>
    <row r="315" spans="1:25" x14ac:dyDescent="0.35">
      <c r="A315" t="s">
        <v>757</v>
      </c>
      <c r="B315" t="s">
        <v>66</v>
      </c>
      <c r="C315" t="s">
        <v>67</v>
      </c>
      <c r="D315" t="s">
        <v>81</v>
      </c>
      <c r="E315">
        <v>10</v>
      </c>
      <c r="F315" t="s">
        <v>29</v>
      </c>
      <c r="G315">
        <v>161000</v>
      </c>
      <c r="H315">
        <v>140000</v>
      </c>
      <c r="I315">
        <v>260000</v>
      </c>
      <c r="J315" t="s">
        <v>75</v>
      </c>
      <c r="K315" t="s">
        <v>31</v>
      </c>
      <c r="L315" t="s">
        <v>53</v>
      </c>
      <c r="M315" t="s">
        <v>33</v>
      </c>
      <c r="N315" t="s">
        <v>131</v>
      </c>
      <c r="O315" t="s">
        <v>758</v>
      </c>
      <c r="P315">
        <v>12.8</v>
      </c>
      <c r="Q315">
        <v>85</v>
      </c>
      <c r="R315">
        <v>12.8</v>
      </c>
      <c r="S315">
        <v>7.4</v>
      </c>
      <c r="T315">
        <v>2026</v>
      </c>
      <c r="U315">
        <v>3</v>
      </c>
      <c r="V315">
        <v>0</v>
      </c>
      <c r="W315" t="s">
        <v>47</v>
      </c>
      <c r="X315" t="s">
        <v>64</v>
      </c>
      <c r="Y315" t="s">
        <v>48</v>
      </c>
    </row>
    <row r="316" spans="1:25" x14ac:dyDescent="0.35">
      <c r="A316" t="s">
        <v>759</v>
      </c>
      <c r="B316" t="s">
        <v>79</v>
      </c>
      <c r="C316" t="s">
        <v>80</v>
      </c>
      <c r="D316" t="s">
        <v>28</v>
      </c>
      <c r="E316">
        <v>4</v>
      </c>
      <c r="F316" t="s">
        <v>41</v>
      </c>
      <c r="G316">
        <v>175000</v>
      </c>
      <c r="H316">
        <v>140000</v>
      </c>
      <c r="I316">
        <v>260000</v>
      </c>
      <c r="J316" t="s">
        <v>113</v>
      </c>
      <c r="K316" t="s">
        <v>114</v>
      </c>
      <c r="L316" t="s">
        <v>32</v>
      </c>
      <c r="M316" t="s">
        <v>61</v>
      </c>
      <c r="N316" t="s">
        <v>131</v>
      </c>
      <c r="O316" t="s">
        <v>760</v>
      </c>
      <c r="P316">
        <v>17.8</v>
      </c>
      <c r="Q316">
        <v>80</v>
      </c>
      <c r="R316">
        <v>15.6</v>
      </c>
      <c r="S316">
        <v>8.9</v>
      </c>
      <c r="T316">
        <v>2025</v>
      </c>
      <c r="U316">
        <v>1</v>
      </c>
      <c r="V316">
        <v>1</v>
      </c>
      <c r="W316" t="s">
        <v>36</v>
      </c>
      <c r="X316" t="s">
        <v>64</v>
      </c>
      <c r="Y316" t="s">
        <v>48</v>
      </c>
    </row>
    <row r="317" spans="1:25" x14ac:dyDescent="0.35">
      <c r="A317" t="s">
        <v>761</v>
      </c>
      <c r="B317" t="s">
        <v>233</v>
      </c>
      <c r="C317" t="s">
        <v>180</v>
      </c>
      <c r="D317" t="s">
        <v>74</v>
      </c>
      <c r="E317">
        <v>3</v>
      </c>
      <c r="F317" t="s">
        <v>29</v>
      </c>
      <c r="G317">
        <v>117000</v>
      </c>
      <c r="H317">
        <v>100000</v>
      </c>
      <c r="I317">
        <v>200000</v>
      </c>
      <c r="J317" t="s">
        <v>47</v>
      </c>
      <c r="K317" t="s">
        <v>87</v>
      </c>
      <c r="L317" t="s">
        <v>53</v>
      </c>
      <c r="M317" t="s">
        <v>45</v>
      </c>
      <c r="N317" t="s">
        <v>34</v>
      </c>
      <c r="O317" t="s">
        <v>762</v>
      </c>
      <c r="P317">
        <v>10.1</v>
      </c>
      <c r="Q317">
        <v>68</v>
      </c>
      <c r="R317">
        <v>27.5</v>
      </c>
      <c r="S317">
        <v>6.7</v>
      </c>
      <c r="T317">
        <v>2025</v>
      </c>
      <c r="U317">
        <v>2</v>
      </c>
      <c r="V317">
        <v>0</v>
      </c>
      <c r="W317" t="s">
        <v>47</v>
      </c>
      <c r="X317" t="s">
        <v>64</v>
      </c>
      <c r="Y317" t="s">
        <v>95</v>
      </c>
    </row>
    <row r="318" spans="1:25" x14ac:dyDescent="0.35">
      <c r="A318" t="s">
        <v>763</v>
      </c>
      <c r="B318" t="s">
        <v>168</v>
      </c>
      <c r="C318" t="s">
        <v>169</v>
      </c>
      <c r="D318" t="s">
        <v>28</v>
      </c>
      <c r="E318">
        <v>8</v>
      </c>
      <c r="F318" t="s">
        <v>128</v>
      </c>
      <c r="G318">
        <v>239000</v>
      </c>
      <c r="H318">
        <v>157000</v>
      </c>
      <c r="I318">
        <v>218000</v>
      </c>
      <c r="J318" t="s">
        <v>142</v>
      </c>
      <c r="K318" t="s">
        <v>143</v>
      </c>
      <c r="L318" t="s">
        <v>53</v>
      </c>
      <c r="M318" t="s">
        <v>54</v>
      </c>
      <c r="N318" t="s">
        <v>131</v>
      </c>
      <c r="O318" t="s">
        <v>764</v>
      </c>
      <c r="P318">
        <v>6.8</v>
      </c>
      <c r="Q318">
        <v>90</v>
      </c>
      <c r="R318">
        <v>29.3</v>
      </c>
      <c r="S318">
        <v>6.4</v>
      </c>
      <c r="T318">
        <v>2025</v>
      </c>
      <c r="U318">
        <v>9</v>
      </c>
      <c r="V318">
        <v>1</v>
      </c>
      <c r="W318" t="s">
        <v>47</v>
      </c>
      <c r="X318" t="s">
        <v>64</v>
      </c>
      <c r="Y318" t="s">
        <v>38</v>
      </c>
    </row>
    <row r="319" spans="1:25" x14ac:dyDescent="0.35">
      <c r="A319" t="s">
        <v>765</v>
      </c>
      <c r="B319" t="s">
        <v>185</v>
      </c>
      <c r="C319" t="s">
        <v>186</v>
      </c>
      <c r="D319" t="s">
        <v>81</v>
      </c>
      <c r="E319">
        <v>3</v>
      </c>
      <c r="F319" t="s">
        <v>69</v>
      </c>
      <c r="G319">
        <v>177000</v>
      </c>
      <c r="H319">
        <v>140000</v>
      </c>
      <c r="I319">
        <v>270000</v>
      </c>
      <c r="J319" t="s">
        <v>47</v>
      </c>
      <c r="K319" t="s">
        <v>87</v>
      </c>
      <c r="L319" t="s">
        <v>32</v>
      </c>
      <c r="M319" t="s">
        <v>82</v>
      </c>
      <c r="N319" t="s">
        <v>83</v>
      </c>
      <c r="O319" t="s">
        <v>766</v>
      </c>
      <c r="P319">
        <v>9.1</v>
      </c>
      <c r="Q319">
        <v>85</v>
      </c>
      <c r="R319">
        <v>8.4</v>
      </c>
      <c r="S319">
        <v>8.9</v>
      </c>
      <c r="T319">
        <v>2026</v>
      </c>
      <c r="U319">
        <v>3</v>
      </c>
      <c r="V319">
        <v>0</v>
      </c>
      <c r="W319" t="s">
        <v>36</v>
      </c>
      <c r="X319" t="s">
        <v>64</v>
      </c>
      <c r="Y319" t="s">
        <v>48</v>
      </c>
    </row>
    <row r="320" spans="1:25" x14ac:dyDescent="0.35">
      <c r="A320" t="s">
        <v>767</v>
      </c>
      <c r="B320" t="s">
        <v>134</v>
      </c>
      <c r="C320" t="s">
        <v>27</v>
      </c>
      <c r="D320" t="s">
        <v>28</v>
      </c>
      <c r="E320">
        <v>4</v>
      </c>
      <c r="F320" t="s">
        <v>69</v>
      </c>
      <c r="G320">
        <v>214000</v>
      </c>
      <c r="H320">
        <v>150000</v>
      </c>
      <c r="I320">
        <v>295000</v>
      </c>
      <c r="J320" t="s">
        <v>296</v>
      </c>
      <c r="K320" t="s">
        <v>31</v>
      </c>
      <c r="L320" t="s">
        <v>53</v>
      </c>
      <c r="M320" t="s">
        <v>33</v>
      </c>
      <c r="N320" t="s">
        <v>88</v>
      </c>
      <c r="O320" t="s">
        <v>768</v>
      </c>
      <c r="P320">
        <v>11.7</v>
      </c>
      <c r="Q320">
        <v>95</v>
      </c>
      <c r="R320">
        <v>15.9</v>
      </c>
      <c r="S320">
        <v>8.6</v>
      </c>
      <c r="T320">
        <v>2026</v>
      </c>
      <c r="U320">
        <v>2</v>
      </c>
      <c r="V320">
        <v>1</v>
      </c>
      <c r="W320" t="s">
        <v>47</v>
      </c>
      <c r="X320" t="s">
        <v>37</v>
      </c>
      <c r="Y320" t="s">
        <v>38</v>
      </c>
    </row>
    <row r="321" spans="1:25" x14ac:dyDescent="0.35">
      <c r="A321" t="s">
        <v>769</v>
      </c>
      <c r="B321" t="s">
        <v>100</v>
      </c>
      <c r="C321" t="s">
        <v>101</v>
      </c>
      <c r="D321" t="s">
        <v>74</v>
      </c>
      <c r="E321">
        <v>15</v>
      </c>
      <c r="F321" t="s">
        <v>29</v>
      </c>
      <c r="G321">
        <v>180000</v>
      </c>
      <c r="H321">
        <v>180000</v>
      </c>
      <c r="I321">
        <v>320000</v>
      </c>
      <c r="J321" t="s">
        <v>117</v>
      </c>
      <c r="K321" t="s">
        <v>118</v>
      </c>
      <c r="L321" t="s">
        <v>44</v>
      </c>
      <c r="M321" t="s">
        <v>33</v>
      </c>
      <c r="N321" t="s">
        <v>71</v>
      </c>
      <c r="O321" t="s">
        <v>770</v>
      </c>
      <c r="P321">
        <v>17.899999999999999</v>
      </c>
      <c r="Q321">
        <v>84</v>
      </c>
      <c r="R321">
        <v>8.1</v>
      </c>
      <c r="S321">
        <v>9.1999999999999993</v>
      </c>
      <c r="T321">
        <v>2026</v>
      </c>
      <c r="U321">
        <v>2</v>
      </c>
      <c r="V321">
        <v>0</v>
      </c>
      <c r="W321" t="s">
        <v>47</v>
      </c>
      <c r="X321" t="s">
        <v>64</v>
      </c>
      <c r="Y321" t="s">
        <v>48</v>
      </c>
    </row>
    <row r="322" spans="1:25" x14ac:dyDescent="0.35">
      <c r="A322" t="s">
        <v>771</v>
      </c>
      <c r="B322" t="s">
        <v>233</v>
      </c>
      <c r="C322" t="s">
        <v>180</v>
      </c>
      <c r="D322" t="s">
        <v>28</v>
      </c>
      <c r="E322">
        <v>9</v>
      </c>
      <c r="F322" t="s">
        <v>69</v>
      </c>
      <c r="G322">
        <v>100000</v>
      </c>
      <c r="H322">
        <v>100000</v>
      </c>
      <c r="I322">
        <v>200000</v>
      </c>
      <c r="J322" t="s">
        <v>92</v>
      </c>
      <c r="K322" t="s">
        <v>93</v>
      </c>
      <c r="L322" t="s">
        <v>44</v>
      </c>
      <c r="M322" t="s">
        <v>54</v>
      </c>
      <c r="N322" t="s">
        <v>110</v>
      </c>
      <c r="O322" t="s">
        <v>772</v>
      </c>
      <c r="P322">
        <v>10.3</v>
      </c>
      <c r="Q322">
        <v>68</v>
      </c>
      <c r="R322">
        <v>28.6</v>
      </c>
      <c r="S322">
        <v>6.1</v>
      </c>
      <c r="T322">
        <v>2026</v>
      </c>
      <c r="U322">
        <v>1</v>
      </c>
      <c r="V322">
        <v>1</v>
      </c>
      <c r="W322" t="s">
        <v>47</v>
      </c>
      <c r="X322" t="s">
        <v>64</v>
      </c>
      <c r="Y322" t="s">
        <v>98</v>
      </c>
    </row>
    <row r="323" spans="1:25" x14ac:dyDescent="0.35">
      <c r="A323" t="s">
        <v>773</v>
      </c>
      <c r="B323" t="s">
        <v>179</v>
      </c>
      <c r="C323" t="s">
        <v>180</v>
      </c>
      <c r="D323" t="s">
        <v>68</v>
      </c>
      <c r="E323">
        <v>6</v>
      </c>
      <c r="F323" t="s">
        <v>51</v>
      </c>
      <c r="G323">
        <v>247000</v>
      </c>
      <c r="H323">
        <v>110000</v>
      </c>
      <c r="I323">
        <v>210000</v>
      </c>
      <c r="J323" t="s">
        <v>174</v>
      </c>
      <c r="K323" t="s">
        <v>31</v>
      </c>
      <c r="L323" t="s">
        <v>44</v>
      </c>
      <c r="M323" t="s">
        <v>61</v>
      </c>
      <c r="N323" t="s">
        <v>119</v>
      </c>
      <c r="O323" t="s">
        <v>774</v>
      </c>
      <c r="P323">
        <v>13</v>
      </c>
      <c r="Q323">
        <v>72</v>
      </c>
      <c r="R323">
        <v>18.600000000000001</v>
      </c>
      <c r="S323">
        <v>9.1</v>
      </c>
      <c r="T323">
        <v>2026</v>
      </c>
      <c r="U323">
        <v>1</v>
      </c>
      <c r="V323">
        <v>1</v>
      </c>
      <c r="W323" t="s">
        <v>47</v>
      </c>
      <c r="X323" t="s">
        <v>64</v>
      </c>
      <c r="Y323" t="s">
        <v>38</v>
      </c>
    </row>
    <row r="324" spans="1:25" x14ac:dyDescent="0.35">
      <c r="A324" t="s">
        <v>775</v>
      </c>
      <c r="B324" t="s">
        <v>233</v>
      </c>
      <c r="C324" t="s">
        <v>180</v>
      </c>
      <c r="D324" t="s">
        <v>74</v>
      </c>
      <c r="E324">
        <v>9</v>
      </c>
      <c r="F324" t="s">
        <v>69</v>
      </c>
      <c r="G324">
        <v>124000</v>
      </c>
      <c r="H324">
        <v>100000</v>
      </c>
      <c r="I324">
        <v>200000</v>
      </c>
      <c r="J324" t="s">
        <v>296</v>
      </c>
      <c r="K324" t="s">
        <v>31</v>
      </c>
      <c r="L324" t="s">
        <v>32</v>
      </c>
      <c r="M324" t="s">
        <v>45</v>
      </c>
      <c r="N324" t="s">
        <v>76</v>
      </c>
      <c r="O324" t="s">
        <v>776</v>
      </c>
      <c r="P324">
        <v>15.2</v>
      </c>
      <c r="Q324">
        <v>68</v>
      </c>
      <c r="R324">
        <v>17.2</v>
      </c>
      <c r="S324">
        <v>6.4</v>
      </c>
      <c r="T324">
        <v>2026</v>
      </c>
      <c r="U324">
        <v>3</v>
      </c>
      <c r="V324">
        <v>0</v>
      </c>
      <c r="W324" t="s">
        <v>36</v>
      </c>
      <c r="X324" t="s">
        <v>64</v>
      </c>
      <c r="Y324" t="s">
        <v>95</v>
      </c>
    </row>
    <row r="325" spans="1:25" x14ac:dyDescent="0.35">
      <c r="A325" t="s">
        <v>777</v>
      </c>
      <c r="B325" t="s">
        <v>163</v>
      </c>
      <c r="C325" t="s">
        <v>164</v>
      </c>
      <c r="D325" t="s">
        <v>68</v>
      </c>
      <c r="E325">
        <v>5</v>
      </c>
      <c r="F325" t="s">
        <v>69</v>
      </c>
      <c r="G325">
        <v>247000</v>
      </c>
      <c r="H325">
        <v>125000</v>
      </c>
      <c r="I325">
        <v>240000</v>
      </c>
      <c r="J325" t="s">
        <v>102</v>
      </c>
      <c r="K325" t="s">
        <v>103</v>
      </c>
      <c r="L325" t="s">
        <v>32</v>
      </c>
      <c r="M325" t="s">
        <v>54</v>
      </c>
      <c r="N325" t="s">
        <v>83</v>
      </c>
      <c r="O325" t="s">
        <v>778</v>
      </c>
      <c r="P325">
        <v>13.9</v>
      </c>
      <c r="Q325">
        <v>76</v>
      </c>
      <c r="R325">
        <v>8.1999999999999993</v>
      </c>
      <c r="S325">
        <v>7.4</v>
      </c>
      <c r="T325">
        <v>2026</v>
      </c>
      <c r="U325">
        <v>3</v>
      </c>
      <c r="V325">
        <v>1</v>
      </c>
      <c r="W325" t="s">
        <v>36</v>
      </c>
      <c r="X325" t="s">
        <v>64</v>
      </c>
      <c r="Y325" t="s">
        <v>38</v>
      </c>
    </row>
    <row r="326" spans="1:25" x14ac:dyDescent="0.35">
      <c r="A326" t="s">
        <v>779</v>
      </c>
      <c r="B326" t="s">
        <v>196</v>
      </c>
      <c r="C326" t="s">
        <v>27</v>
      </c>
      <c r="D326" t="s">
        <v>74</v>
      </c>
      <c r="E326">
        <v>4</v>
      </c>
      <c r="F326" t="s">
        <v>69</v>
      </c>
      <c r="G326">
        <v>100000</v>
      </c>
      <c r="H326">
        <v>100000</v>
      </c>
      <c r="I326">
        <v>250000</v>
      </c>
      <c r="J326" t="s">
        <v>113</v>
      </c>
      <c r="K326" t="s">
        <v>114</v>
      </c>
      <c r="L326" t="s">
        <v>44</v>
      </c>
      <c r="M326" t="s">
        <v>45</v>
      </c>
      <c r="N326" t="s">
        <v>119</v>
      </c>
      <c r="O326" t="s">
        <v>780</v>
      </c>
      <c r="P326">
        <v>8.8000000000000007</v>
      </c>
      <c r="Q326">
        <v>95</v>
      </c>
      <c r="R326">
        <v>65.2</v>
      </c>
      <c r="S326">
        <v>9.3000000000000007</v>
      </c>
      <c r="T326">
        <v>2025</v>
      </c>
      <c r="U326">
        <v>3</v>
      </c>
      <c r="V326">
        <v>0</v>
      </c>
      <c r="W326" t="s">
        <v>47</v>
      </c>
      <c r="X326" t="s">
        <v>64</v>
      </c>
      <c r="Y326" t="s">
        <v>98</v>
      </c>
    </row>
    <row r="327" spans="1:25" x14ac:dyDescent="0.35">
      <c r="A327" t="s">
        <v>781</v>
      </c>
      <c r="B327" t="s">
        <v>196</v>
      </c>
      <c r="C327" t="s">
        <v>27</v>
      </c>
      <c r="D327" t="s">
        <v>74</v>
      </c>
      <c r="E327">
        <v>5</v>
      </c>
      <c r="F327" t="s">
        <v>69</v>
      </c>
      <c r="G327">
        <v>100000</v>
      </c>
      <c r="H327">
        <v>100000</v>
      </c>
      <c r="I327">
        <v>250000</v>
      </c>
      <c r="J327" t="s">
        <v>102</v>
      </c>
      <c r="K327" t="s">
        <v>103</v>
      </c>
      <c r="L327" t="s">
        <v>44</v>
      </c>
      <c r="M327" t="s">
        <v>82</v>
      </c>
      <c r="N327" t="s">
        <v>165</v>
      </c>
      <c r="O327" t="s">
        <v>782</v>
      </c>
      <c r="P327">
        <v>13.7</v>
      </c>
      <c r="Q327">
        <v>95</v>
      </c>
      <c r="R327">
        <v>74</v>
      </c>
      <c r="S327">
        <v>6.4</v>
      </c>
      <c r="T327">
        <v>2026</v>
      </c>
      <c r="U327">
        <v>2</v>
      </c>
      <c r="V327">
        <v>0</v>
      </c>
      <c r="W327" t="s">
        <v>47</v>
      </c>
      <c r="X327" t="s">
        <v>64</v>
      </c>
      <c r="Y327" t="s">
        <v>98</v>
      </c>
    </row>
    <row r="328" spans="1:25" x14ac:dyDescent="0.35">
      <c r="A328" t="s">
        <v>783</v>
      </c>
      <c r="B328" t="s">
        <v>179</v>
      </c>
      <c r="C328" t="s">
        <v>180</v>
      </c>
      <c r="D328" t="s">
        <v>81</v>
      </c>
      <c r="E328">
        <v>10</v>
      </c>
      <c r="F328" t="s">
        <v>51</v>
      </c>
      <c r="G328">
        <v>110000</v>
      </c>
      <c r="H328">
        <v>110000</v>
      </c>
      <c r="I328">
        <v>210000</v>
      </c>
      <c r="J328" t="s">
        <v>117</v>
      </c>
      <c r="K328" t="s">
        <v>118</v>
      </c>
      <c r="L328" t="s">
        <v>32</v>
      </c>
      <c r="M328" t="s">
        <v>82</v>
      </c>
      <c r="N328" t="s">
        <v>110</v>
      </c>
      <c r="O328" t="s">
        <v>784</v>
      </c>
      <c r="P328">
        <v>18</v>
      </c>
      <c r="Q328">
        <v>72</v>
      </c>
      <c r="R328">
        <v>15.1</v>
      </c>
      <c r="S328">
        <v>6.9</v>
      </c>
      <c r="T328">
        <v>2026</v>
      </c>
      <c r="U328">
        <v>1</v>
      </c>
      <c r="V328">
        <v>0</v>
      </c>
      <c r="W328" t="s">
        <v>36</v>
      </c>
      <c r="X328" t="s">
        <v>64</v>
      </c>
      <c r="Y328" t="s">
        <v>95</v>
      </c>
    </row>
    <row r="329" spans="1:25" x14ac:dyDescent="0.35">
      <c r="A329" t="s">
        <v>785</v>
      </c>
      <c r="B329" t="s">
        <v>185</v>
      </c>
      <c r="C329" t="s">
        <v>186</v>
      </c>
      <c r="D329" t="s">
        <v>28</v>
      </c>
      <c r="E329">
        <v>9</v>
      </c>
      <c r="F329" t="s">
        <v>128</v>
      </c>
      <c r="G329">
        <v>140000</v>
      </c>
      <c r="H329">
        <v>140000</v>
      </c>
      <c r="I329">
        <v>270000</v>
      </c>
      <c r="J329" t="s">
        <v>92</v>
      </c>
      <c r="K329" t="s">
        <v>93</v>
      </c>
      <c r="L329" t="s">
        <v>44</v>
      </c>
      <c r="M329" t="s">
        <v>33</v>
      </c>
      <c r="N329" t="s">
        <v>71</v>
      </c>
      <c r="O329" t="s">
        <v>786</v>
      </c>
      <c r="P329">
        <v>10.5</v>
      </c>
      <c r="Q329">
        <v>85</v>
      </c>
      <c r="R329">
        <v>17.899999999999999</v>
      </c>
      <c r="S329">
        <v>8.6</v>
      </c>
      <c r="T329">
        <v>2026</v>
      </c>
      <c r="U329">
        <v>1</v>
      </c>
      <c r="V329">
        <v>1</v>
      </c>
      <c r="W329" t="s">
        <v>47</v>
      </c>
      <c r="X329" t="s">
        <v>64</v>
      </c>
      <c r="Y329" t="s">
        <v>95</v>
      </c>
    </row>
    <row r="330" spans="1:25" x14ac:dyDescent="0.35">
      <c r="A330" t="s">
        <v>787</v>
      </c>
      <c r="B330" t="s">
        <v>26</v>
      </c>
      <c r="C330" t="s">
        <v>27</v>
      </c>
      <c r="D330" t="s">
        <v>68</v>
      </c>
      <c r="E330">
        <v>7</v>
      </c>
      <c r="F330" t="s">
        <v>29</v>
      </c>
      <c r="G330">
        <v>280000</v>
      </c>
      <c r="H330">
        <v>155000</v>
      </c>
      <c r="I330">
        <v>290000</v>
      </c>
      <c r="J330" t="s">
        <v>117</v>
      </c>
      <c r="K330" t="s">
        <v>118</v>
      </c>
      <c r="L330" t="s">
        <v>32</v>
      </c>
      <c r="M330" t="s">
        <v>61</v>
      </c>
      <c r="N330" t="s">
        <v>71</v>
      </c>
      <c r="O330" t="s">
        <v>788</v>
      </c>
      <c r="P330">
        <v>14.9</v>
      </c>
      <c r="Q330">
        <v>96</v>
      </c>
      <c r="R330">
        <v>36.9</v>
      </c>
      <c r="S330">
        <v>7.7</v>
      </c>
      <c r="T330">
        <v>2025</v>
      </c>
      <c r="U330">
        <v>2</v>
      </c>
      <c r="V330">
        <v>1</v>
      </c>
      <c r="W330" t="s">
        <v>36</v>
      </c>
      <c r="X330" t="s">
        <v>37</v>
      </c>
      <c r="Y330" t="s">
        <v>38</v>
      </c>
    </row>
    <row r="331" spans="1:25" x14ac:dyDescent="0.35">
      <c r="A331" t="s">
        <v>789</v>
      </c>
      <c r="B331" t="s">
        <v>26</v>
      </c>
      <c r="C331" t="s">
        <v>27</v>
      </c>
      <c r="D331" t="s">
        <v>28</v>
      </c>
      <c r="E331">
        <v>4</v>
      </c>
      <c r="F331" t="s">
        <v>128</v>
      </c>
      <c r="G331">
        <v>348000</v>
      </c>
      <c r="H331">
        <v>155000</v>
      </c>
      <c r="I331">
        <v>290000</v>
      </c>
      <c r="J331" t="s">
        <v>70</v>
      </c>
      <c r="K331" t="s">
        <v>31</v>
      </c>
      <c r="L331" t="s">
        <v>53</v>
      </c>
      <c r="M331" t="s">
        <v>45</v>
      </c>
      <c r="N331" t="s">
        <v>71</v>
      </c>
      <c r="O331" t="s">
        <v>790</v>
      </c>
      <c r="P331">
        <v>11.1</v>
      </c>
      <c r="Q331">
        <v>96</v>
      </c>
      <c r="R331">
        <v>50.4</v>
      </c>
      <c r="S331">
        <v>9.8000000000000007</v>
      </c>
      <c r="T331">
        <v>2026</v>
      </c>
      <c r="U331">
        <v>1</v>
      </c>
      <c r="V331">
        <v>1</v>
      </c>
      <c r="W331" t="s">
        <v>47</v>
      </c>
      <c r="X331" t="s">
        <v>37</v>
      </c>
      <c r="Y331" t="s">
        <v>56</v>
      </c>
    </row>
    <row r="332" spans="1:25" x14ac:dyDescent="0.35">
      <c r="A332" t="s">
        <v>791</v>
      </c>
      <c r="B332" t="s">
        <v>141</v>
      </c>
      <c r="C332" t="s">
        <v>27</v>
      </c>
      <c r="D332" t="s">
        <v>81</v>
      </c>
      <c r="E332">
        <v>7</v>
      </c>
      <c r="F332" t="s">
        <v>41</v>
      </c>
      <c r="G332">
        <v>168000</v>
      </c>
      <c r="H332">
        <v>141000</v>
      </c>
      <c r="I332">
        <v>270000</v>
      </c>
      <c r="J332" t="s">
        <v>75</v>
      </c>
      <c r="K332" t="s">
        <v>31</v>
      </c>
      <c r="L332" t="s">
        <v>44</v>
      </c>
      <c r="M332" t="s">
        <v>82</v>
      </c>
      <c r="N332" t="s">
        <v>83</v>
      </c>
      <c r="O332" t="s">
        <v>792</v>
      </c>
      <c r="P332">
        <v>9.1</v>
      </c>
      <c r="Q332">
        <v>89</v>
      </c>
      <c r="R332">
        <v>27.5</v>
      </c>
      <c r="S332">
        <v>7.5</v>
      </c>
      <c r="T332">
        <v>2025</v>
      </c>
      <c r="U332">
        <v>11</v>
      </c>
      <c r="V332">
        <v>0</v>
      </c>
      <c r="W332" t="s">
        <v>47</v>
      </c>
      <c r="X332" t="s">
        <v>64</v>
      </c>
      <c r="Y332" t="s">
        <v>48</v>
      </c>
    </row>
    <row r="333" spans="1:25" x14ac:dyDescent="0.35">
      <c r="A333" t="s">
        <v>793</v>
      </c>
      <c r="B333" t="s">
        <v>86</v>
      </c>
      <c r="C333" t="s">
        <v>27</v>
      </c>
      <c r="D333" t="s">
        <v>81</v>
      </c>
      <c r="E333">
        <v>6</v>
      </c>
      <c r="F333" t="s">
        <v>41</v>
      </c>
      <c r="G333">
        <v>180000</v>
      </c>
      <c r="H333">
        <v>180000</v>
      </c>
      <c r="I333">
        <v>312000</v>
      </c>
      <c r="J333" t="s">
        <v>137</v>
      </c>
      <c r="K333" t="s">
        <v>138</v>
      </c>
      <c r="L333" t="s">
        <v>53</v>
      </c>
      <c r="M333" t="s">
        <v>61</v>
      </c>
      <c r="N333" t="s">
        <v>124</v>
      </c>
      <c r="O333" t="s">
        <v>794</v>
      </c>
      <c r="P333">
        <v>17.399999999999999</v>
      </c>
      <c r="Q333">
        <v>96</v>
      </c>
      <c r="R333">
        <v>30.9</v>
      </c>
      <c r="S333">
        <v>6.4</v>
      </c>
      <c r="T333">
        <v>2025</v>
      </c>
      <c r="U333">
        <v>5</v>
      </c>
      <c r="V333">
        <v>0</v>
      </c>
      <c r="W333" t="s">
        <v>47</v>
      </c>
      <c r="X333" t="s">
        <v>64</v>
      </c>
      <c r="Y333" t="s">
        <v>48</v>
      </c>
    </row>
    <row r="334" spans="1:25" x14ac:dyDescent="0.35">
      <c r="A334" t="s">
        <v>795</v>
      </c>
      <c r="B334" t="s">
        <v>100</v>
      </c>
      <c r="C334" t="s">
        <v>101</v>
      </c>
      <c r="D334" t="s">
        <v>74</v>
      </c>
      <c r="E334">
        <v>7</v>
      </c>
      <c r="F334" t="s">
        <v>69</v>
      </c>
      <c r="G334">
        <v>180000</v>
      </c>
      <c r="H334">
        <v>180000</v>
      </c>
      <c r="I334">
        <v>320000</v>
      </c>
      <c r="J334" t="s">
        <v>122</v>
      </c>
      <c r="K334" t="s">
        <v>123</v>
      </c>
      <c r="L334" t="s">
        <v>53</v>
      </c>
      <c r="M334" t="s">
        <v>82</v>
      </c>
      <c r="N334" t="s">
        <v>88</v>
      </c>
      <c r="O334" t="s">
        <v>796</v>
      </c>
      <c r="P334">
        <v>16.2</v>
      </c>
      <c r="Q334">
        <v>84</v>
      </c>
      <c r="R334">
        <v>5.5</v>
      </c>
      <c r="S334">
        <v>9.6999999999999993</v>
      </c>
      <c r="T334">
        <v>2026</v>
      </c>
      <c r="U334">
        <v>3</v>
      </c>
      <c r="V334">
        <v>0</v>
      </c>
      <c r="W334" t="s">
        <v>47</v>
      </c>
      <c r="X334" t="s">
        <v>64</v>
      </c>
      <c r="Y334" t="s">
        <v>48</v>
      </c>
    </row>
    <row r="335" spans="1:25" x14ac:dyDescent="0.35">
      <c r="A335" t="s">
        <v>797</v>
      </c>
      <c r="B335" t="s">
        <v>146</v>
      </c>
      <c r="C335" t="s">
        <v>27</v>
      </c>
      <c r="D335" t="s">
        <v>28</v>
      </c>
      <c r="E335">
        <v>8</v>
      </c>
      <c r="F335" t="s">
        <v>51</v>
      </c>
      <c r="G335">
        <v>248000</v>
      </c>
      <c r="H335">
        <v>160000</v>
      </c>
      <c r="I335">
        <v>300000</v>
      </c>
      <c r="J335" t="s">
        <v>296</v>
      </c>
      <c r="K335" t="s">
        <v>31</v>
      </c>
      <c r="L335" t="s">
        <v>44</v>
      </c>
      <c r="M335" t="s">
        <v>61</v>
      </c>
      <c r="N335" t="s">
        <v>110</v>
      </c>
      <c r="O335" t="s">
        <v>798</v>
      </c>
      <c r="P335">
        <v>17.399999999999999</v>
      </c>
      <c r="Q335">
        <v>90</v>
      </c>
      <c r="R335">
        <v>23.9</v>
      </c>
      <c r="S335">
        <v>7.1</v>
      </c>
      <c r="T335">
        <v>2026</v>
      </c>
      <c r="U335">
        <v>1</v>
      </c>
      <c r="V335">
        <v>1</v>
      </c>
      <c r="W335" t="s">
        <v>47</v>
      </c>
      <c r="X335" t="s">
        <v>64</v>
      </c>
      <c r="Y335" t="s">
        <v>38</v>
      </c>
    </row>
    <row r="336" spans="1:25" x14ac:dyDescent="0.35">
      <c r="A336" t="s">
        <v>799</v>
      </c>
      <c r="B336" t="s">
        <v>100</v>
      </c>
      <c r="C336" t="s">
        <v>101</v>
      </c>
      <c r="D336" t="s">
        <v>74</v>
      </c>
      <c r="E336">
        <v>13</v>
      </c>
      <c r="F336" t="s">
        <v>128</v>
      </c>
      <c r="G336">
        <v>199000</v>
      </c>
      <c r="H336">
        <v>180000</v>
      </c>
      <c r="I336">
        <v>320000</v>
      </c>
      <c r="J336" t="s">
        <v>113</v>
      </c>
      <c r="K336" t="s">
        <v>114</v>
      </c>
      <c r="L336" t="s">
        <v>32</v>
      </c>
      <c r="M336" t="s">
        <v>45</v>
      </c>
      <c r="N336" t="s">
        <v>155</v>
      </c>
      <c r="O336" t="s">
        <v>800</v>
      </c>
      <c r="P336">
        <v>12.2</v>
      </c>
      <c r="Q336">
        <v>84</v>
      </c>
      <c r="R336">
        <v>23.2</v>
      </c>
      <c r="S336">
        <v>8.1</v>
      </c>
      <c r="T336">
        <v>2025</v>
      </c>
      <c r="U336">
        <v>12</v>
      </c>
      <c r="V336">
        <v>0</v>
      </c>
      <c r="W336" t="s">
        <v>36</v>
      </c>
      <c r="X336" t="s">
        <v>64</v>
      </c>
      <c r="Y336" t="s">
        <v>48</v>
      </c>
    </row>
    <row r="337" spans="1:25" x14ac:dyDescent="0.35">
      <c r="A337" t="s">
        <v>801</v>
      </c>
      <c r="B337" t="s">
        <v>196</v>
      </c>
      <c r="C337" t="s">
        <v>27</v>
      </c>
      <c r="D337" t="s">
        <v>68</v>
      </c>
      <c r="E337">
        <v>3</v>
      </c>
      <c r="F337" t="s">
        <v>29</v>
      </c>
      <c r="G337">
        <v>243000</v>
      </c>
      <c r="H337">
        <v>100000</v>
      </c>
      <c r="I337">
        <v>250000</v>
      </c>
      <c r="J337" t="s">
        <v>296</v>
      </c>
      <c r="K337" t="s">
        <v>31</v>
      </c>
      <c r="L337" t="s">
        <v>53</v>
      </c>
      <c r="M337" t="s">
        <v>61</v>
      </c>
      <c r="N337" t="s">
        <v>155</v>
      </c>
      <c r="O337" t="s">
        <v>802</v>
      </c>
      <c r="P337">
        <v>15.7</v>
      </c>
      <c r="Q337">
        <v>95</v>
      </c>
      <c r="R337">
        <v>62.4</v>
      </c>
      <c r="S337">
        <v>6.5</v>
      </c>
      <c r="T337">
        <v>2026</v>
      </c>
      <c r="U337">
        <v>2</v>
      </c>
      <c r="V337">
        <v>1</v>
      </c>
      <c r="W337" t="s">
        <v>47</v>
      </c>
      <c r="X337" t="s">
        <v>64</v>
      </c>
      <c r="Y337" t="s">
        <v>38</v>
      </c>
    </row>
    <row r="338" spans="1:25" x14ac:dyDescent="0.35">
      <c r="A338" t="s">
        <v>803</v>
      </c>
      <c r="B338" t="s">
        <v>66</v>
      </c>
      <c r="C338" t="s">
        <v>67</v>
      </c>
      <c r="D338" t="s">
        <v>81</v>
      </c>
      <c r="E338">
        <v>8</v>
      </c>
      <c r="F338" t="s">
        <v>128</v>
      </c>
      <c r="G338">
        <v>199000</v>
      </c>
      <c r="H338">
        <v>140000</v>
      </c>
      <c r="I338">
        <v>260000</v>
      </c>
      <c r="J338" t="s">
        <v>170</v>
      </c>
      <c r="K338" t="s">
        <v>171</v>
      </c>
      <c r="L338" t="s">
        <v>53</v>
      </c>
      <c r="M338" t="s">
        <v>45</v>
      </c>
      <c r="N338" t="s">
        <v>76</v>
      </c>
      <c r="O338" t="s">
        <v>804</v>
      </c>
      <c r="P338">
        <v>16.8</v>
      </c>
      <c r="Q338">
        <v>85</v>
      </c>
      <c r="R338">
        <v>10.6</v>
      </c>
      <c r="S338">
        <v>9.6</v>
      </c>
      <c r="T338">
        <v>2026</v>
      </c>
      <c r="U338">
        <v>3</v>
      </c>
      <c r="V338">
        <v>0</v>
      </c>
      <c r="W338" t="s">
        <v>47</v>
      </c>
      <c r="X338" t="s">
        <v>64</v>
      </c>
      <c r="Y338" t="s">
        <v>48</v>
      </c>
    </row>
    <row r="339" spans="1:25" x14ac:dyDescent="0.35">
      <c r="A339" t="s">
        <v>805</v>
      </c>
      <c r="B339" t="s">
        <v>158</v>
      </c>
      <c r="C339" t="s">
        <v>27</v>
      </c>
      <c r="D339" t="s">
        <v>68</v>
      </c>
      <c r="E339">
        <v>3</v>
      </c>
      <c r="F339" t="s">
        <v>29</v>
      </c>
      <c r="G339">
        <v>216000</v>
      </c>
      <c r="H339">
        <v>145000</v>
      </c>
      <c r="I339">
        <v>280000</v>
      </c>
      <c r="J339" t="s">
        <v>42</v>
      </c>
      <c r="K339" t="s">
        <v>43</v>
      </c>
      <c r="L339" t="s">
        <v>32</v>
      </c>
      <c r="M339" t="s">
        <v>33</v>
      </c>
      <c r="N339" t="s">
        <v>83</v>
      </c>
      <c r="O339" t="s">
        <v>806</v>
      </c>
      <c r="P339">
        <v>7</v>
      </c>
      <c r="Q339">
        <v>94</v>
      </c>
      <c r="R339">
        <v>16</v>
      </c>
      <c r="S339">
        <v>8</v>
      </c>
      <c r="T339">
        <v>2026</v>
      </c>
      <c r="U339">
        <v>2</v>
      </c>
      <c r="V339">
        <v>1</v>
      </c>
      <c r="W339" t="s">
        <v>36</v>
      </c>
      <c r="X339" t="s">
        <v>37</v>
      </c>
      <c r="Y339" t="s">
        <v>38</v>
      </c>
    </row>
    <row r="340" spans="1:25" x14ac:dyDescent="0.35">
      <c r="A340" t="s">
        <v>807</v>
      </c>
      <c r="B340" t="s">
        <v>146</v>
      </c>
      <c r="C340" t="s">
        <v>27</v>
      </c>
      <c r="D340" t="s">
        <v>81</v>
      </c>
      <c r="E340">
        <v>9</v>
      </c>
      <c r="F340" t="s">
        <v>29</v>
      </c>
      <c r="G340">
        <v>183000</v>
      </c>
      <c r="H340">
        <v>160000</v>
      </c>
      <c r="I340">
        <v>300000</v>
      </c>
      <c r="J340" t="s">
        <v>47</v>
      </c>
      <c r="K340" t="s">
        <v>87</v>
      </c>
      <c r="L340" t="s">
        <v>53</v>
      </c>
      <c r="M340" t="s">
        <v>33</v>
      </c>
      <c r="N340" t="s">
        <v>110</v>
      </c>
      <c r="O340" t="s">
        <v>808</v>
      </c>
      <c r="P340">
        <v>9.9</v>
      </c>
      <c r="Q340">
        <v>90</v>
      </c>
      <c r="R340">
        <v>9.5</v>
      </c>
      <c r="S340">
        <v>9</v>
      </c>
      <c r="T340">
        <v>2025</v>
      </c>
      <c r="U340">
        <v>5</v>
      </c>
      <c r="V340">
        <v>0</v>
      </c>
      <c r="W340" t="s">
        <v>47</v>
      </c>
      <c r="X340" t="s">
        <v>64</v>
      </c>
      <c r="Y340" t="s">
        <v>48</v>
      </c>
    </row>
    <row r="341" spans="1:25" x14ac:dyDescent="0.35">
      <c r="A341" t="s">
        <v>809</v>
      </c>
      <c r="B341" t="s">
        <v>91</v>
      </c>
      <c r="C341" t="s">
        <v>27</v>
      </c>
      <c r="D341" t="s">
        <v>81</v>
      </c>
      <c r="E341">
        <v>10</v>
      </c>
      <c r="F341" t="s">
        <v>128</v>
      </c>
      <c r="G341">
        <v>145000</v>
      </c>
      <c r="H341">
        <v>145000</v>
      </c>
      <c r="I341">
        <v>290000</v>
      </c>
      <c r="J341" t="s">
        <v>108</v>
      </c>
      <c r="K341" t="s">
        <v>109</v>
      </c>
      <c r="L341" t="s">
        <v>44</v>
      </c>
      <c r="M341" t="s">
        <v>45</v>
      </c>
      <c r="N341" t="s">
        <v>124</v>
      </c>
      <c r="O341" t="s">
        <v>810</v>
      </c>
      <c r="P341">
        <v>6</v>
      </c>
      <c r="Q341">
        <v>91</v>
      </c>
      <c r="R341">
        <v>58.6</v>
      </c>
      <c r="S341">
        <v>6.3</v>
      </c>
      <c r="T341">
        <v>2026</v>
      </c>
      <c r="U341">
        <v>1</v>
      </c>
      <c r="V341">
        <v>0</v>
      </c>
      <c r="W341" t="s">
        <v>47</v>
      </c>
      <c r="X341" t="s">
        <v>64</v>
      </c>
      <c r="Y341" t="s">
        <v>95</v>
      </c>
    </row>
    <row r="342" spans="1:25" x14ac:dyDescent="0.35">
      <c r="A342" t="s">
        <v>811</v>
      </c>
      <c r="B342" t="s">
        <v>66</v>
      </c>
      <c r="C342" t="s">
        <v>67</v>
      </c>
      <c r="D342" t="s">
        <v>28</v>
      </c>
      <c r="E342">
        <v>10</v>
      </c>
      <c r="F342" t="s">
        <v>51</v>
      </c>
      <c r="G342">
        <v>204000</v>
      </c>
      <c r="H342">
        <v>140000</v>
      </c>
      <c r="I342">
        <v>260000</v>
      </c>
      <c r="J342" t="s">
        <v>42</v>
      </c>
      <c r="K342" t="s">
        <v>43</v>
      </c>
      <c r="L342" t="s">
        <v>32</v>
      </c>
      <c r="M342" t="s">
        <v>45</v>
      </c>
      <c r="N342" t="s">
        <v>155</v>
      </c>
      <c r="O342" t="s">
        <v>812</v>
      </c>
      <c r="P342">
        <v>9.8000000000000007</v>
      </c>
      <c r="Q342">
        <v>85</v>
      </c>
      <c r="R342">
        <v>9.1999999999999993</v>
      </c>
      <c r="S342">
        <v>7.9</v>
      </c>
      <c r="T342">
        <v>2025</v>
      </c>
      <c r="U342">
        <v>8</v>
      </c>
      <c r="V342">
        <v>1</v>
      </c>
      <c r="W342" t="s">
        <v>36</v>
      </c>
      <c r="X342" t="s">
        <v>64</v>
      </c>
      <c r="Y342" t="s">
        <v>38</v>
      </c>
    </row>
    <row r="343" spans="1:25" x14ac:dyDescent="0.35">
      <c r="A343" t="s">
        <v>813</v>
      </c>
      <c r="B343" t="s">
        <v>168</v>
      </c>
      <c r="C343" t="s">
        <v>169</v>
      </c>
      <c r="D343" t="s">
        <v>68</v>
      </c>
      <c r="E343">
        <v>10</v>
      </c>
      <c r="F343" t="s">
        <v>29</v>
      </c>
      <c r="G343">
        <v>261600</v>
      </c>
      <c r="H343">
        <v>157000</v>
      </c>
      <c r="I343">
        <v>218000</v>
      </c>
      <c r="J343" t="s">
        <v>52</v>
      </c>
      <c r="K343" t="s">
        <v>31</v>
      </c>
      <c r="L343" t="s">
        <v>44</v>
      </c>
      <c r="M343" t="s">
        <v>82</v>
      </c>
      <c r="N343" t="s">
        <v>110</v>
      </c>
      <c r="O343" t="s">
        <v>814</v>
      </c>
      <c r="P343">
        <v>8.3000000000000007</v>
      </c>
      <c r="Q343">
        <v>90</v>
      </c>
      <c r="R343">
        <v>11.6</v>
      </c>
      <c r="S343">
        <v>7.2</v>
      </c>
      <c r="T343">
        <v>2026</v>
      </c>
      <c r="U343">
        <v>2</v>
      </c>
      <c r="V343">
        <v>1</v>
      </c>
      <c r="W343" t="s">
        <v>47</v>
      </c>
      <c r="X343" t="s">
        <v>64</v>
      </c>
      <c r="Y343" t="s">
        <v>38</v>
      </c>
    </row>
    <row r="344" spans="1:25" x14ac:dyDescent="0.35">
      <c r="A344" t="s">
        <v>815</v>
      </c>
      <c r="B344" t="s">
        <v>134</v>
      </c>
      <c r="C344" t="s">
        <v>27</v>
      </c>
      <c r="D344" t="s">
        <v>68</v>
      </c>
      <c r="E344">
        <v>2</v>
      </c>
      <c r="F344" t="s">
        <v>41</v>
      </c>
      <c r="G344">
        <v>273000</v>
      </c>
      <c r="H344">
        <v>150000</v>
      </c>
      <c r="I344">
        <v>295000</v>
      </c>
      <c r="J344" t="s">
        <v>47</v>
      </c>
      <c r="K344" t="s">
        <v>87</v>
      </c>
      <c r="L344" t="s">
        <v>32</v>
      </c>
      <c r="M344" t="s">
        <v>61</v>
      </c>
      <c r="N344" t="s">
        <v>76</v>
      </c>
      <c r="O344" t="s">
        <v>816</v>
      </c>
      <c r="P344">
        <v>17</v>
      </c>
      <c r="Q344">
        <v>95</v>
      </c>
      <c r="R344">
        <v>51.1</v>
      </c>
      <c r="S344">
        <v>7.7</v>
      </c>
      <c r="T344">
        <v>2026</v>
      </c>
      <c r="U344">
        <v>3</v>
      </c>
      <c r="V344">
        <v>1</v>
      </c>
      <c r="W344" t="s">
        <v>36</v>
      </c>
      <c r="X344" t="s">
        <v>37</v>
      </c>
      <c r="Y344" t="s">
        <v>38</v>
      </c>
    </row>
    <row r="345" spans="1:25" x14ac:dyDescent="0.35">
      <c r="A345" t="s">
        <v>817</v>
      </c>
      <c r="B345" t="s">
        <v>179</v>
      </c>
      <c r="C345" t="s">
        <v>180</v>
      </c>
      <c r="D345" t="s">
        <v>74</v>
      </c>
      <c r="E345">
        <v>5</v>
      </c>
      <c r="F345" t="s">
        <v>29</v>
      </c>
      <c r="G345">
        <v>111000</v>
      </c>
      <c r="H345">
        <v>110000</v>
      </c>
      <c r="I345">
        <v>210000</v>
      </c>
      <c r="J345" t="s">
        <v>170</v>
      </c>
      <c r="K345" t="s">
        <v>171</v>
      </c>
      <c r="L345" t="s">
        <v>53</v>
      </c>
      <c r="M345" t="s">
        <v>45</v>
      </c>
      <c r="N345" t="s">
        <v>165</v>
      </c>
      <c r="O345" t="s">
        <v>818</v>
      </c>
      <c r="P345">
        <v>8</v>
      </c>
      <c r="Q345">
        <v>72</v>
      </c>
      <c r="R345">
        <v>24.2</v>
      </c>
      <c r="S345">
        <v>6.7</v>
      </c>
      <c r="T345">
        <v>2026</v>
      </c>
      <c r="U345">
        <v>1</v>
      </c>
      <c r="V345">
        <v>0</v>
      </c>
      <c r="W345" t="s">
        <v>47</v>
      </c>
      <c r="X345" t="s">
        <v>64</v>
      </c>
      <c r="Y345" t="s">
        <v>95</v>
      </c>
    </row>
    <row r="346" spans="1:25" x14ac:dyDescent="0.35">
      <c r="A346" t="s">
        <v>819</v>
      </c>
      <c r="B346" t="s">
        <v>233</v>
      </c>
      <c r="C346" t="s">
        <v>180</v>
      </c>
      <c r="D346" t="s">
        <v>28</v>
      </c>
      <c r="E346">
        <v>4</v>
      </c>
      <c r="F346" t="s">
        <v>41</v>
      </c>
      <c r="G346">
        <v>144000</v>
      </c>
      <c r="H346">
        <v>100000</v>
      </c>
      <c r="I346">
        <v>200000</v>
      </c>
      <c r="J346" t="s">
        <v>47</v>
      </c>
      <c r="K346" t="s">
        <v>87</v>
      </c>
      <c r="L346" t="s">
        <v>53</v>
      </c>
      <c r="M346" t="s">
        <v>33</v>
      </c>
      <c r="N346" t="s">
        <v>88</v>
      </c>
      <c r="O346" t="s">
        <v>820</v>
      </c>
      <c r="P346">
        <v>14.6</v>
      </c>
      <c r="Q346">
        <v>68</v>
      </c>
      <c r="R346">
        <v>16.399999999999999</v>
      </c>
      <c r="S346">
        <v>9.6</v>
      </c>
      <c r="T346">
        <v>2026</v>
      </c>
      <c r="U346">
        <v>1</v>
      </c>
      <c r="V346">
        <v>1</v>
      </c>
      <c r="W346" t="s">
        <v>47</v>
      </c>
      <c r="X346" t="s">
        <v>64</v>
      </c>
      <c r="Y346" t="s">
        <v>95</v>
      </c>
    </row>
    <row r="347" spans="1:25" x14ac:dyDescent="0.35">
      <c r="A347" t="s">
        <v>821</v>
      </c>
      <c r="B347" t="s">
        <v>66</v>
      </c>
      <c r="C347" t="s">
        <v>67</v>
      </c>
      <c r="D347" t="s">
        <v>68</v>
      </c>
      <c r="E347">
        <v>9</v>
      </c>
      <c r="F347" t="s">
        <v>128</v>
      </c>
      <c r="G347">
        <v>312000</v>
      </c>
      <c r="H347">
        <v>140000</v>
      </c>
      <c r="I347">
        <v>260000</v>
      </c>
      <c r="J347" t="s">
        <v>296</v>
      </c>
      <c r="K347" t="s">
        <v>31</v>
      </c>
      <c r="L347" t="s">
        <v>53</v>
      </c>
      <c r="M347" t="s">
        <v>54</v>
      </c>
      <c r="N347" t="s">
        <v>155</v>
      </c>
      <c r="O347" t="s">
        <v>822</v>
      </c>
      <c r="P347">
        <v>11.8</v>
      </c>
      <c r="Q347">
        <v>85</v>
      </c>
      <c r="R347">
        <v>15</v>
      </c>
      <c r="S347">
        <v>6.7</v>
      </c>
      <c r="T347">
        <v>2026</v>
      </c>
      <c r="U347">
        <v>2</v>
      </c>
      <c r="V347">
        <v>1</v>
      </c>
      <c r="W347" t="s">
        <v>47</v>
      </c>
      <c r="X347" t="s">
        <v>64</v>
      </c>
      <c r="Y347" t="s">
        <v>56</v>
      </c>
    </row>
    <row r="348" spans="1:25" x14ac:dyDescent="0.35">
      <c r="A348" t="s">
        <v>823</v>
      </c>
      <c r="B348" t="s">
        <v>86</v>
      </c>
      <c r="C348" t="s">
        <v>27</v>
      </c>
      <c r="D348" t="s">
        <v>81</v>
      </c>
      <c r="E348">
        <v>9</v>
      </c>
      <c r="F348" t="s">
        <v>69</v>
      </c>
      <c r="G348">
        <v>269000</v>
      </c>
      <c r="H348">
        <v>180000</v>
      </c>
      <c r="I348">
        <v>312000</v>
      </c>
      <c r="J348" t="s">
        <v>174</v>
      </c>
      <c r="K348" t="s">
        <v>31</v>
      </c>
      <c r="L348" t="s">
        <v>32</v>
      </c>
      <c r="M348" t="s">
        <v>61</v>
      </c>
      <c r="N348" t="s">
        <v>119</v>
      </c>
      <c r="O348" t="s">
        <v>824</v>
      </c>
      <c r="P348">
        <v>11.7</v>
      </c>
      <c r="Q348">
        <v>96</v>
      </c>
      <c r="R348">
        <v>29.6</v>
      </c>
      <c r="S348">
        <v>7.7</v>
      </c>
      <c r="T348">
        <v>2025</v>
      </c>
      <c r="U348">
        <v>5</v>
      </c>
      <c r="V348">
        <v>0</v>
      </c>
      <c r="W348" t="s">
        <v>36</v>
      </c>
      <c r="X348" t="s">
        <v>64</v>
      </c>
      <c r="Y348" t="s">
        <v>38</v>
      </c>
    </row>
    <row r="349" spans="1:25" x14ac:dyDescent="0.35">
      <c r="A349" t="s">
        <v>825</v>
      </c>
      <c r="B349" t="s">
        <v>153</v>
      </c>
      <c r="C349" t="s">
        <v>154</v>
      </c>
      <c r="D349" t="s">
        <v>74</v>
      </c>
      <c r="E349">
        <v>6</v>
      </c>
      <c r="F349" t="s">
        <v>69</v>
      </c>
      <c r="G349">
        <v>95000</v>
      </c>
      <c r="H349">
        <v>95000</v>
      </c>
      <c r="I349">
        <v>180000</v>
      </c>
      <c r="J349" t="s">
        <v>108</v>
      </c>
      <c r="K349" t="s">
        <v>109</v>
      </c>
      <c r="L349" t="s">
        <v>53</v>
      </c>
      <c r="M349" t="s">
        <v>45</v>
      </c>
      <c r="N349" t="s">
        <v>83</v>
      </c>
      <c r="O349" t="s">
        <v>826</v>
      </c>
      <c r="P349">
        <v>14.8</v>
      </c>
      <c r="Q349">
        <v>78</v>
      </c>
      <c r="R349">
        <v>21.2</v>
      </c>
      <c r="S349">
        <v>8.6999999999999993</v>
      </c>
      <c r="T349">
        <v>2026</v>
      </c>
      <c r="U349">
        <v>3</v>
      </c>
      <c r="V349">
        <v>0</v>
      </c>
      <c r="W349" t="s">
        <v>47</v>
      </c>
      <c r="X349" t="s">
        <v>64</v>
      </c>
      <c r="Y349" t="s">
        <v>98</v>
      </c>
    </row>
    <row r="350" spans="1:25" x14ac:dyDescent="0.35">
      <c r="A350" t="s">
        <v>827</v>
      </c>
      <c r="B350" t="s">
        <v>26</v>
      </c>
      <c r="C350" t="s">
        <v>27</v>
      </c>
      <c r="D350" t="s">
        <v>28</v>
      </c>
      <c r="E350">
        <v>5</v>
      </c>
      <c r="F350" t="s">
        <v>69</v>
      </c>
      <c r="G350">
        <v>171000</v>
      </c>
      <c r="H350">
        <v>155000</v>
      </c>
      <c r="I350">
        <v>290000</v>
      </c>
      <c r="J350" t="s">
        <v>117</v>
      </c>
      <c r="K350" t="s">
        <v>118</v>
      </c>
      <c r="L350" t="s">
        <v>32</v>
      </c>
      <c r="M350" t="s">
        <v>33</v>
      </c>
      <c r="N350" t="s">
        <v>155</v>
      </c>
      <c r="O350" t="s">
        <v>828</v>
      </c>
      <c r="P350">
        <v>8.5</v>
      </c>
      <c r="Q350">
        <v>96</v>
      </c>
      <c r="R350">
        <v>22.9</v>
      </c>
      <c r="S350">
        <v>7.6</v>
      </c>
      <c r="T350">
        <v>2025</v>
      </c>
      <c r="U350">
        <v>11</v>
      </c>
      <c r="V350">
        <v>1</v>
      </c>
      <c r="W350" t="s">
        <v>36</v>
      </c>
      <c r="X350" t="s">
        <v>37</v>
      </c>
      <c r="Y350" t="s">
        <v>48</v>
      </c>
    </row>
    <row r="351" spans="1:25" x14ac:dyDescent="0.35">
      <c r="A351" t="s">
        <v>829</v>
      </c>
      <c r="B351" t="s">
        <v>134</v>
      </c>
      <c r="C351" t="s">
        <v>27</v>
      </c>
      <c r="D351" t="s">
        <v>28</v>
      </c>
      <c r="E351">
        <v>8</v>
      </c>
      <c r="F351" t="s">
        <v>128</v>
      </c>
      <c r="G351">
        <v>150000</v>
      </c>
      <c r="H351">
        <v>150000</v>
      </c>
      <c r="I351">
        <v>295000</v>
      </c>
      <c r="J351" t="s">
        <v>92</v>
      </c>
      <c r="K351" t="s">
        <v>93</v>
      </c>
      <c r="L351" t="s">
        <v>32</v>
      </c>
      <c r="M351" t="s">
        <v>82</v>
      </c>
      <c r="N351" t="s">
        <v>62</v>
      </c>
      <c r="O351" t="s">
        <v>830</v>
      </c>
      <c r="P351">
        <v>16.8</v>
      </c>
      <c r="Q351">
        <v>95</v>
      </c>
      <c r="R351">
        <v>36.700000000000003</v>
      </c>
      <c r="S351">
        <v>8.1999999999999993</v>
      </c>
      <c r="T351">
        <v>2026</v>
      </c>
      <c r="U351">
        <v>3</v>
      </c>
      <c r="V351">
        <v>1</v>
      </c>
      <c r="W351" t="s">
        <v>36</v>
      </c>
      <c r="X351" t="s">
        <v>37</v>
      </c>
      <c r="Y351" t="s">
        <v>95</v>
      </c>
    </row>
    <row r="352" spans="1:25" x14ac:dyDescent="0.35">
      <c r="A352" t="s">
        <v>831</v>
      </c>
      <c r="B352" t="s">
        <v>100</v>
      </c>
      <c r="C352" t="s">
        <v>101</v>
      </c>
      <c r="D352" t="s">
        <v>28</v>
      </c>
      <c r="E352">
        <v>7</v>
      </c>
      <c r="F352" t="s">
        <v>29</v>
      </c>
      <c r="G352">
        <v>180000</v>
      </c>
      <c r="H352">
        <v>180000</v>
      </c>
      <c r="I352">
        <v>320000</v>
      </c>
      <c r="J352" t="s">
        <v>108</v>
      </c>
      <c r="K352" t="s">
        <v>109</v>
      </c>
      <c r="L352" t="s">
        <v>32</v>
      </c>
      <c r="M352" t="s">
        <v>82</v>
      </c>
      <c r="N352" t="s">
        <v>34</v>
      </c>
      <c r="O352" t="s">
        <v>832</v>
      </c>
      <c r="P352">
        <v>14.6</v>
      </c>
      <c r="Q352">
        <v>84</v>
      </c>
      <c r="R352">
        <v>16.5</v>
      </c>
      <c r="S352">
        <v>7.5</v>
      </c>
      <c r="T352">
        <v>2026</v>
      </c>
      <c r="U352">
        <v>3</v>
      </c>
      <c r="V352">
        <v>1</v>
      </c>
      <c r="W352" t="s">
        <v>36</v>
      </c>
      <c r="X352" t="s">
        <v>64</v>
      </c>
      <c r="Y352" t="s">
        <v>48</v>
      </c>
    </row>
    <row r="353" spans="1:25" x14ac:dyDescent="0.35">
      <c r="A353" t="s">
        <v>833</v>
      </c>
      <c r="B353" t="s">
        <v>158</v>
      </c>
      <c r="C353" t="s">
        <v>27</v>
      </c>
      <c r="D353" t="s">
        <v>28</v>
      </c>
      <c r="E353">
        <v>2</v>
      </c>
      <c r="F353" t="s">
        <v>69</v>
      </c>
      <c r="G353">
        <v>250000</v>
      </c>
      <c r="H353">
        <v>145000</v>
      </c>
      <c r="I353">
        <v>280000</v>
      </c>
      <c r="J353" t="s">
        <v>47</v>
      </c>
      <c r="K353" t="s">
        <v>87</v>
      </c>
      <c r="L353" t="s">
        <v>32</v>
      </c>
      <c r="M353" t="s">
        <v>82</v>
      </c>
      <c r="N353" t="s">
        <v>62</v>
      </c>
      <c r="O353" t="s">
        <v>834</v>
      </c>
      <c r="P353">
        <v>7.5</v>
      </c>
      <c r="Q353">
        <v>94</v>
      </c>
      <c r="R353">
        <v>62.4</v>
      </c>
      <c r="S353">
        <v>7.7</v>
      </c>
      <c r="T353">
        <v>2026</v>
      </c>
      <c r="U353">
        <v>3</v>
      </c>
      <c r="V353">
        <v>1</v>
      </c>
      <c r="W353" t="s">
        <v>36</v>
      </c>
      <c r="X353" t="s">
        <v>37</v>
      </c>
      <c r="Y353" t="s">
        <v>38</v>
      </c>
    </row>
    <row r="354" spans="1:25" x14ac:dyDescent="0.35">
      <c r="A354" t="s">
        <v>835</v>
      </c>
      <c r="B354" t="s">
        <v>141</v>
      </c>
      <c r="C354" t="s">
        <v>27</v>
      </c>
      <c r="D354" t="s">
        <v>68</v>
      </c>
      <c r="E354">
        <v>3</v>
      </c>
      <c r="F354" t="s">
        <v>29</v>
      </c>
      <c r="G354">
        <v>324000</v>
      </c>
      <c r="H354">
        <v>141000</v>
      </c>
      <c r="I354">
        <v>270000</v>
      </c>
      <c r="J354" t="s">
        <v>52</v>
      </c>
      <c r="K354" t="s">
        <v>31</v>
      </c>
      <c r="L354" t="s">
        <v>44</v>
      </c>
      <c r="M354" t="s">
        <v>82</v>
      </c>
      <c r="N354" t="s">
        <v>88</v>
      </c>
      <c r="O354" t="s">
        <v>836</v>
      </c>
      <c r="P354">
        <v>4.4000000000000004</v>
      </c>
      <c r="Q354">
        <v>89</v>
      </c>
      <c r="R354">
        <v>19.2</v>
      </c>
      <c r="S354">
        <v>9.1999999999999993</v>
      </c>
      <c r="T354">
        <v>2025</v>
      </c>
      <c r="U354">
        <v>1</v>
      </c>
      <c r="V354">
        <v>1</v>
      </c>
      <c r="W354" t="s">
        <v>47</v>
      </c>
      <c r="X354" t="s">
        <v>64</v>
      </c>
      <c r="Y354" t="s">
        <v>56</v>
      </c>
    </row>
    <row r="355" spans="1:25" x14ac:dyDescent="0.35">
      <c r="A355" t="s">
        <v>837</v>
      </c>
      <c r="B355" t="s">
        <v>203</v>
      </c>
      <c r="C355" t="s">
        <v>169</v>
      </c>
      <c r="D355" t="s">
        <v>68</v>
      </c>
      <c r="E355">
        <v>6</v>
      </c>
      <c r="F355" t="s">
        <v>51</v>
      </c>
      <c r="G355">
        <v>186000</v>
      </c>
      <c r="H355">
        <v>138000</v>
      </c>
      <c r="I355">
        <v>195000</v>
      </c>
      <c r="J355" t="s">
        <v>122</v>
      </c>
      <c r="K355" t="s">
        <v>123</v>
      </c>
      <c r="L355" t="s">
        <v>32</v>
      </c>
      <c r="M355" t="s">
        <v>45</v>
      </c>
      <c r="N355" t="s">
        <v>155</v>
      </c>
      <c r="O355" t="s">
        <v>838</v>
      </c>
      <c r="P355">
        <v>7</v>
      </c>
      <c r="Q355">
        <v>92</v>
      </c>
      <c r="R355">
        <v>55.4</v>
      </c>
      <c r="S355">
        <v>7</v>
      </c>
      <c r="T355">
        <v>2026</v>
      </c>
      <c r="U355">
        <v>2</v>
      </c>
      <c r="V355">
        <v>1</v>
      </c>
      <c r="W355" t="s">
        <v>36</v>
      </c>
      <c r="X355" t="s">
        <v>64</v>
      </c>
      <c r="Y355" t="s">
        <v>48</v>
      </c>
    </row>
    <row r="356" spans="1:25" x14ac:dyDescent="0.35">
      <c r="A356" t="s">
        <v>839</v>
      </c>
      <c r="B356" t="s">
        <v>203</v>
      </c>
      <c r="C356" t="s">
        <v>169</v>
      </c>
      <c r="D356" t="s">
        <v>28</v>
      </c>
      <c r="E356">
        <v>2</v>
      </c>
      <c r="F356" t="s">
        <v>69</v>
      </c>
      <c r="G356">
        <v>234000</v>
      </c>
      <c r="H356">
        <v>138000</v>
      </c>
      <c r="I356">
        <v>195000</v>
      </c>
      <c r="J356" t="s">
        <v>47</v>
      </c>
      <c r="K356" t="s">
        <v>87</v>
      </c>
      <c r="L356" t="s">
        <v>44</v>
      </c>
      <c r="M356" t="s">
        <v>54</v>
      </c>
      <c r="N356" t="s">
        <v>71</v>
      </c>
      <c r="O356" t="s">
        <v>840</v>
      </c>
      <c r="P356">
        <v>7.8</v>
      </c>
      <c r="Q356">
        <v>92</v>
      </c>
      <c r="R356">
        <v>82.3</v>
      </c>
      <c r="S356">
        <v>9.1999999999999993</v>
      </c>
      <c r="T356">
        <v>2026</v>
      </c>
      <c r="U356">
        <v>2</v>
      </c>
      <c r="V356">
        <v>1</v>
      </c>
      <c r="W356" t="s">
        <v>47</v>
      </c>
      <c r="X356" t="s">
        <v>64</v>
      </c>
      <c r="Y356" t="s">
        <v>38</v>
      </c>
    </row>
    <row r="357" spans="1:25" x14ac:dyDescent="0.35">
      <c r="A357" t="s">
        <v>841</v>
      </c>
      <c r="B357" t="s">
        <v>168</v>
      </c>
      <c r="C357" t="s">
        <v>169</v>
      </c>
      <c r="D357" t="s">
        <v>68</v>
      </c>
      <c r="E357">
        <v>7</v>
      </c>
      <c r="F357" t="s">
        <v>128</v>
      </c>
      <c r="G357">
        <v>261600</v>
      </c>
      <c r="H357">
        <v>157000</v>
      </c>
      <c r="I357">
        <v>218000</v>
      </c>
      <c r="J357" t="s">
        <v>129</v>
      </c>
      <c r="K357" t="s">
        <v>130</v>
      </c>
      <c r="L357" t="s">
        <v>44</v>
      </c>
      <c r="M357" t="s">
        <v>45</v>
      </c>
      <c r="N357" t="s">
        <v>131</v>
      </c>
      <c r="O357" t="s">
        <v>842</v>
      </c>
      <c r="P357">
        <v>3.7</v>
      </c>
      <c r="Q357">
        <v>90</v>
      </c>
      <c r="R357">
        <v>15.4</v>
      </c>
      <c r="S357">
        <v>9.8000000000000007</v>
      </c>
      <c r="T357">
        <v>2025</v>
      </c>
      <c r="U357">
        <v>4</v>
      </c>
      <c r="V357">
        <v>1</v>
      </c>
      <c r="W357" t="s">
        <v>47</v>
      </c>
      <c r="X357" t="s">
        <v>64</v>
      </c>
      <c r="Y357" t="s">
        <v>38</v>
      </c>
    </row>
    <row r="358" spans="1:25" x14ac:dyDescent="0.35">
      <c r="A358" t="s">
        <v>843</v>
      </c>
      <c r="B358" t="s">
        <v>163</v>
      </c>
      <c r="C358" t="s">
        <v>164</v>
      </c>
      <c r="D358" t="s">
        <v>28</v>
      </c>
      <c r="E358">
        <v>5</v>
      </c>
      <c r="F358" t="s">
        <v>128</v>
      </c>
      <c r="G358">
        <v>234000</v>
      </c>
      <c r="H358">
        <v>125000</v>
      </c>
      <c r="I358">
        <v>240000</v>
      </c>
      <c r="J358" t="s">
        <v>296</v>
      </c>
      <c r="K358" t="s">
        <v>31</v>
      </c>
      <c r="L358" t="s">
        <v>44</v>
      </c>
      <c r="M358" t="s">
        <v>33</v>
      </c>
      <c r="N358" t="s">
        <v>34</v>
      </c>
      <c r="O358" t="s">
        <v>844</v>
      </c>
      <c r="P358">
        <v>12.9</v>
      </c>
      <c r="Q358">
        <v>76</v>
      </c>
      <c r="R358">
        <v>29.8</v>
      </c>
      <c r="S358">
        <v>9</v>
      </c>
      <c r="T358">
        <v>2026</v>
      </c>
      <c r="U358">
        <v>3</v>
      </c>
      <c r="V358">
        <v>1</v>
      </c>
      <c r="W358" t="s">
        <v>47</v>
      </c>
      <c r="X358" t="s">
        <v>64</v>
      </c>
      <c r="Y358" t="s">
        <v>38</v>
      </c>
    </row>
    <row r="359" spans="1:25" x14ac:dyDescent="0.35">
      <c r="A359" t="s">
        <v>845</v>
      </c>
      <c r="B359" t="s">
        <v>224</v>
      </c>
      <c r="C359" t="s">
        <v>27</v>
      </c>
      <c r="D359" t="s">
        <v>74</v>
      </c>
      <c r="E359">
        <v>10</v>
      </c>
      <c r="F359" t="s">
        <v>41</v>
      </c>
      <c r="G359">
        <v>213000</v>
      </c>
      <c r="H359">
        <v>145000</v>
      </c>
      <c r="I359">
        <v>280000</v>
      </c>
      <c r="J359" t="s">
        <v>191</v>
      </c>
      <c r="K359" t="s">
        <v>31</v>
      </c>
      <c r="L359" t="s">
        <v>53</v>
      </c>
      <c r="M359" t="s">
        <v>54</v>
      </c>
      <c r="N359" t="s">
        <v>71</v>
      </c>
      <c r="O359" t="s">
        <v>846</v>
      </c>
      <c r="P359">
        <v>4.0999999999999996</v>
      </c>
      <c r="Q359">
        <v>87</v>
      </c>
      <c r="R359">
        <v>12.3</v>
      </c>
      <c r="S359">
        <v>7.7</v>
      </c>
      <c r="T359">
        <v>2026</v>
      </c>
      <c r="U359">
        <v>3</v>
      </c>
      <c r="V359">
        <v>0</v>
      </c>
      <c r="W359" t="s">
        <v>47</v>
      </c>
      <c r="X359" t="s">
        <v>64</v>
      </c>
      <c r="Y359" t="s">
        <v>38</v>
      </c>
    </row>
    <row r="360" spans="1:25" x14ac:dyDescent="0.35">
      <c r="A360" t="s">
        <v>847</v>
      </c>
      <c r="B360" t="s">
        <v>203</v>
      </c>
      <c r="C360" t="s">
        <v>169</v>
      </c>
      <c r="D360" t="s">
        <v>28</v>
      </c>
      <c r="E360">
        <v>3</v>
      </c>
      <c r="F360" t="s">
        <v>29</v>
      </c>
      <c r="G360">
        <v>192000</v>
      </c>
      <c r="H360">
        <v>138000</v>
      </c>
      <c r="I360">
        <v>195000</v>
      </c>
      <c r="J360" t="s">
        <v>191</v>
      </c>
      <c r="K360" t="s">
        <v>31</v>
      </c>
      <c r="L360" t="s">
        <v>53</v>
      </c>
      <c r="M360" t="s">
        <v>82</v>
      </c>
      <c r="N360" t="s">
        <v>83</v>
      </c>
      <c r="O360" t="s">
        <v>848</v>
      </c>
      <c r="P360">
        <v>5.9</v>
      </c>
      <c r="Q360">
        <v>92</v>
      </c>
      <c r="R360">
        <v>60.9</v>
      </c>
      <c r="S360">
        <v>6.9</v>
      </c>
      <c r="T360">
        <v>2026</v>
      </c>
      <c r="U360">
        <v>3</v>
      </c>
      <c r="V360">
        <v>1</v>
      </c>
      <c r="W360" t="s">
        <v>47</v>
      </c>
      <c r="X360" t="s">
        <v>64</v>
      </c>
      <c r="Y360" t="s">
        <v>48</v>
      </c>
    </row>
    <row r="361" spans="1:25" x14ac:dyDescent="0.35">
      <c r="A361" t="s">
        <v>849</v>
      </c>
      <c r="B361" t="s">
        <v>40</v>
      </c>
      <c r="C361" t="s">
        <v>27</v>
      </c>
      <c r="D361" t="s">
        <v>68</v>
      </c>
      <c r="E361">
        <v>4</v>
      </c>
      <c r="F361" t="s">
        <v>69</v>
      </c>
      <c r="G361">
        <v>161000</v>
      </c>
      <c r="H361">
        <v>90000</v>
      </c>
      <c r="I361">
        <v>200000</v>
      </c>
      <c r="J361" t="s">
        <v>42</v>
      </c>
      <c r="K361" t="s">
        <v>43</v>
      </c>
      <c r="L361" t="s">
        <v>44</v>
      </c>
      <c r="M361" t="s">
        <v>61</v>
      </c>
      <c r="N361" t="s">
        <v>83</v>
      </c>
      <c r="O361" t="s">
        <v>850</v>
      </c>
      <c r="P361">
        <v>8.4</v>
      </c>
      <c r="Q361">
        <v>82</v>
      </c>
      <c r="R361">
        <v>15.9</v>
      </c>
      <c r="S361">
        <v>7.5</v>
      </c>
      <c r="T361">
        <v>2025</v>
      </c>
      <c r="U361">
        <v>11</v>
      </c>
      <c r="V361">
        <v>1</v>
      </c>
      <c r="W361" t="s">
        <v>47</v>
      </c>
      <c r="X361" t="s">
        <v>37</v>
      </c>
      <c r="Y361" t="s">
        <v>48</v>
      </c>
    </row>
    <row r="362" spans="1:25" x14ac:dyDescent="0.35">
      <c r="A362" t="s">
        <v>851</v>
      </c>
      <c r="B362" t="s">
        <v>168</v>
      </c>
      <c r="C362" t="s">
        <v>169</v>
      </c>
      <c r="D362" t="s">
        <v>28</v>
      </c>
      <c r="E362">
        <v>9</v>
      </c>
      <c r="F362" t="s">
        <v>69</v>
      </c>
      <c r="G362">
        <v>157000</v>
      </c>
      <c r="H362">
        <v>157000</v>
      </c>
      <c r="I362">
        <v>218000</v>
      </c>
      <c r="J362" t="s">
        <v>92</v>
      </c>
      <c r="K362" t="s">
        <v>93</v>
      </c>
      <c r="L362" t="s">
        <v>44</v>
      </c>
      <c r="M362" t="s">
        <v>33</v>
      </c>
      <c r="N362" t="s">
        <v>155</v>
      </c>
      <c r="O362" t="s">
        <v>852</v>
      </c>
      <c r="P362">
        <v>7.3</v>
      </c>
      <c r="Q362">
        <v>90</v>
      </c>
      <c r="R362">
        <v>16.100000000000001</v>
      </c>
      <c r="S362">
        <v>7.3</v>
      </c>
      <c r="T362">
        <v>2026</v>
      </c>
      <c r="U362">
        <v>3</v>
      </c>
      <c r="V362">
        <v>1</v>
      </c>
      <c r="W362" t="s">
        <v>47</v>
      </c>
      <c r="X362" t="s">
        <v>64</v>
      </c>
      <c r="Y362" t="s">
        <v>48</v>
      </c>
    </row>
    <row r="363" spans="1:25" x14ac:dyDescent="0.35">
      <c r="A363" t="s">
        <v>853</v>
      </c>
      <c r="B363" t="s">
        <v>50</v>
      </c>
      <c r="C363" t="s">
        <v>27</v>
      </c>
      <c r="D363" t="s">
        <v>74</v>
      </c>
      <c r="E363">
        <v>5</v>
      </c>
      <c r="F363" t="s">
        <v>41</v>
      </c>
      <c r="G363">
        <v>178000</v>
      </c>
      <c r="H363">
        <v>160000</v>
      </c>
      <c r="I363">
        <v>300000</v>
      </c>
      <c r="J363" t="s">
        <v>70</v>
      </c>
      <c r="K363" t="s">
        <v>31</v>
      </c>
      <c r="L363" t="s">
        <v>44</v>
      </c>
      <c r="M363" t="s">
        <v>82</v>
      </c>
      <c r="N363" t="s">
        <v>155</v>
      </c>
      <c r="O363" t="s">
        <v>854</v>
      </c>
      <c r="P363">
        <v>5.4</v>
      </c>
      <c r="Q363">
        <v>98</v>
      </c>
      <c r="R363">
        <v>61.4</v>
      </c>
      <c r="S363">
        <v>6.1</v>
      </c>
      <c r="T363">
        <v>2026</v>
      </c>
      <c r="U363">
        <v>3</v>
      </c>
      <c r="V363">
        <v>0</v>
      </c>
      <c r="W363" t="s">
        <v>47</v>
      </c>
      <c r="X363" t="s">
        <v>37</v>
      </c>
      <c r="Y363" t="s">
        <v>48</v>
      </c>
    </row>
    <row r="364" spans="1:25" x14ac:dyDescent="0.35">
      <c r="A364" t="s">
        <v>855</v>
      </c>
      <c r="B364" t="s">
        <v>153</v>
      </c>
      <c r="C364" t="s">
        <v>154</v>
      </c>
      <c r="D364" t="s">
        <v>28</v>
      </c>
      <c r="E364">
        <v>2</v>
      </c>
      <c r="F364" t="s">
        <v>69</v>
      </c>
      <c r="G364">
        <v>114000</v>
      </c>
      <c r="H364">
        <v>95000</v>
      </c>
      <c r="I364">
        <v>180000</v>
      </c>
      <c r="J364" t="s">
        <v>142</v>
      </c>
      <c r="K364" t="s">
        <v>143</v>
      </c>
      <c r="L364" t="s">
        <v>44</v>
      </c>
      <c r="M364" t="s">
        <v>61</v>
      </c>
      <c r="N364" t="s">
        <v>88</v>
      </c>
      <c r="O364" t="s">
        <v>856</v>
      </c>
      <c r="P364">
        <v>15.4</v>
      </c>
      <c r="Q364">
        <v>78</v>
      </c>
      <c r="R364">
        <v>16.3</v>
      </c>
      <c r="S364">
        <v>9.6999999999999993</v>
      </c>
      <c r="T364">
        <v>2026</v>
      </c>
      <c r="U364">
        <v>3</v>
      </c>
      <c r="V364">
        <v>1</v>
      </c>
      <c r="W364" t="s">
        <v>47</v>
      </c>
      <c r="X364" t="s">
        <v>64</v>
      </c>
      <c r="Y364" t="s">
        <v>95</v>
      </c>
    </row>
    <row r="365" spans="1:25" x14ac:dyDescent="0.35">
      <c r="A365" t="s">
        <v>857</v>
      </c>
      <c r="B365" t="s">
        <v>153</v>
      </c>
      <c r="C365" t="s">
        <v>154</v>
      </c>
      <c r="D365" t="s">
        <v>81</v>
      </c>
      <c r="E365">
        <v>7</v>
      </c>
      <c r="F365" t="s">
        <v>128</v>
      </c>
      <c r="G365">
        <v>147000</v>
      </c>
      <c r="H365">
        <v>95000</v>
      </c>
      <c r="I365">
        <v>180000</v>
      </c>
      <c r="J365" t="s">
        <v>102</v>
      </c>
      <c r="K365" t="s">
        <v>103</v>
      </c>
      <c r="L365" t="s">
        <v>44</v>
      </c>
      <c r="M365" t="s">
        <v>54</v>
      </c>
      <c r="N365" t="s">
        <v>155</v>
      </c>
      <c r="O365" t="s">
        <v>858</v>
      </c>
      <c r="P365">
        <v>16.2</v>
      </c>
      <c r="Q365">
        <v>78</v>
      </c>
      <c r="R365">
        <v>14</v>
      </c>
      <c r="S365">
        <v>6.4</v>
      </c>
      <c r="T365">
        <v>2026</v>
      </c>
      <c r="U365">
        <v>2</v>
      </c>
      <c r="V365">
        <v>0</v>
      </c>
      <c r="W365" t="s">
        <v>47</v>
      </c>
      <c r="X365" t="s">
        <v>64</v>
      </c>
      <c r="Y365" t="s">
        <v>95</v>
      </c>
    </row>
    <row r="366" spans="1:25" x14ac:dyDescent="0.35">
      <c r="A366" t="s">
        <v>859</v>
      </c>
      <c r="B366" t="s">
        <v>86</v>
      </c>
      <c r="C366" t="s">
        <v>27</v>
      </c>
      <c r="D366" t="s">
        <v>68</v>
      </c>
      <c r="E366">
        <v>12</v>
      </c>
      <c r="F366" t="s">
        <v>29</v>
      </c>
      <c r="G366">
        <v>360000</v>
      </c>
      <c r="H366">
        <v>180000</v>
      </c>
      <c r="I366">
        <v>312000</v>
      </c>
      <c r="J366" t="s">
        <v>52</v>
      </c>
      <c r="K366" t="s">
        <v>31</v>
      </c>
      <c r="L366" t="s">
        <v>44</v>
      </c>
      <c r="M366" t="s">
        <v>33</v>
      </c>
      <c r="N366" t="s">
        <v>110</v>
      </c>
      <c r="O366" t="s">
        <v>860</v>
      </c>
      <c r="P366">
        <v>14.4</v>
      </c>
      <c r="Q366">
        <v>96</v>
      </c>
      <c r="R366">
        <v>87.7</v>
      </c>
      <c r="S366">
        <v>8.6</v>
      </c>
      <c r="T366">
        <v>2026</v>
      </c>
      <c r="U366">
        <v>3</v>
      </c>
      <c r="V366">
        <v>1</v>
      </c>
      <c r="W366" t="s">
        <v>47</v>
      </c>
      <c r="X366" t="s">
        <v>64</v>
      </c>
      <c r="Y366" t="s">
        <v>56</v>
      </c>
    </row>
    <row r="367" spans="1:25" x14ac:dyDescent="0.35">
      <c r="A367" t="s">
        <v>861</v>
      </c>
      <c r="B367" t="s">
        <v>40</v>
      </c>
      <c r="C367" t="s">
        <v>27</v>
      </c>
      <c r="D367" t="s">
        <v>81</v>
      </c>
      <c r="E367">
        <v>2</v>
      </c>
      <c r="F367" t="s">
        <v>69</v>
      </c>
      <c r="G367">
        <v>116000</v>
      </c>
      <c r="H367">
        <v>90000</v>
      </c>
      <c r="I367">
        <v>200000</v>
      </c>
      <c r="J367" t="s">
        <v>75</v>
      </c>
      <c r="K367" t="s">
        <v>31</v>
      </c>
      <c r="L367" t="s">
        <v>44</v>
      </c>
      <c r="M367" t="s">
        <v>61</v>
      </c>
      <c r="N367" t="s">
        <v>155</v>
      </c>
      <c r="O367" t="s">
        <v>862</v>
      </c>
      <c r="P367">
        <v>9.6999999999999993</v>
      </c>
      <c r="Q367">
        <v>82</v>
      </c>
      <c r="R367">
        <v>20</v>
      </c>
      <c r="S367">
        <v>7.6</v>
      </c>
      <c r="T367">
        <v>2025</v>
      </c>
      <c r="U367">
        <v>10</v>
      </c>
      <c r="V367">
        <v>0</v>
      </c>
      <c r="W367" t="s">
        <v>47</v>
      </c>
      <c r="X367" t="s">
        <v>37</v>
      </c>
      <c r="Y367" t="s">
        <v>95</v>
      </c>
    </row>
    <row r="368" spans="1:25" x14ac:dyDescent="0.35">
      <c r="A368" t="s">
        <v>863</v>
      </c>
      <c r="B368" t="s">
        <v>149</v>
      </c>
      <c r="C368" t="s">
        <v>150</v>
      </c>
      <c r="D368" t="s">
        <v>81</v>
      </c>
      <c r="E368">
        <v>5</v>
      </c>
      <c r="F368" t="s">
        <v>41</v>
      </c>
      <c r="G368">
        <v>261000</v>
      </c>
      <c r="H368">
        <v>130000</v>
      </c>
      <c r="I368">
        <v>260000</v>
      </c>
      <c r="J368" t="s">
        <v>296</v>
      </c>
      <c r="K368" t="s">
        <v>31</v>
      </c>
      <c r="L368" t="s">
        <v>32</v>
      </c>
      <c r="M368" t="s">
        <v>54</v>
      </c>
      <c r="N368" t="s">
        <v>110</v>
      </c>
      <c r="O368" t="s">
        <v>864</v>
      </c>
      <c r="P368">
        <v>16.2</v>
      </c>
      <c r="Q368">
        <v>93</v>
      </c>
      <c r="R368">
        <v>50.7</v>
      </c>
      <c r="S368">
        <v>6.5</v>
      </c>
      <c r="T368">
        <v>2025</v>
      </c>
      <c r="U368">
        <v>1</v>
      </c>
      <c r="V368">
        <v>0</v>
      </c>
      <c r="W368" t="s">
        <v>36</v>
      </c>
      <c r="X368" t="s">
        <v>64</v>
      </c>
      <c r="Y368" t="s">
        <v>38</v>
      </c>
    </row>
    <row r="369" spans="1:25" x14ac:dyDescent="0.35">
      <c r="A369" t="s">
        <v>865</v>
      </c>
      <c r="B369" t="s">
        <v>40</v>
      </c>
      <c r="C369" t="s">
        <v>27</v>
      </c>
      <c r="D369" t="s">
        <v>28</v>
      </c>
      <c r="E369">
        <v>3</v>
      </c>
      <c r="F369" t="s">
        <v>51</v>
      </c>
      <c r="G369">
        <v>206000</v>
      </c>
      <c r="H369">
        <v>90000</v>
      </c>
      <c r="I369">
        <v>200000</v>
      </c>
      <c r="J369" t="s">
        <v>47</v>
      </c>
      <c r="K369" t="s">
        <v>87</v>
      </c>
      <c r="L369" t="s">
        <v>53</v>
      </c>
      <c r="M369" t="s">
        <v>54</v>
      </c>
      <c r="N369" t="s">
        <v>34</v>
      </c>
      <c r="O369" t="s">
        <v>866</v>
      </c>
      <c r="P369">
        <v>7.7</v>
      </c>
      <c r="Q369">
        <v>82</v>
      </c>
      <c r="R369">
        <v>15.2</v>
      </c>
      <c r="S369">
        <v>6.9</v>
      </c>
      <c r="T369">
        <v>2025</v>
      </c>
      <c r="U369">
        <v>9</v>
      </c>
      <c r="V369">
        <v>1</v>
      </c>
      <c r="W369" t="s">
        <v>47</v>
      </c>
      <c r="X369" t="s">
        <v>37</v>
      </c>
      <c r="Y369" t="s">
        <v>38</v>
      </c>
    </row>
    <row r="370" spans="1:25" x14ac:dyDescent="0.35">
      <c r="A370" t="s">
        <v>867</v>
      </c>
      <c r="B370" t="s">
        <v>127</v>
      </c>
      <c r="C370" t="s">
        <v>27</v>
      </c>
      <c r="D370" t="s">
        <v>74</v>
      </c>
      <c r="E370">
        <v>7</v>
      </c>
      <c r="F370" t="s">
        <v>29</v>
      </c>
      <c r="G370">
        <v>147000</v>
      </c>
      <c r="H370">
        <v>120000</v>
      </c>
      <c r="I370">
        <v>280000</v>
      </c>
      <c r="J370" t="s">
        <v>170</v>
      </c>
      <c r="K370" t="s">
        <v>171</v>
      </c>
      <c r="L370" t="s">
        <v>44</v>
      </c>
      <c r="M370" t="s">
        <v>82</v>
      </c>
      <c r="N370" t="s">
        <v>155</v>
      </c>
      <c r="O370" t="s">
        <v>868</v>
      </c>
      <c r="P370">
        <v>8.5</v>
      </c>
      <c r="Q370">
        <v>97</v>
      </c>
      <c r="R370">
        <v>56.6</v>
      </c>
      <c r="S370">
        <v>6.7</v>
      </c>
      <c r="T370">
        <v>2026</v>
      </c>
      <c r="U370">
        <v>1</v>
      </c>
      <c r="V370">
        <v>0</v>
      </c>
      <c r="W370" t="s">
        <v>47</v>
      </c>
      <c r="X370" t="s">
        <v>64</v>
      </c>
      <c r="Y370" t="s">
        <v>95</v>
      </c>
    </row>
    <row r="371" spans="1:25" x14ac:dyDescent="0.35">
      <c r="A371" t="s">
        <v>869</v>
      </c>
      <c r="B371" t="s">
        <v>203</v>
      </c>
      <c r="C371" t="s">
        <v>169</v>
      </c>
      <c r="D371" t="s">
        <v>74</v>
      </c>
      <c r="E371">
        <v>3</v>
      </c>
      <c r="F371" t="s">
        <v>128</v>
      </c>
      <c r="G371">
        <v>138000</v>
      </c>
      <c r="H371">
        <v>138000</v>
      </c>
      <c r="I371">
        <v>195000</v>
      </c>
      <c r="J371" t="s">
        <v>102</v>
      </c>
      <c r="K371" t="s">
        <v>103</v>
      </c>
      <c r="L371" t="s">
        <v>32</v>
      </c>
      <c r="M371" t="s">
        <v>61</v>
      </c>
      <c r="N371" t="s">
        <v>76</v>
      </c>
      <c r="O371" t="s">
        <v>870</v>
      </c>
      <c r="P371">
        <v>3.2</v>
      </c>
      <c r="Q371">
        <v>92</v>
      </c>
      <c r="R371">
        <v>53.5</v>
      </c>
      <c r="S371">
        <v>7.5</v>
      </c>
      <c r="T371">
        <v>2025</v>
      </c>
      <c r="U371">
        <v>2</v>
      </c>
      <c r="V371">
        <v>0</v>
      </c>
      <c r="W371" t="s">
        <v>36</v>
      </c>
      <c r="X371" t="s">
        <v>64</v>
      </c>
      <c r="Y371" t="s">
        <v>95</v>
      </c>
    </row>
    <row r="372" spans="1:25" x14ac:dyDescent="0.35">
      <c r="A372" t="s">
        <v>871</v>
      </c>
      <c r="B372" t="s">
        <v>163</v>
      </c>
      <c r="C372" t="s">
        <v>164</v>
      </c>
      <c r="D372" t="s">
        <v>81</v>
      </c>
      <c r="E372">
        <v>4</v>
      </c>
      <c r="F372" t="s">
        <v>29</v>
      </c>
      <c r="G372">
        <v>160000</v>
      </c>
      <c r="H372">
        <v>125000</v>
      </c>
      <c r="I372">
        <v>240000</v>
      </c>
      <c r="J372" t="s">
        <v>75</v>
      </c>
      <c r="K372" t="s">
        <v>31</v>
      </c>
      <c r="L372" t="s">
        <v>32</v>
      </c>
      <c r="M372" t="s">
        <v>82</v>
      </c>
      <c r="N372" t="s">
        <v>124</v>
      </c>
      <c r="O372" t="s">
        <v>872</v>
      </c>
      <c r="P372">
        <v>11.9</v>
      </c>
      <c r="Q372">
        <v>76</v>
      </c>
      <c r="R372">
        <v>13</v>
      </c>
      <c r="S372">
        <v>7.6</v>
      </c>
      <c r="T372">
        <v>2025</v>
      </c>
      <c r="U372">
        <v>7</v>
      </c>
      <c r="V372">
        <v>0</v>
      </c>
      <c r="W372" t="s">
        <v>36</v>
      </c>
      <c r="X372" t="s">
        <v>64</v>
      </c>
      <c r="Y372" t="s">
        <v>48</v>
      </c>
    </row>
    <row r="373" spans="1:25" x14ac:dyDescent="0.35">
      <c r="A373" t="s">
        <v>873</v>
      </c>
      <c r="B373" t="s">
        <v>203</v>
      </c>
      <c r="C373" t="s">
        <v>169</v>
      </c>
      <c r="D373" t="s">
        <v>81</v>
      </c>
      <c r="E373">
        <v>5</v>
      </c>
      <c r="F373" t="s">
        <v>51</v>
      </c>
      <c r="G373">
        <v>145000</v>
      </c>
      <c r="H373">
        <v>138000</v>
      </c>
      <c r="I373">
        <v>195000</v>
      </c>
      <c r="J373" t="s">
        <v>296</v>
      </c>
      <c r="K373" t="s">
        <v>31</v>
      </c>
      <c r="L373" t="s">
        <v>44</v>
      </c>
      <c r="M373" t="s">
        <v>61</v>
      </c>
      <c r="N373" t="s">
        <v>62</v>
      </c>
      <c r="O373" t="s">
        <v>874</v>
      </c>
      <c r="P373">
        <v>4.5999999999999996</v>
      </c>
      <c r="Q373">
        <v>92</v>
      </c>
      <c r="R373">
        <v>79.7</v>
      </c>
      <c r="S373">
        <v>7</v>
      </c>
      <c r="T373">
        <v>2026</v>
      </c>
      <c r="U373">
        <v>3</v>
      </c>
      <c r="V373">
        <v>0</v>
      </c>
      <c r="W373" t="s">
        <v>47</v>
      </c>
      <c r="X373" t="s">
        <v>64</v>
      </c>
      <c r="Y373" t="s">
        <v>95</v>
      </c>
    </row>
    <row r="374" spans="1:25" x14ac:dyDescent="0.35">
      <c r="A374" t="s">
        <v>875</v>
      </c>
      <c r="B374" t="s">
        <v>203</v>
      </c>
      <c r="C374" t="s">
        <v>169</v>
      </c>
      <c r="D374" t="s">
        <v>81</v>
      </c>
      <c r="E374">
        <v>5</v>
      </c>
      <c r="F374" t="s">
        <v>128</v>
      </c>
      <c r="G374">
        <v>201000</v>
      </c>
      <c r="H374">
        <v>138000</v>
      </c>
      <c r="I374">
        <v>195000</v>
      </c>
      <c r="J374" t="s">
        <v>42</v>
      </c>
      <c r="K374" t="s">
        <v>43</v>
      </c>
      <c r="L374" t="s">
        <v>53</v>
      </c>
      <c r="M374" t="s">
        <v>54</v>
      </c>
      <c r="N374" t="s">
        <v>155</v>
      </c>
      <c r="O374" t="s">
        <v>876</v>
      </c>
      <c r="P374">
        <v>8.5</v>
      </c>
      <c r="Q374">
        <v>92</v>
      </c>
      <c r="R374">
        <v>54.2</v>
      </c>
      <c r="S374">
        <v>7.6</v>
      </c>
      <c r="T374">
        <v>2026</v>
      </c>
      <c r="U374">
        <v>2</v>
      </c>
      <c r="V374">
        <v>0</v>
      </c>
      <c r="W374" t="s">
        <v>47</v>
      </c>
      <c r="X374" t="s">
        <v>64</v>
      </c>
      <c r="Y374" t="s">
        <v>38</v>
      </c>
    </row>
    <row r="375" spans="1:25" x14ac:dyDescent="0.35">
      <c r="A375" t="s">
        <v>877</v>
      </c>
      <c r="B375" t="s">
        <v>127</v>
      </c>
      <c r="C375" t="s">
        <v>27</v>
      </c>
      <c r="D375" t="s">
        <v>28</v>
      </c>
      <c r="E375">
        <v>10</v>
      </c>
      <c r="F375" t="s">
        <v>29</v>
      </c>
      <c r="G375">
        <v>317000</v>
      </c>
      <c r="H375">
        <v>120000</v>
      </c>
      <c r="I375">
        <v>280000</v>
      </c>
      <c r="J375" t="s">
        <v>174</v>
      </c>
      <c r="K375" t="s">
        <v>31</v>
      </c>
      <c r="L375" t="s">
        <v>53</v>
      </c>
      <c r="M375" t="s">
        <v>45</v>
      </c>
      <c r="N375" t="s">
        <v>131</v>
      </c>
      <c r="O375" t="s">
        <v>878</v>
      </c>
      <c r="P375">
        <v>13.6</v>
      </c>
      <c r="Q375">
        <v>97</v>
      </c>
      <c r="R375">
        <v>36.9</v>
      </c>
      <c r="S375">
        <v>7.5</v>
      </c>
      <c r="T375">
        <v>2025</v>
      </c>
      <c r="U375">
        <v>3</v>
      </c>
      <c r="V375">
        <v>1</v>
      </c>
      <c r="W375" t="s">
        <v>47</v>
      </c>
      <c r="X375" t="s">
        <v>64</v>
      </c>
      <c r="Y375" t="s">
        <v>56</v>
      </c>
    </row>
    <row r="376" spans="1:25" x14ac:dyDescent="0.35">
      <c r="A376" t="s">
        <v>879</v>
      </c>
      <c r="B376" t="s">
        <v>134</v>
      </c>
      <c r="C376" t="s">
        <v>27</v>
      </c>
      <c r="D376" t="s">
        <v>68</v>
      </c>
      <c r="E376">
        <v>8</v>
      </c>
      <c r="F376" t="s">
        <v>29</v>
      </c>
      <c r="G376">
        <v>271000</v>
      </c>
      <c r="H376">
        <v>150000</v>
      </c>
      <c r="I376">
        <v>295000</v>
      </c>
      <c r="J376" t="s">
        <v>102</v>
      </c>
      <c r="K376" t="s">
        <v>103</v>
      </c>
      <c r="L376" t="s">
        <v>32</v>
      </c>
      <c r="M376" t="s">
        <v>82</v>
      </c>
      <c r="N376" t="s">
        <v>83</v>
      </c>
      <c r="O376" t="s">
        <v>880</v>
      </c>
      <c r="P376">
        <v>17.600000000000001</v>
      </c>
      <c r="Q376">
        <v>95</v>
      </c>
      <c r="R376">
        <v>39</v>
      </c>
      <c r="S376">
        <v>9.5</v>
      </c>
      <c r="T376">
        <v>2025</v>
      </c>
      <c r="U376">
        <v>1</v>
      </c>
      <c r="V376">
        <v>1</v>
      </c>
      <c r="W376" t="s">
        <v>36</v>
      </c>
      <c r="X376" t="s">
        <v>37</v>
      </c>
      <c r="Y376" t="s">
        <v>38</v>
      </c>
    </row>
    <row r="377" spans="1:25" x14ac:dyDescent="0.35">
      <c r="A377" t="s">
        <v>881</v>
      </c>
      <c r="B377" t="s">
        <v>158</v>
      </c>
      <c r="C377" t="s">
        <v>27</v>
      </c>
      <c r="D377" t="s">
        <v>74</v>
      </c>
      <c r="E377">
        <v>7</v>
      </c>
      <c r="F377" t="s">
        <v>29</v>
      </c>
      <c r="G377">
        <v>145000</v>
      </c>
      <c r="H377">
        <v>145000</v>
      </c>
      <c r="I377">
        <v>280000</v>
      </c>
      <c r="J377" t="s">
        <v>47</v>
      </c>
      <c r="K377" t="s">
        <v>87</v>
      </c>
      <c r="L377" t="s">
        <v>53</v>
      </c>
      <c r="M377" t="s">
        <v>33</v>
      </c>
      <c r="N377" t="s">
        <v>76</v>
      </c>
      <c r="O377" t="s">
        <v>882</v>
      </c>
      <c r="P377">
        <v>5.5</v>
      </c>
      <c r="Q377">
        <v>94</v>
      </c>
      <c r="R377">
        <v>27.9</v>
      </c>
      <c r="S377">
        <v>8.9</v>
      </c>
      <c r="T377">
        <v>2026</v>
      </c>
      <c r="U377">
        <v>1</v>
      </c>
      <c r="V377">
        <v>0</v>
      </c>
      <c r="W377" t="s">
        <v>47</v>
      </c>
      <c r="X377" t="s">
        <v>37</v>
      </c>
      <c r="Y377" t="s">
        <v>95</v>
      </c>
    </row>
    <row r="378" spans="1:25" x14ac:dyDescent="0.35">
      <c r="A378" t="s">
        <v>883</v>
      </c>
      <c r="B378" t="s">
        <v>203</v>
      </c>
      <c r="C378" t="s">
        <v>169</v>
      </c>
      <c r="D378" t="s">
        <v>81</v>
      </c>
      <c r="E378">
        <v>7</v>
      </c>
      <c r="F378" t="s">
        <v>69</v>
      </c>
      <c r="G378">
        <v>138000</v>
      </c>
      <c r="H378">
        <v>138000</v>
      </c>
      <c r="I378">
        <v>195000</v>
      </c>
      <c r="J378" t="s">
        <v>170</v>
      </c>
      <c r="K378" t="s">
        <v>171</v>
      </c>
      <c r="L378" t="s">
        <v>44</v>
      </c>
      <c r="M378" t="s">
        <v>82</v>
      </c>
      <c r="N378" t="s">
        <v>119</v>
      </c>
      <c r="O378" t="s">
        <v>884</v>
      </c>
      <c r="P378">
        <v>8</v>
      </c>
      <c r="Q378">
        <v>92</v>
      </c>
      <c r="R378">
        <v>32.1</v>
      </c>
      <c r="S378">
        <v>7.9</v>
      </c>
      <c r="T378">
        <v>2025</v>
      </c>
      <c r="U378">
        <v>5</v>
      </c>
      <c r="V378">
        <v>0</v>
      </c>
      <c r="W378" t="s">
        <v>47</v>
      </c>
      <c r="X378" t="s">
        <v>64</v>
      </c>
      <c r="Y378" t="s">
        <v>95</v>
      </c>
    </row>
    <row r="379" spans="1:25" x14ac:dyDescent="0.35">
      <c r="A379" t="s">
        <v>885</v>
      </c>
      <c r="B379" t="s">
        <v>179</v>
      </c>
      <c r="C379" t="s">
        <v>180</v>
      </c>
      <c r="D379" t="s">
        <v>74</v>
      </c>
      <c r="E379">
        <v>10</v>
      </c>
      <c r="F379" t="s">
        <v>29</v>
      </c>
      <c r="G379">
        <v>110000</v>
      </c>
      <c r="H379">
        <v>110000</v>
      </c>
      <c r="I379">
        <v>210000</v>
      </c>
      <c r="J379" t="s">
        <v>108</v>
      </c>
      <c r="K379" t="s">
        <v>109</v>
      </c>
      <c r="L379" t="s">
        <v>32</v>
      </c>
      <c r="M379" t="s">
        <v>61</v>
      </c>
      <c r="N379" t="s">
        <v>165</v>
      </c>
      <c r="O379" t="s">
        <v>886</v>
      </c>
      <c r="P379">
        <v>8.6999999999999993</v>
      </c>
      <c r="Q379">
        <v>72</v>
      </c>
      <c r="R379">
        <v>11.5</v>
      </c>
      <c r="S379">
        <v>8.1999999999999993</v>
      </c>
      <c r="T379">
        <v>2025</v>
      </c>
      <c r="U379">
        <v>9</v>
      </c>
      <c r="V379">
        <v>0</v>
      </c>
      <c r="W379" t="s">
        <v>36</v>
      </c>
      <c r="X379" t="s">
        <v>64</v>
      </c>
      <c r="Y379" t="s">
        <v>95</v>
      </c>
    </row>
    <row r="380" spans="1:25" x14ac:dyDescent="0.35">
      <c r="A380" t="s">
        <v>887</v>
      </c>
      <c r="B380" t="s">
        <v>134</v>
      </c>
      <c r="C380" t="s">
        <v>27</v>
      </c>
      <c r="D380" t="s">
        <v>74</v>
      </c>
      <c r="E380">
        <v>7</v>
      </c>
      <c r="F380" t="s">
        <v>51</v>
      </c>
      <c r="G380">
        <v>150000</v>
      </c>
      <c r="H380">
        <v>150000</v>
      </c>
      <c r="I380">
        <v>295000</v>
      </c>
      <c r="J380" t="s">
        <v>142</v>
      </c>
      <c r="K380" t="s">
        <v>143</v>
      </c>
      <c r="L380" t="s">
        <v>44</v>
      </c>
      <c r="M380" t="s">
        <v>61</v>
      </c>
      <c r="N380" t="s">
        <v>88</v>
      </c>
      <c r="O380" t="s">
        <v>888</v>
      </c>
      <c r="P380">
        <v>13.2</v>
      </c>
      <c r="Q380">
        <v>95</v>
      </c>
      <c r="R380">
        <v>18.2</v>
      </c>
      <c r="S380">
        <v>8.6999999999999993</v>
      </c>
      <c r="T380">
        <v>2025</v>
      </c>
      <c r="U380">
        <v>7</v>
      </c>
      <c r="V380">
        <v>0</v>
      </c>
      <c r="W380" t="s">
        <v>47</v>
      </c>
      <c r="X380" t="s">
        <v>37</v>
      </c>
      <c r="Y380" t="s">
        <v>95</v>
      </c>
    </row>
    <row r="381" spans="1:25" x14ac:dyDescent="0.35">
      <c r="A381" t="s">
        <v>889</v>
      </c>
      <c r="B381" t="s">
        <v>163</v>
      </c>
      <c r="C381" t="s">
        <v>164</v>
      </c>
      <c r="D381" t="s">
        <v>74</v>
      </c>
      <c r="E381">
        <v>4</v>
      </c>
      <c r="F381" t="s">
        <v>69</v>
      </c>
      <c r="G381">
        <v>125000</v>
      </c>
      <c r="H381">
        <v>125000</v>
      </c>
      <c r="I381">
        <v>240000</v>
      </c>
      <c r="J381" t="s">
        <v>170</v>
      </c>
      <c r="K381" t="s">
        <v>171</v>
      </c>
      <c r="L381" t="s">
        <v>32</v>
      </c>
      <c r="M381" t="s">
        <v>82</v>
      </c>
      <c r="N381" t="s">
        <v>71</v>
      </c>
      <c r="O381" t="s">
        <v>890</v>
      </c>
      <c r="P381">
        <v>11.1</v>
      </c>
      <c r="Q381">
        <v>76</v>
      </c>
      <c r="R381">
        <v>20.6</v>
      </c>
      <c r="S381">
        <v>6.4</v>
      </c>
      <c r="T381">
        <v>2026</v>
      </c>
      <c r="U381">
        <v>1</v>
      </c>
      <c r="V381">
        <v>0</v>
      </c>
      <c r="W381" t="s">
        <v>36</v>
      </c>
      <c r="X381" t="s">
        <v>64</v>
      </c>
      <c r="Y381" t="s">
        <v>95</v>
      </c>
    </row>
    <row r="382" spans="1:25" x14ac:dyDescent="0.35">
      <c r="A382" t="s">
        <v>891</v>
      </c>
      <c r="B382" t="s">
        <v>153</v>
      </c>
      <c r="C382" t="s">
        <v>154</v>
      </c>
      <c r="D382" t="s">
        <v>81</v>
      </c>
      <c r="E382">
        <v>4</v>
      </c>
      <c r="F382" t="s">
        <v>41</v>
      </c>
      <c r="G382">
        <v>99000</v>
      </c>
      <c r="H382">
        <v>95000</v>
      </c>
      <c r="I382">
        <v>180000</v>
      </c>
      <c r="J382" t="s">
        <v>113</v>
      </c>
      <c r="K382" t="s">
        <v>114</v>
      </c>
      <c r="L382" t="s">
        <v>44</v>
      </c>
      <c r="M382" t="s">
        <v>82</v>
      </c>
      <c r="N382" t="s">
        <v>119</v>
      </c>
      <c r="O382" t="s">
        <v>892</v>
      </c>
      <c r="P382">
        <v>9.1999999999999993</v>
      </c>
      <c r="Q382">
        <v>78</v>
      </c>
      <c r="R382">
        <v>29.4</v>
      </c>
      <c r="S382">
        <v>9.5</v>
      </c>
      <c r="T382">
        <v>2025</v>
      </c>
      <c r="U382">
        <v>12</v>
      </c>
      <c r="V382">
        <v>0</v>
      </c>
      <c r="W382" t="s">
        <v>47</v>
      </c>
      <c r="X382" t="s">
        <v>64</v>
      </c>
      <c r="Y382" t="s">
        <v>98</v>
      </c>
    </row>
    <row r="383" spans="1:25" x14ac:dyDescent="0.35">
      <c r="A383" t="s">
        <v>893</v>
      </c>
      <c r="B383" t="s">
        <v>86</v>
      </c>
      <c r="C383" t="s">
        <v>27</v>
      </c>
      <c r="D383" t="s">
        <v>68</v>
      </c>
      <c r="E383">
        <v>11</v>
      </c>
      <c r="F383" t="s">
        <v>41</v>
      </c>
      <c r="G383">
        <v>292000</v>
      </c>
      <c r="H383">
        <v>180000</v>
      </c>
      <c r="I383">
        <v>312000</v>
      </c>
      <c r="J383" t="s">
        <v>191</v>
      </c>
      <c r="K383" t="s">
        <v>31</v>
      </c>
      <c r="L383" t="s">
        <v>44</v>
      </c>
      <c r="M383" t="s">
        <v>33</v>
      </c>
      <c r="N383" t="s">
        <v>34</v>
      </c>
      <c r="O383" t="s">
        <v>894</v>
      </c>
      <c r="P383">
        <v>12.1</v>
      </c>
      <c r="Q383">
        <v>96</v>
      </c>
      <c r="R383">
        <v>78.099999999999994</v>
      </c>
      <c r="S383">
        <v>9</v>
      </c>
      <c r="T383">
        <v>2026</v>
      </c>
      <c r="U383">
        <v>2</v>
      </c>
      <c r="V383">
        <v>1</v>
      </c>
      <c r="W383" t="s">
        <v>47</v>
      </c>
      <c r="X383" t="s">
        <v>64</v>
      </c>
      <c r="Y383" t="s">
        <v>38</v>
      </c>
    </row>
    <row r="384" spans="1:25" x14ac:dyDescent="0.35">
      <c r="A384" t="s">
        <v>895</v>
      </c>
      <c r="B384" t="s">
        <v>50</v>
      </c>
      <c r="C384" t="s">
        <v>27</v>
      </c>
      <c r="D384" t="s">
        <v>74</v>
      </c>
      <c r="E384">
        <v>7</v>
      </c>
      <c r="F384" t="s">
        <v>128</v>
      </c>
      <c r="G384">
        <v>201000</v>
      </c>
      <c r="H384">
        <v>160000</v>
      </c>
      <c r="I384">
        <v>300000</v>
      </c>
      <c r="J384" t="s">
        <v>170</v>
      </c>
      <c r="K384" t="s">
        <v>171</v>
      </c>
      <c r="L384" t="s">
        <v>44</v>
      </c>
      <c r="M384" t="s">
        <v>45</v>
      </c>
      <c r="N384" t="s">
        <v>62</v>
      </c>
      <c r="O384" t="s">
        <v>896</v>
      </c>
      <c r="P384">
        <v>3.5</v>
      </c>
      <c r="Q384">
        <v>98</v>
      </c>
      <c r="R384">
        <v>72.599999999999994</v>
      </c>
      <c r="S384">
        <v>6.7</v>
      </c>
      <c r="T384">
        <v>2026</v>
      </c>
      <c r="U384">
        <v>3</v>
      </c>
      <c r="V384">
        <v>0</v>
      </c>
      <c r="W384" t="s">
        <v>47</v>
      </c>
      <c r="X384" t="s">
        <v>37</v>
      </c>
      <c r="Y384" t="s">
        <v>38</v>
      </c>
    </row>
    <row r="385" spans="1:25" x14ac:dyDescent="0.35">
      <c r="A385" t="s">
        <v>897</v>
      </c>
      <c r="B385" t="s">
        <v>79</v>
      </c>
      <c r="C385" t="s">
        <v>80</v>
      </c>
      <c r="D385" t="s">
        <v>68</v>
      </c>
      <c r="E385">
        <v>10</v>
      </c>
      <c r="F385" t="s">
        <v>69</v>
      </c>
      <c r="G385">
        <v>201000</v>
      </c>
      <c r="H385">
        <v>140000</v>
      </c>
      <c r="I385">
        <v>260000</v>
      </c>
      <c r="J385" t="s">
        <v>142</v>
      </c>
      <c r="K385" t="s">
        <v>143</v>
      </c>
      <c r="L385" t="s">
        <v>44</v>
      </c>
      <c r="M385" t="s">
        <v>82</v>
      </c>
      <c r="N385" t="s">
        <v>110</v>
      </c>
      <c r="O385" t="s">
        <v>898</v>
      </c>
      <c r="P385">
        <v>13.1</v>
      </c>
      <c r="Q385">
        <v>80</v>
      </c>
      <c r="R385">
        <v>21.3</v>
      </c>
      <c r="S385">
        <v>7.4</v>
      </c>
      <c r="T385">
        <v>2026</v>
      </c>
      <c r="U385">
        <v>3</v>
      </c>
      <c r="V385">
        <v>1</v>
      </c>
      <c r="W385" t="s">
        <v>47</v>
      </c>
      <c r="X385" t="s">
        <v>64</v>
      </c>
      <c r="Y385" t="s">
        <v>38</v>
      </c>
    </row>
    <row r="386" spans="1:25" x14ac:dyDescent="0.35">
      <c r="A386" t="s">
        <v>899</v>
      </c>
      <c r="B386" t="s">
        <v>233</v>
      </c>
      <c r="C386" t="s">
        <v>180</v>
      </c>
      <c r="D386" t="s">
        <v>68</v>
      </c>
      <c r="E386">
        <v>7</v>
      </c>
      <c r="F386" t="s">
        <v>128</v>
      </c>
      <c r="G386">
        <v>240000</v>
      </c>
      <c r="H386">
        <v>100000</v>
      </c>
      <c r="I386">
        <v>200000</v>
      </c>
      <c r="J386" t="s">
        <v>191</v>
      </c>
      <c r="K386" t="s">
        <v>31</v>
      </c>
      <c r="L386" t="s">
        <v>32</v>
      </c>
      <c r="M386" t="s">
        <v>61</v>
      </c>
      <c r="N386" t="s">
        <v>83</v>
      </c>
      <c r="O386" t="s">
        <v>900</v>
      </c>
      <c r="P386">
        <v>10</v>
      </c>
      <c r="Q386">
        <v>68</v>
      </c>
      <c r="R386">
        <v>27.7</v>
      </c>
      <c r="S386">
        <v>9</v>
      </c>
      <c r="T386">
        <v>2025</v>
      </c>
      <c r="U386">
        <v>11</v>
      </c>
      <c r="V386">
        <v>1</v>
      </c>
      <c r="W386" t="s">
        <v>36</v>
      </c>
      <c r="X386" t="s">
        <v>64</v>
      </c>
      <c r="Y386" t="s">
        <v>38</v>
      </c>
    </row>
    <row r="387" spans="1:25" x14ac:dyDescent="0.35">
      <c r="A387" t="s">
        <v>901</v>
      </c>
      <c r="B387" t="s">
        <v>179</v>
      </c>
      <c r="C387" t="s">
        <v>180</v>
      </c>
      <c r="D387" t="s">
        <v>28</v>
      </c>
      <c r="E387">
        <v>9</v>
      </c>
      <c r="F387" t="s">
        <v>51</v>
      </c>
      <c r="G387">
        <v>204000</v>
      </c>
      <c r="H387">
        <v>110000</v>
      </c>
      <c r="I387">
        <v>210000</v>
      </c>
      <c r="J387" t="s">
        <v>170</v>
      </c>
      <c r="K387" t="s">
        <v>171</v>
      </c>
      <c r="L387" t="s">
        <v>53</v>
      </c>
      <c r="M387" t="s">
        <v>54</v>
      </c>
      <c r="N387" t="s">
        <v>71</v>
      </c>
      <c r="O387" t="s">
        <v>902</v>
      </c>
      <c r="P387">
        <v>14.4</v>
      </c>
      <c r="Q387">
        <v>72</v>
      </c>
      <c r="R387">
        <v>22.3</v>
      </c>
      <c r="S387">
        <v>7.8</v>
      </c>
      <c r="T387">
        <v>2025</v>
      </c>
      <c r="U387">
        <v>8</v>
      </c>
      <c r="V387">
        <v>1</v>
      </c>
      <c r="W387" t="s">
        <v>47</v>
      </c>
      <c r="X387" t="s">
        <v>64</v>
      </c>
      <c r="Y387" t="s">
        <v>38</v>
      </c>
    </row>
    <row r="388" spans="1:25" x14ac:dyDescent="0.35">
      <c r="A388" t="s">
        <v>903</v>
      </c>
      <c r="B388" t="s">
        <v>134</v>
      </c>
      <c r="C388" t="s">
        <v>27</v>
      </c>
      <c r="D388" t="s">
        <v>81</v>
      </c>
      <c r="E388">
        <v>2</v>
      </c>
      <c r="F388" t="s">
        <v>69</v>
      </c>
      <c r="G388">
        <v>150000</v>
      </c>
      <c r="H388">
        <v>150000</v>
      </c>
      <c r="I388">
        <v>295000</v>
      </c>
      <c r="J388" t="s">
        <v>113</v>
      </c>
      <c r="K388" t="s">
        <v>114</v>
      </c>
      <c r="L388" t="s">
        <v>32</v>
      </c>
      <c r="M388" t="s">
        <v>45</v>
      </c>
      <c r="N388" t="s">
        <v>88</v>
      </c>
      <c r="O388" t="s">
        <v>904</v>
      </c>
      <c r="P388">
        <v>13.9</v>
      </c>
      <c r="Q388">
        <v>95</v>
      </c>
      <c r="R388">
        <v>70.900000000000006</v>
      </c>
      <c r="S388">
        <v>6.2</v>
      </c>
      <c r="T388">
        <v>2025</v>
      </c>
      <c r="U388">
        <v>4</v>
      </c>
      <c r="V388">
        <v>0</v>
      </c>
      <c r="W388" t="s">
        <v>36</v>
      </c>
      <c r="X388" t="s">
        <v>37</v>
      </c>
      <c r="Y388" t="s">
        <v>95</v>
      </c>
    </row>
    <row r="389" spans="1:25" x14ac:dyDescent="0.35">
      <c r="A389" t="s">
        <v>905</v>
      </c>
      <c r="B389" t="s">
        <v>149</v>
      </c>
      <c r="C389" t="s">
        <v>150</v>
      </c>
      <c r="D389" t="s">
        <v>28</v>
      </c>
      <c r="E389">
        <v>7</v>
      </c>
      <c r="F389" t="s">
        <v>29</v>
      </c>
      <c r="G389">
        <v>203000</v>
      </c>
      <c r="H389">
        <v>130000</v>
      </c>
      <c r="I389">
        <v>260000</v>
      </c>
      <c r="J389" t="s">
        <v>75</v>
      </c>
      <c r="K389" t="s">
        <v>31</v>
      </c>
      <c r="L389" t="s">
        <v>32</v>
      </c>
      <c r="M389" t="s">
        <v>61</v>
      </c>
      <c r="N389" t="s">
        <v>119</v>
      </c>
      <c r="O389" t="s">
        <v>906</v>
      </c>
      <c r="P389">
        <v>14.5</v>
      </c>
      <c r="Q389">
        <v>93</v>
      </c>
      <c r="R389">
        <v>79.599999999999994</v>
      </c>
      <c r="S389">
        <v>7.3</v>
      </c>
      <c r="T389">
        <v>2025</v>
      </c>
      <c r="U389">
        <v>8</v>
      </c>
      <c r="V389">
        <v>1</v>
      </c>
      <c r="W389" t="s">
        <v>36</v>
      </c>
      <c r="X389" t="s">
        <v>64</v>
      </c>
      <c r="Y389" t="s">
        <v>38</v>
      </c>
    </row>
    <row r="390" spans="1:25" x14ac:dyDescent="0.35">
      <c r="A390" t="s">
        <v>907</v>
      </c>
      <c r="B390" t="s">
        <v>91</v>
      </c>
      <c r="C390" t="s">
        <v>27</v>
      </c>
      <c r="D390" t="s">
        <v>81</v>
      </c>
      <c r="E390">
        <v>9</v>
      </c>
      <c r="F390" t="s">
        <v>51</v>
      </c>
      <c r="G390">
        <v>167000</v>
      </c>
      <c r="H390">
        <v>145000</v>
      </c>
      <c r="I390">
        <v>290000</v>
      </c>
      <c r="J390" t="s">
        <v>60</v>
      </c>
      <c r="K390" t="s">
        <v>60</v>
      </c>
      <c r="L390" t="s">
        <v>44</v>
      </c>
      <c r="M390" t="s">
        <v>82</v>
      </c>
      <c r="N390" t="s">
        <v>155</v>
      </c>
      <c r="O390" t="s">
        <v>908</v>
      </c>
      <c r="P390">
        <v>5.6</v>
      </c>
      <c r="Q390">
        <v>91</v>
      </c>
      <c r="R390">
        <v>58.8</v>
      </c>
      <c r="S390">
        <v>9.6999999999999993</v>
      </c>
      <c r="T390">
        <v>2025</v>
      </c>
      <c r="U390">
        <v>1</v>
      </c>
      <c r="V390">
        <v>0</v>
      </c>
      <c r="W390" t="s">
        <v>47</v>
      </c>
      <c r="X390" t="s">
        <v>64</v>
      </c>
      <c r="Y390" t="s">
        <v>48</v>
      </c>
    </row>
    <row r="391" spans="1:25" x14ac:dyDescent="0.35">
      <c r="A391" t="s">
        <v>909</v>
      </c>
      <c r="B391" t="s">
        <v>233</v>
      </c>
      <c r="C391" t="s">
        <v>180</v>
      </c>
      <c r="D391" t="s">
        <v>81</v>
      </c>
      <c r="E391">
        <v>5</v>
      </c>
      <c r="F391" t="s">
        <v>51</v>
      </c>
      <c r="G391">
        <v>100000</v>
      </c>
      <c r="H391">
        <v>100000</v>
      </c>
      <c r="I391">
        <v>200000</v>
      </c>
      <c r="J391" t="s">
        <v>108</v>
      </c>
      <c r="K391" t="s">
        <v>109</v>
      </c>
      <c r="L391" t="s">
        <v>53</v>
      </c>
      <c r="M391" t="s">
        <v>54</v>
      </c>
      <c r="N391" t="s">
        <v>165</v>
      </c>
      <c r="O391" t="s">
        <v>910</v>
      </c>
      <c r="P391">
        <v>10.1</v>
      </c>
      <c r="Q391">
        <v>68</v>
      </c>
      <c r="R391">
        <v>7</v>
      </c>
      <c r="S391">
        <v>7.8</v>
      </c>
      <c r="T391">
        <v>2026</v>
      </c>
      <c r="U391">
        <v>1</v>
      </c>
      <c r="V391">
        <v>0</v>
      </c>
      <c r="W391" t="s">
        <v>47</v>
      </c>
      <c r="X391" t="s">
        <v>64</v>
      </c>
      <c r="Y391" t="s">
        <v>98</v>
      </c>
    </row>
    <row r="392" spans="1:25" x14ac:dyDescent="0.35">
      <c r="A392" t="s">
        <v>911</v>
      </c>
      <c r="B392" t="s">
        <v>609</v>
      </c>
      <c r="C392" t="s">
        <v>124</v>
      </c>
      <c r="D392" t="s">
        <v>28</v>
      </c>
      <c r="E392">
        <v>6</v>
      </c>
      <c r="F392" t="s">
        <v>69</v>
      </c>
      <c r="G392">
        <v>190000</v>
      </c>
      <c r="H392">
        <v>115000</v>
      </c>
      <c r="I392">
        <v>280000</v>
      </c>
      <c r="J392" t="s">
        <v>117</v>
      </c>
      <c r="K392" t="s">
        <v>118</v>
      </c>
      <c r="L392" t="s">
        <v>53</v>
      </c>
      <c r="M392" t="s">
        <v>45</v>
      </c>
      <c r="N392" t="s">
        <v>119</v>
      </c>
      <c r="O392" t="s">
        <v>912</v>
      </c>
      <c r="P392">
        <v>13.8</v>
      </c>
      <c r="Q392">
        <v>88</v>
      </c>
      <c r="R392">
        <v>5.9</v>
      </c>
      <c r="S392">
        <v>6.8</v>
      </c>
      <c r="T392">
        <v>2025</v>
      </c>
      <c r="U392">
        <v>4</v>
      </c>
      <c r="V392">
        <v>1</v>
      </c>
      <c r="W392" t="s">
        <v>47</v>
      </c>
      <c r="X392" t="s">
        <v>64</v>
      </c>
      <c r="Y392" t="s">
        <v>48</v>
      </c>
    </row>
    <row r="393" spans="1:25" x14ac:dyDescent="0.35">
      <c r="A393" t="s">
        <v>913</v>
      </c>
      <c r="B393" t="s">
        <v>50</v>
      </c>
      <c r="C393" t="s">
        <v>27</v>
      </c>
      <c r="D393" t="s">
        <v>68</v>
      </c>
      <c r="E393">
        <v>8</v>
      </c>
      <c r="F393" t="s">
        <v>69</v>
      </c>
      <c r="G393">
        <v>330000</v>
      </c>
      <c r="H393">
        <v>160000</v>
      </c>
      <c r="I393">
        <v>300000</v>
      </c>
      <c r="J393" t="s">
        <v>70</v>
      </c>
      <c r="K393" t="s">
        <v>31</v>
      </c>
      <c r="L393" t="s">
        <v>32</v>
      </c>
      <c r="M393" t="s">
        <v>82</v>
      </c>
      <c r="N393" t="s">
        <v>83</v>
      </c>
      <c r="O393" t="s">
        <v>914</v>
      </c>
      <c r="P393">
        <v>3.3</v>
      </c>
      <c r="Q393">
        <v>98</v>
      </c>
      <c r="R393">
        <v>52.4</v>
      </c>
      <c r="S393">
        <v>7.3</v>
      </c>
      <c r="T393">
        <v>2026</v>
      </c>
      <c r="U393">
        <v>2</v>
      </c>
      <c r="V393">
        <v>1</v>
      </c>
      <c r="W393" t="s">
        <v>36</v>
      </c>
      <c r="X393" t="s">
        <v>37</v>
      </c>
      <c r="Y393" t="s">
        <v>56</v>
      </c>
    </row>
    <row r="394" spans="1:25" x14ac:dyDescent="0.35">
      <c r="A394" t="s">
        <v>915</v>
      </c>
      <c r="B394" t="s">
        <v>40</v>
      </c>
      <c r="C394" t="s">
        <v>27</v>
      </c>
      <c r="D394" t="s">
        <v>28</v>
      </c>
      <c r="E394">
        <v>2</v>
      </c>
      <c r="F394" t="s">
        <v>128</v>
      </c>
      <c r="G394">
        <v>189000</v>
      </c>
      <c r="H394">
        <v>90000</v>
      </c>
      <c r="I394">
        <v>200000</v>
      </c>
      <c r="J394" t="s">
        <v>60</v>
      </c>
      <c r="K394" t="s">
        <v>60</v>
      </c>
      <c r="L394" t="s">
        <v>53</v>
      </c>
      <c r="M394" t="s">
        <v>45</v>
      </c>
      <c r="N394" t="s">
        <v>110</v>
      </c>
      <c r="O394" t="s">
        <v>916</v>
      </c>
      <c r="P394">
        <v>3.7</v>
      </c>
      <c r="Q394">
        <v>82</v>
      </c>
      <c r="R394">
        <v>6.8</v>
      </c>
      <c r="S394">
        <v>6.1</v>
      </c>
      <c r="T394">
        <v>2025</v>
      </c>
      <c r="U394">
        <v>4</v>
      </c>
      <c r="V394">
        <v>1</v>
      </c>
      <c r="W394" t="s">
        <v>47</v>
      </c>
      <c r="X394" t="s">
        <v>37</v>
      </c>
      <c r="Y394" t="s">
        <v>48</v>
      </c>
    </row>
    <row r="395" spans="1:25" x14ac:dyDescent="0.35">
      <c r="A395" t="s">
        <v>917</v>
      </c>
      <c r="B395" t="s">
        <v>146</v>
      </c>
      <c r="C395" t="s">
        <v>27</v>
      </c>
      <c r="D395" t="s">
        <v>28</v>
      </c>
      <c r="E395">
        <v>7</v>
      </c>
      <c r="F395" t="s">
        <v>128</v>
      </c>
      <c r="G395">
        <v>235000</v>
      </c>
      <c r="H395">
        <v>160000</v>
      </c>
      <c r="I395">
        <v>300000</v>
      </c>
      <c r="J395" t="s">
        <v>113</v>
      </c>
      <c r="K395" t="s">
        <v>114</v>
      </c>
      <c r="L395" t="s">
        <v>53</v>
      </c>
      <c r="M395" t="s">
        <v>82</v>
      </c>
      <c r="N395" t="s">
        <v>76</v>
      </c>
      <c r="O395" t="s">
        <v>918</v>
      </c>
      <c r="P395">
        <v>16.2</v>
      </c>
      <c r="Q395">
        <v>90</v>
      </c>
      <c r="R395">
        <v>23.9</v>
      </c>
      <c r="S395">
        <v>6</v>
      </c>
      <c r="T395">
        <v>2026</v>
      </c>
      <c r="U395">
        <v>1</v>
      </c>
      <c r="V395">
        <v>1</v>
      </c>
      <c r="W395" t="s">
        <v>47</v>
      </c>
      <c r="X395" t="s">
        <v>64</v>
      </c>
      <c r="Y395" t="s">
        <v>38</v>
      </c>
    </row>
    <row r="396" spans="1:25" x14ac:dyDescent="0.35">
      <c r="A396" t="s">
        <v>919</v>
      </c>
      <c r="B396" t="s">
        <v>50</v>
      </c>
      <c r="C396" t="s">
        <v>27</v>
      </c>
      <c r="D396" t="s">
        <v>81</v>
      </c>
      <c r="E396">
        <v>6</v>
      </c>
      <c r="F396" t="s">
        <v>69</v>
      </c>
      <c r="G396">
        <v>160000</v>
      </c>
      <c r="H396">
        <v>160000</v>
      </c>
      <c r="I396">
        <v>300000</v>
      </c>
      <c r="J396" t="s">
        <v>42</v>
      </c>
      <c r="K396" t="s">
        <v>43</v>
      </c>
      <c r="L396" t="s">
        <v>44</v>
      </c>
      <c r="M396" t="s">
        <v>61</v>
      </c>
      <c r="N396" t="s">
        <v>88</v>
      </c>
      <c r="O396" t="s">
        <v>920</v>
      </c>
      <c r="P396">
        <v>6.9</v>
      </c>
      <c r="Q396">
        <v>98</v>
      </c>
      <c r="R396">
        <v>42.4</v>
      </c>
      <c r="S396">
        <v>8.1999999999999993</v>
      </c>
      <c r="T396">
        <v>2025</v>
      </c>
      <c r="U396">
        <v>12</v>
      </c>
      <c r="V396">
        <v>0</v>
      </c>
      <c r="W396" t="s">
        <v>47</v>
      </c>
      <c r="X396" t="s">
        <v>37</v>
      </c>
      <c r="Y396" t="s">
        <v>48</v>
      </c>
    </row>
    <row r="397" spans="1:25" x14ac:dyDescent="0.35">
      <c r="A397" t="s">
        <v>921</v>
      </c>
      <c r="B397" t="s">
        <v>196</v>
      </c>
      <c r="C397" t="s">
        <v>27</v>
      </c>
      <c r="D397" t="s">
        <v>28</v>
      </c>
      <c r="E397">
        <v>7</v>
      </c>
      <c r="F397" t="s">
        <v>29</v>
      </c>
      <c r="G397">
        <v>211000</v>
      </c>
      <c r="H397">
        <v>100000</v>
      </c>
      <c r="I397">
        <v>250000</v>
      </c>
      <c r="J397" t="s">
        <v>47</v>
      </c>
      <c r="K397" t="s">
        <v>87</v>
      </c>
      <c r="L397" t="s">
        <v>44</v>
      </c>
      <c r="M397" t="s">
        <v>82</v>
      </c>
      <c r="N397" t="s">
        <v>83</v>
      </c>
      <c r="O397" t="s">
        <v>922</v>
      </c>
      <c r="P397">
        <v>16</v>
      </c>
      <c r="Q397">
        <v>95</v>
      </c>
      <c r="R397">
        <v>81.7</v>
      </c>
      <c r="S397">
        <v>8.1999999999999993</v>
      </c>
      <c r="T397">
        <v>2025</v>
      </c>
      <c r="U397">
        <v>7</v>
      </c>
      <c r="V397">
        <v>1</v>
      </c>
      <c r="W397" t="s">
        <v>47</v>
      </c>
      <c r="X397" t="s">
        <v>64</v>
      </c>
      <c r="Y397" t="s">
        <v>38</v>
      </c>
    </row>
    <row r="398" spans="1:25" x14ac:dyDescent="0.35">
      <c r="A398" t="s">
        <v>923</v>
      </c>
      <c r="B398" t="s">
        <v>141</v>
      </c>
      <c r="C398" t="s">
        <v>27</v>
      </c>
      <c r="D398" t="s">
        <v>68</v>
      </c>
      <c r="E398">
        <v>8</v>
      </c>
      <c r="F398" t="s">
        <v>29</v>
      </c>
      <c r="G398">
        <v>215000</v>
      </c>
      <c r="H398">
        <v>141000</v>
      </c>
      <c r="I398">
        <v>270000</v>
      </c>
      <c r="J398" t="s">
        <v>137</v>
      </c>
      <c r="K398" t="s">
        <v>138</v>
      </c>
      <c r="L398" t="s">
        <v>32</v>
      </c>
      <c r="M398" t="s">
        <v>33</v>
      </c>
      <c r="N398" t="s">
        <v>88</v>
      </c>
      <c r="O398" t="s">
        <v>924</v>
      </c>
      <c r="P398">
        <v>4.4000000000000004</v>
      </c>
      <c r="Q398">
        <v>89</v>
      </c>
      <c r="R398">
        <v>27.8</v>
      </c>
      <c r="S398">
        <v>7.5</v>
      </c>
      <c r="T398">
        <v>2025</v>
      </c>
      <c r="U398">
        <v>5</v>
      </c>
      <c r="V398">
        <v>1</v>
      </c>
      <c r="W398" t="s">
        <v>36</v>
      </c>
      <c r="X398" t="s">
        <v>64</v>
      </c>
      <c r="Y398" t="s">
        <v>38</v>
      </c>
    </row>
    <row r="399" spans="1:25" x14ac:dyDescent="0.35">
      <c r="A399" t="s">
        <v>925</v>
      </c>
      <c r="B399" t="s">
        <v>146</v>
      </c>
      <c r="C399" t="s">
        <v>27</v>
      </c>
      <c r="D399" t="s">
        <v>68</v>
      </c>
      <c r="E399">
        <v>3</v>
      </c>
      <c r="F399" t="s">
        <v>41</v>
      </c>
      <c r="G399">
        <v>231000</v>
      </c>
      <c r="H399">
        <v>160000</v>
      </c>
      <c r="I399">
        <v>300000</v>
      </c>
      <c r="J399" t="s">
        <v>117</v>
      </c>
      <c r="K399" t="s">
        <v>118</v>
      </c>
      <c r="L399" t="s">
        <v>44</v>
      </c>
      <c r="M399" t="s">
        <v>33</v>
      </c>
      <c r="N399" t="s">
        <v>131</v>
      </c>
      <c r="O399" t="s">
        <v>926</v>
      </c>
      <c r="P399">
        <v>12.8</v>
      </c>
      <c r="Q399">
        <v>90</v>
      </c>
      <c r="R399">
        <v>6.7</v>
      </c>
      <c r="S399">
        <v>9.6</v>
      </c>
      <c r="T399">
        <v>2026</v>
      </c>
      <c r="U399">
        <v>1</v>
      </c>
      <c r="V399">
        <v>1</v>
      </c>
      <c r="W399" t="s">
        <v>47</v>
      </c>
      <c r="X399" t="s">
        <v>64</v>
      </c>
      <c r="Y399" t="s">
        <v>38</v>
      </c>
    </row>
    <row r="400" spans="1:25" x14ac:dyDescent="0.35">
      <c r="A400" t="s">
        <v>927</v>
      </c>
      <c r="B400" t="s">
        <v>141</v>
      </c>
      <c r="C400" t="s">
        <v>27</v>
      </c>
      <c r="D400" t="s">
        <v>68</v>
      </c>
      <c r="E400">
        <v>7</v>
      </c>
      <c r="F400" t="s">
        <v>29</v>
      </c>
      <c r="G400">
        <v>270000</v>
      </c>
      <c r="H400">
        <v>141000</v>
      </c>
      <c r="I400">
        <v>270000</v>
      </c>
      <c r="J400" t="s">
        <v>129</v>
      </c>
      <c r="K400" t="s">
        <v>130</v>
      </c>
      <c r="L400" t="s">
        <v>32</v>
      </c>
      <c r="M400" t="s">
        <v>45</v>
      </c>
      <c r="N400" t="s">
        <v>88</v>
      </c>
      <c r="O400" t="s">
        <v>928</v>
      </c>
      <c r="P400">
        <v>5.8</v>
      </c>
      <c r="Q400">
        <v>89</v>
      </c>
      <c r="R400">
        <v>25.2</v>
      </c>
      <c r="S400">
        <v>8</v>
      </c>
      <c r="T400">
        <v>2026</v>
      </c>
      <c r="U400">
        <v>2</v>
      </c>
      <c r="V400">
        <v>1</v>
      </c>
      <c r="W400" t="s">
        <v>36</v>
      </c>
      <c r="X400" t="s">
        <v>64</v>
      </c>
      <c r="Y400" t="s">
        <v>38</v>
      </c>
    </row>
    <row r="401" spans="1:25" x14ac:dyDescent="0.35">
      <c r="A401" t="s">
        <v>929</v>
      </c>
      <c r="B401" t="s">
        <v>100</v>
      </c>
      <c r="C401" t="s">
        <v>101</v>
      </c>
      <c r="D401" t="s">
        <v>74</v>
      </c>
      <c r="E401">
        <v>13</v>
      </c>
      <c r="F401" t="s">
        <v>41</v>
      </c>
      <c r="G401">
        <v>209000</v>
      </c>
      <c r="H401">
        <v>180000</v>
      </c>
      <c r="I401">
        <v>320000</v>
      </c>
      <c r="J401" t="s">
        <v>170</v>
      </c>
      <c r="K401" t="s">
        <v>171</v>
      </c>
      <c r="L401" t="s">
        <v>53</v>
      </c>
      <c r="M401" t="s">
        <v>54</v>
      </c>
      <c r="N401" t="s">
        <v>165</v>
      </c>
      <c r="O401" t="s">
        <v>930</v>
      </c>
      <c r="P401">
        <v>12.6</v>
      </c>
      <c r="Q401">
        <v>84</v>
      </c>
      <c r="R401">
        <v>27.8</v>
      </c>
      <c r="S401">
        <v>6.7</v>
      </c>
      <c r="T401">
        <v>2026</v>
      </c>
      <c r="U401">
        <v>2</v>
      </c>
      <c r="V401">
        <v>0</v>
      </c>
      <c r="W401" t="s">
        <v>47</v>
      </c>
      <c r="X401" t="s">
        <v>64</v>
      </c>
      <c r="Y401" t="s">
        <v>38</v>
      </c>
    </row>
    <row r="402" spans="1:25" x14ac:dyDescent="0.35">
      <c r="A402" t="s">
        <v>931</v>
      </c>
      <c r="B402" t="s">
        <v>185</v>
      </c>
      <c r="C402" t="s">
        <v>186</v>
      </c>
      <c r="D402" t="s">
        <v>81</v>
      </c>
      <c r="E402">
        <v>7</v>
      </c>
      <c r="F402" t="s">
        <v>128</v>
      </c>
      <c r="G402">
        <v>250000</v>
      </c>
      <c r="H402">
        <v>140000</v>
      </c>
      <c r="I402">
        <v>270000</v>
      </c>
      <c r="J402" t="s">
        <v>296</v>
      </c>
      <c r="K402" t="s">
        <v>31</v>
      </c>
      <c r="L402" t="s">
        <v>44</v>
      </c>
      <c r="M402" t="s">
        <v>61</v>
      </c>
      <c r="N402" t="s">
        <v>34</v>
      </c>
      <c r="O402" t="s">
        <v>932</v>
      </c>
      <c r="P402">
        <v>15.8</v>
      </c>
      <c r="Q402">
        <v>85</v>
      </c>
      <c r="R402">
        <v>15.3</v>
      </c>
      <c r="S402">
        <v>6.6</v>
      </c>
      <c r="T402">
        <v>2025</v>
      </c>
      <c r="U402">
        <v>1</v>
      </c>
      <c r="V402">
        <v>0</v>
      </c>
      <c r="W402" t="s">
        <v>47</v>
      </c>
      <c r="X402" t="s">
        <v>64</v>
      </c>
      <c r="Y402" t="s">
        <v>38</v>
      </c>
    </row>
    <row r="403" spans="1:25" x14ac:dyDescent="0.35">
      <c r="A403" t="s">
        <v>933</v>
      </c>
      <c r="B403" t="s">
        <v>100</v>
      </c>
      <c r="C403" t="s">
        <v>101</v>
      </c>
      <c r="D403" t="s">
        <v>68</v>
      </c>
      <c r="E403">
        <v>12</v>
      </c>
      <c r="F403" t="s">
        <v>69</v>
      </c>
      <c r="G403">
        <v>349000</v>
      </c>
      <c r="H403">
        <v>180000</v>
      </c>
      <c r="I403">
        <v>320000</v>
      </c>
      <c r="J403" t="s">
        <v>174</v>
      </c>
      <c r="K403" t="s">
        <v>31</v>
      </c>
      <c r="L403" t="s">
        <v>44</v>
      </c>
      <c r="M403" t="s">
        <v>33</v>
      </c>
      <c r="N403" t="s">
        <v>83</v>
      </c>
      <c r="O403" t="s">
        <v>934</v>
      </c>
      <c r="P403">
        <v>12.6</v>
      </c>
      <c r="Q403">
        <v>84</v>
      </c>
      <c r="R403">
        <v>16.5</v>
      </c>
      <c r="S403">
        <v>6.3</v>
      </c>
      <c r="T403">
        <v>2026</v>
      </c>
      <c r="U403">
        <v>3</v>
      </c>
      <c r="V403">
        <v>1</v>
      </c>
      <c r="W403" t="s">
        <v>47</v>
      </c>
      <c r="X403" t="s">
        <v>64</v>
      </c>
      <c r="Y403" t="s">
        <v>56</v>
      </c>
    </row>
    <row r="404" spans="1:25" x14ac:dyDescent="0.35">
      <c r="A404" t="s">
        <v>935</v>
      </c>
      <c r="B404" t="s">
        <v>100</v>
      </c>
      <c r="C404" t="s">
        <v>101</v>
      </c>
      <c r="D404" t="s">
        <v>28</v>
      </c>
      <c r="E404">
        <v>6</v>
      </c>
      <c r="F404" t="s">
        <v>29</v>
      </c>
      <c r="G404">
        <v>324000</v>
      </c>
      <c r="H404">
        <v>180000</v>
      </c>
      <c r="I404">
        <v>320000</v>
      </c>
      <c r="J404" t="s">
        <v>191</v>
      </c>
      <c r="K404" t="s">
        <v>31</v>
      </c>
      <c r="L404" t="s">
        <v>53</v>
      </c>
      <c r="M404" t="s">
        <v>45</v>
      </c>
      <c r="N404" t="s">
        <v>119</v>
      </c>
      <c r="O404" t="s">
        <v>936</v>
      </c>
      <c r="P404">
        <v>14.8</v>
      </c>
      <c r="Q404">
        <v>84</v>
      </c>
      <c r="R404">
        <v>8.8000000000000007</v>
      </c>
      <c r="S404">
        <v>7.4</v>
      </c>
      <c r="T404">
        <v>2025</v>
      </c>
      <c r="U404">
        <v>1</v>
      </c>
      <c r="V404">
        <v>1</v>
      </c>
      <c r="W404" t="s">
        <v>47</v>
      </c>
      <c r="X404" t="s">
        <v>64</v>
      </c>
      <c r="Y404" t="s">
        <v>56</v>
      </c>
    </row>
    <row r="405" spans="1:25" x14ac:dyDescent="0.35">
      <c r="A405" t="s">
        <v>937</v>
      </c>
      <c r="B405" t="s">
        <v>146</v>
      </c>
      <c r="C405" t="s">
        <v>27</v>
      </c>
      <c r="D405" t="s">
        <v>68</v>
      </c>
      <c r="E405">
        <v>9</v>
      </c>
      <c r="F405" t="s">
        <v>41</v>
      </c>
      <c r="G405">
        <v>254000</v>
      </c>
      <c r="H405">
        <v>160000</v>
      </c>
      <c r="I405">
        <v>300000</v>
      </c>
      <c r="J405" t="s">
        <v>102</v>
      </c>
      <c r="K405" t="s">
        <v>103</v>
      </c>
      <c r="L405" t="s">
        <v>32</v>
      </c>
      <c r="M405" t="s">
        <v>61</v>
      </c>
      <c r="N405" t="s">
        <v>62</v>
      </c>
      <c r="O405" t="s">
        <v>938</v>
      </c>
      <c r="P405">
        <v>11.8</v>
      </c>
      <c r="Q405">
        <v>90</v>
      </c>
      <c r="R405">
        <v>10</v>
      </c>
      <c r="S405">
        <v>6.9</v>
      </c>
      <c r="T405">
        <v>2026</v>
      </c>
      <c r="U405">
        <v>1</v>
      </c>
      <c r="V405">
        <v>1</v>
      </c>
      <c r="W405" t="s">
        <v>36</v>
      </c>
      <c r="X405" t="s">
        <v>64</v>
      </c>
      <c r="Y405" t="s">
        <v>38</v>
      </c>
    </row>
    <row r="406" spans="1:25" x14ac:dyDescent="0.35">
      <c r="A406" t="s">
        <v>939</v>
      </c>
      <c r="B406" t="s">
        <v>86</v>
      </c>
      <c r="C406" t="s">
        <v>27</v>
      </c>
      <c r="D406" t="s">
        <v>74</v>
      </c>
      <c r="E406">
        <v>8</v>
      </c>
      <c r="F406" t="s">
        <v>41</v>
      </c>
      <c r="G406">
        <v>245000</v>
      </c>
      <c r="H406">
        <v>180000</v>
      </c>
      <c r="I406">
        <v>312000</v>
      </c>
      <c r="J406" t="s">
        <v>174</v>
      </c>
      <c r="K406" t="s">
        <v>31</v>
      </c>
      <c r="L406" t="s">
        <v>32</v>
      </c>
      <c r="M406" t="s">
        <v>45</v>
      </c>
      <c r="N406" t="s">
        <v>155</v>
      </c>
      <c r="O406" t="s">
        <v>940</v>
      </c>
      <c r="P406">
        <v>11.3</v>
      </c>
      <c r="Q406">
        <v>96</v>
      </c>
      <c r="R406">
        <v>56</v>
      </c>
      <c r="S406">
        <v>6.7</v>
      </c>
      <c r="T406">
        <v>2025</v>
      </c>
      <c r="U406">
        <v>9</v>
      </c>
      <c r="V406">
        <v>0</v>
      </c>
      <c r="W406" t="s">
        <v>36</v>
      </c>
      <c r="X406" t="s">
        <v>64</v>
      </c>
      <c r="Y406" t="s">
        <v>38</v>
      </c>
    </row>
    <row r="407" spans="1:25" x14ac:dyDescent="0.35">
      <c r="A407" t="s">
        <v>941</v>
      </c>
      <c r="B407" t="s">
        <v>50</v>
      </c>
      <c r="C407" t="s">
        <v>27</v>
      </c>
      <c r="D407" t="s">
        <v>81</v>
      </c>
      <c r="E407">
        <v>4</v>
      </c>
      <c r="F407" t="s">
        <v>29</v>
      </c>
      <c r="G407">
        <v>160000</v>
      </c>
      <c r="H407">
        <v>160000</v>
      </c>
      <c r="I407">
        <v>300000</v>
      </c>
      <c r="J407" t="s">
        <v>122</v>
      </c>
      <c r="K407" t="s">
        <v>123</v>
      </c>
      <c r="L407" t="s">
        <v>32</v>
      </c>
      <c r="M407" t="s">
        <v>33</v>
      </c>
      <c r="N407" t="s">
        <v>71</v>
      </c>
      <c r="O407" t="s">
        <v>942</v>
      </c>
      <c r="P407">
        <v>8.6999999999999993</v>
      </c>
      <c r="Q407">
        <v>98</v>
      </c>
      <c r="R407">
        <v>62.4</v>
      </c>
      <c r="S407">
        <v>7.4</v>
      </c>
      <c r="T407">
        <v>2025</v>
      </c>
      <c r="U407">
        <v>4</v>
      </c>
      <c r="V407">
        <v>0</v>
      </c>
      <c r="W407" t="s">
        <v>36</v>
      </c>
      <c r="X407" t="s">
        <v>37</v>
      </c>
      <c r="Y407" t="s">
        <v>48</v>
      </c>
    </row>
    <row r="408" spans="1:25" x14ac:dyDescent="0.35">
      <c r="A408" t="s">
        <v>943</v>
      </c>
      <c r="B408" t="s">
        <v>40</v>
      </c>
      <c r="C408" t="s">
        <v>27</v>
      </c>
      <c r="D408" t="s">
        <v>68</v>
      </c>
      <c r="E408">
        <v>5</v>
      </c>
      <c r="F408" t="s">
        <v>41</v>
      </c>
      <c r="G408">
        <v>230000</v>
      </c>
      <c r="H408">
        <v>90000</v>
      </c>
      <c r="I408">
        <v>200000</v>
      </c>
      <c r="J408" t="s">
        <v>129</v>
      </c>
      <c r="K408" t="s">
        <v>130</v>
      </c>
      <c r="L408" t="s">
        <v>44</v>
      </c>
      <c r="M408" t="s">
        <v>54</v>
      </c>
      <c r="N408" t="s">
        <v>131</v>
      </c>
      <c r="O408" t="s">
        <v>944</v>
      </c>
      <c r="P408">
        <v>9.1999999999999993</v>
      </c>
      <c r="Q408">
        <v>82</v>
      </c>
      <c r="R408">
        <v>12.9</v>
      </c>
      <c r="S408">
        <v>9.1999999999999993</v>
      </c>
      <c r="T408">
        <v>2026</v>
      </c>
      <c r="U408">
        <v>2</v>
      </c>
      <c r="V408">
        <v>1</v>
      </c>
      <c r="W408" t="s">
        <v>47</v>
      </c>
      <c r="X408" t="s">
        <v>37</v>
      </c>
      <c r="Y408" t="s">
        <v>38</v>
      </c>
    </row>
    <row r="409" spans="1:25" x14ac:dyDescent="0.35">
      <c r="A409" t="s">
        <v>945</v>
      </c>
      <c r="B409" t="s">
        <v>196</v>
      </c>
      <c r="C409" t="s">
        <v>27</v>
      </c>
      <c r="D409" t="s">
        <v>68</v>
      </c>
      <c r="E409">
        <v>7</v>
      </c>
      <c r="F409" t="s">
        <v>69</v>
      </c>
      <c r="G409">
        <v>101000</v>
      </c>
      <c r="H409">
        <v>100000</v>
      </c>
      <c r="I409">
        <v>250000</v>
      </c>
      <c r="J409" t="s">
        <v>108</v>
      </c>
      <c r="K409" t="s">
        <v>109</v>
      </c>
      <c r="L409" t="s">
        <v>44</v>
      </c>
      <c r="M409" t="s">
        <v>54</v>
      </c>
      <c r="N409" t="s">
        <v>34</v>
      </c>
      <c r="O409" t="s">
        <v>946</v>
      </c>
      <c r="P409">
        <v>15.4</v>
      </c>
      <c r="Q409">
        <v>95</v>
      </c>
      <c r="R409">
        <v>70.3</v>
      </c>
      <c r="S409">
        <v>8.4</v>
      </c>
      <c r="T409">
        <v>2025</v>
      </c>
      <c r="U409">
        <v>6</v>
      </c>
      <c r="V409">
        <v>1</v>
      </c>
      <c r="W409" t="s">
        <v>47</v>
      </c>
      <c r="X409" t="s">
        <v>64</v>
      </c>
      <c r="Y409" t="s">
        <v>95</v>
      </c>
    </row>
    <row r="410" spans="1:25" x14ac:dyDescent="0.35">
      <c r="A410" t="s">
        <v>947</v>
      </c>
      <c r="B410" t="s">
        <v>179</v>
      </c>
      <c r="C410" t="s">
        <v>180</v>
      </c>
      <c r="D410" t="s">
        <v>81</v>
      </c>
      <c r="E410">
        <v>4</v>
      </c>
      <c r="F410" t="s">
        <v>69</v>
      </c>
      <c r="G410">
        <v>110000</v>
      </c>
      <c r="H410">
        <v>110000</v>
      </c>
      <c r="I410">
        <v>210000</v>
      </c>
      <c r="J410" t="s">
        <v>129</v>
      </c>
      <c r="K410" t="s">
        <v>130</v>
      </c>
      <c r="L410" t="s">
        <v>44</v>
      </c>
      <c r="M410" t="s">
        <v>61</v>
      </c>
      <c r="N410" t="s">
        <v>83</v>
      </c>
      <c r="O410" t="s">
        <v>948</v>
      </c>
      <c r="P410">
        <v>15.6</v>
      </c>
      <c r="Q410">
        <v>72</v>
      </c>
      <c r="R410">
        <v>18</v>
      </c>
      <c r="S410">
        <v>9.6999999999999993</v>
      </c>
      <c r="T410">
        <v>2026</v>
      </c>
      <c r="U410">
        <v>2</v>
      </c>
      <c r="V410">
        <v>0</v>
      </c>
      <c r="W410" t="s">
        <v>47</v>
      </c>
      <c r="X410" t="s">
        <v>64</v>
      </c>
      <c r="Y410" t="s">
        <v>95</v>
      </c>
    </row>
    <row r="411" spans="1:25" x14ac:dyDescent="0.35">
      <c r="A411" t="s">
        <v>949</v>
      </c>
      <c r="B411" t="s">
        <v>233</v>
      </c>
      <c r="C411" t="s">
        <v>180</v>
      </c>
      <c r="D411" t="s">
        <v>28</v>
      </c>
      <c r="E411">
        <v>3</v>
      </c>
      <c r="F411" t="s">
        <v>128</v>
      </c>
      <c r="G411">
        <v>234000</v>
      </c>
      <c r="H411">
        <v>100000</v>
      </c>
      <c r="I411">
        <v>200000</v>
      </c>
      <c r="J411" t="s">
        <v>174</v>
      </c>
      <c r="K411" t="s">
        <v>31</v>
      </c>
      <c r="L411" t="s">
        <v>32</v>
      </c>
      <c r="M411" t="s">
        <v>61</v>
      </c>
      <c r="N411" t="s">
        <v>119</v>
      </c>
      <c r="O411" t="s">
        <v>950</v>
      </c>
      <c r="P411">
        <v>16.7</v>
      </c>
      <c r="Q411">
        <v>68</v>
      </c>
      <c r="R411">
        <v>6.7</v>
      </c>
      <c r="S411">
        <v>6.7</v>
      </c>
      <c r="T411">
        <v>2026</v>
      </c>
      <c r="U411">
        <v>1</v>
      </c>
      <c r="V411">
        <v>1</v>
      </c>
      <c r="W411" t="s">
        <v>36</v>
      </c>
      <c r="X411" t="s">
        <v>64</v>
      </c>
      <c r="Y411" t="s">
        <v>38</v>
      </c>
    </row>
    <row r="412" spans="1:25" x14ac:dyDescent="0.35">
      <c r="A412" t="s">
        <v>951</v>
      </c>
      <c r="B412" t="s">
        <v>141</v>
      </c>
      <c r="C412" t="s">
        <v>27</v>
      </c>
      <c r="D412" t="s">
        <v>81</v>
      </c>
      <c r="E412">
        <v>6</v>
      </c>
      <c r="F412" t="s">
        <v>51</v>
      </c>
      <c r="G412">
        <v>142000</v>
      </c>
      <c r="H412">
        <v>141000</v>
      </c>
      <c r="I412">
        <v>270000</v>
      </c>
      <c r="J412" t="s">
        <v>191</v>
      </c>
      <c r="K412" t="s">
        <v>31</v>
      </c>
      <c r="L412" t="s">
        <v>32</v>
      </c>
      <c r="M412" t="s">
        <v>33</v>
      </c>
      <c r="N412" t="s">
        <v>124</v>
      </c>
      <c r="O412" t="s">
        <v>952</v>
      </c>
      <c r="P412">
        <v>6</v>
      </c>
      <c r="Q412">
        <v>89</v>
      </c>
      <c r="R412">
        <v>20.100000000000001</v>
      </c>
      <c r="S412">
        <v>7.2</v>
      </c>
      <c r="T412">
        <v>2026</v>
      </c>
      <c r="U412">
        <v>3</v>
      </c>
      <c r="V412">
        <v>0</v>
      </c>
      <c r="W412" t="s">
        <v>36</v>
      </c>
      <c r="X412" t="s">
        <v>64</v>
      </c>
      <c r="Y412" t="s">
        <v>95</v>
      </c>
    </row>
    <row r="413" spans="1:25" x14ac:dyDescent="0.35">
      <c r="A413" t="s">
        <v>953</v>
      </c>
      <c r="B413" t="s">
        <v>141</v>
      </c>
      <c r="C413" t="s">
        <v>27</v>
      </c>
      <c r="D413" t="s">
        <v>74</v>
      </c>
      <c r="E413">
        <v>5</v>
      </c>
      <c r="F413" t="s">
        <v>128</v>
      </c>
      <c r="G413">
        <v>141000</v>
      </c>
      <c r="H413">
        <v>141000</v>
      </c>
      <c r="I413">
        <v>270000</v>
      </c>
      <c r="J413" t="s">
        <v>142</v>
      </c>
      <c r="K413" t="s">
        <v>143</v>
      </c>
      <c r="L413" t="s">
        <v>44</v>
      </c>
      <c r="M413" t="s">
        <v>45</v>
      </c>
      <c r="N413" t="s">
        <v>110</v>
      </c>
      <c r="O413" t="s">
        <v>954</v>
      </c>
      <c r="P413">
        <v>4.0999999999999996</v>
      </c>
      <c r="Q413">
        <v>89</v>
      </c>
      <c r="R413">
        <v>23.2</v>
      </c>
      <c r="S413">
        <v>7</v>
      </c>
      <c r="T413">
        <v>2026</v>
      </c>
      <c r="U413">
        <v>2</v>
      </c>
      <c r="V413">
        <v>0</v>
      </c>
      <c r="W413" t="s">
        <v>47</v>
      </c>
      <c r="X413" t="s">
        <v>64</v>
      </c>
      <c r="Y413" t="s">
        <v>95</v>
      </c>
    </row>
    <row r="414" spans="1:25" x14ac:dyDescent="0.35">
      <c r="A414" t="s">
        <v>955</v>
      </c>
      <c r="B414" t="s">
        <v>149</v>
      </c>
      <c r="C414" t="s">
        <v>150</v>
      </c>
      <c r="D414" t="s">
        <v>68</v>
      </c>
      <c r="E414">
        <v>8</v>
      </c>
      <c r="F414" t="s">
        <v>41</v>
      </c>
      <c r="G414">
        <v>285000</v>
      </c>
      <c r="H414">
        <v>130000</v>
      </c>
      <c r="I414">
        <v>260000</v>
      </c>
      <c r="J414" t="s">
        <v>137</v>
      </c>
      <c r="K414" t="s">
        <v>138</v>
      </c>
      <c r="L414" t="s">
        <v>53</v>
      </c>
      <c r="M414" t="s">
        <v>54</v>
      </c>
      <c r="N414" t="s">
        <v>76</v>
      </c>
      <c r="O414" t="s">
        <v>956</v>
      </c>
      <c r="P414">
        <v>11.7</v>
      </c>
      <c r="Q414">
        <v>93</v>
      </c>
      <c r="R414">
        <v>50.7</v>
      </c>
      <c r="S414">
        <v>8.4</v>
      </c>
      <c r="T414">
        <v>2026</v>
      </c>
      <c r="U414">
        <v>2</v>
      </c>
      <c r="V414">
        <v>1</v>
      </c>
      <c r="W414" t="s">
        <v>47</v>
      </c>
      <c r="X414" t="s">
        <v>64</v>
      </c>
      <c r="Y414" t="s">
        <v>38</v>
      </c>
    </row>
    <row r="415" spans="1:25" x14ac:dyDescent="0.35">
      <c r="A415" t="s">
        <v>957</v>
      </c>
      <c r="B415" t="s">
        <v>127</v>
      </c>
      <c r="C415" t="s">
        <v>27</v>
      </c>
      <c r="D415" t="s">
        <v>81</v>
      </c>
      <c r="E415">
        <v>7</v>
      </c>
      <c r="F415" t="s">
        <v>29</v>
      </c>
      <c r="G415">
        <v>244000</v>
      </c>
      <c r="H415">
        <v>120000</v>
      </c>
      <c r="I415">
        <v>280000</v>
      </c>
      <c r="J415" t="s">
        <v>30</v>
      </c>
      <c r="K415" t="s">
        <v>31</v>
      </c>
      <c r="L415" t="s">
        <v>44</v>
      </c>
      <c r="M415" t="s">
        <v>45</v>
      </c>
      <c r="N415" t="s">
        <v>71</v>
      </c>
      <c r="O415" t="s">
        <v>958</v>
      </c>
      <c r="P415">
        <v>17.2</v>
      </c>
      <c r="Q415">
        <v>97</v>
      </c>
      <c r="R415">
        <v>41.4</v>
      </c>
      <c r="S415">
        <v>8.6999999999999993</v>
      </c>
      <c r="T415">
        <v>2025</v>
      </c>
      <c r="U415">
        <v>11</v>
      </c>
      <c r="V415">
        <v>0</v>
      </c>
      <c r="W415" t="s">
        <v>47</v>
      </c>
      <c r="X415" t="s">
        <v>64</v>
      </c>
      <c r="Y415" t="s">
        <v>38</v>
      </c>
    </row>
    <row r="416" spans="1:25" x14ac:dyDescent="0.35">
      <c r="A416" t="s">
        <v>959</v>
      </c>
      <c r="B416" t="s">
        <v>26</v>
      </c>
      <c r="C416" t="s">
        <v>27</v>
      </c>
      <c r="D416" t="s">
        <v>68</v>
      </c>
      <c r="E416">
        <v>6</v>
      </c>
      <c r="F416" t="s">
        <v>29</v>
      </c>
      <c r="G416">
        <v>329000</v>
      </c>
      <c r="H416">
        <v>155000</v>
      </c>
      <c r="I416">
        <v>290000</v>
      </c>
      <c r="J416" t="s">
        <v>191</v>
      </c>
      <c r="K416" t="s">
        <v>31</v>
      </c>
      <c r="L416" t="s">
        <v>53</v>
      </c>
      <c r="M416" t="s">
        <v>82</v>
      </c>
      <c r="N416" t="s">
        <v>155</v>
      </c>
      <c r="O416" t="s">
        <v>960</v>
      </c>
      <c r="P416">
        <v>16.8</v>
      </c>
      <c r="Q416">
        <v>96</v>
      </c>
      <c r="R416">
        <v>27.1</v>
      </c>
      <c r="S416">
        <v>7.6</v>
      </c>
      <c r="T416">
        <v>2026</v>
      </c>
      <c r="U416">
        <v>3</v>
      </c>
      <c r="V416">
        <v>1</v>
      </c>
      <c r="W416" t="s">
        <v>47</v>
      </c>
      <c r="X416" t="s">
        <v>37</v>
      </c>
      <c r="Y416" t="s">
        <v>56</v>
      </c>
    </row>
    <row r="417" spans="1:25" x14ac:dyDescent="0.35">
      <c r="A417" t="s">
        <v>961</v>
      </c>
      <c r="B417" t="s">
        <v>163</v>
      </c>
      <c r="C417" t="s">
        <v>164</v>
      </c>
      <c r="D417" t="s">
        <v>28</v>
      </c>
      <c r="E417">
        <v>4</v>
      </c>
      <c r="F417" t="s">
        <v>69</v>
      </c>
      <c r="G417">
        <v>225000</v>
      </c>
      <c r="H417">
        <v>125000</v>
      </c>
      <c r="I417">
        <v>240000</v>
      </c>
      <c r="J417" t="s">
        <v>137</v>
      </c>
      <c r="K417" t="s">
        <v>138</v>
      </c>
      <c r="L417" t="s">
        <v>32</v>
      </c>
      <c r="M417" t="s">
        <v>54</v>
      </c>
      <c r="N417" t="s">
        <v>124</v>
      </c>
      <c r="O417" t="s">
        <v>962</v>
      </c>
      <c r="P417">
        <v>15.5</v>
      </c>
      <c r="Q417">
        <v>76</v>
      </c>
      <c r="R417">
        <v>22.5</v>
      </c>
      <c r="S417">
        <v>6</v>
      </c>
      <c r="T417">
        <v>2025</v>
      </c>
      <c r="U417">
        <v>8</v>
      </c>
      <c r="V417">
        <v>1</v>
      </c>
      <c r="W417" t="s">
        <v>36</v>
      </c>
      <c r="X417" t="s">
        <v>64</v>
      </c>
      <c r="Y417" t="s">
        <v>38</v>
      </c>
    </row>
    <row r="418" spans="1:25" x14ac:dyDescent="0.35">
      <c r="A418" t="s">
        <v>963</v>
      </c>
      <c r="B418" t="s">
        <v>196</v>
      </c>
      <c r="C418" t="s">
        <v>27</v>
      </c>
      <c r="D418" t="s">
        <v>68</v>
      </c>
      <c r="E418">
        <v>4</v>
      </c>
      <c r="F418" t="s">
        <v>51</v>
      </c>
      <c r="G418">
        <v>186000</v>
      </c>
      <c r="H418">
        <v>100000</v>
      </c>
      <c r="I418">
        <v>250000</v>
      </c>
      <c r="J418" t="s">
        <v>30</v>
      </c>
      <c r="K418" t="s">
        <v>31</v>
      </c>
      <c r="L418" t="s">
        <v>44</v>
      </c>
      <c r="M418" t="s">
        <v>33</v>
      </c>
      <c r="N418" t="s">
        <v>131</v>
      </c>
      <c r="O418" t="s">
        <v>964</v>
      </c>
      <c r="P418">
        <v>9.1</v>
      </c>
      <c r="Q418">
        <v>95</v>
      </c>
      <c r="R418">
        <v>56.4</v>
      </c>
      <c r="S418">
        <v>6.8</v>
      </c>
      <c r="T418">
        <v>2025</v>
      </c>
      <c r="U418">
        <v>12</v>
      </c>
      <c r="V418">
        <v>1</v>
      </c>
      <c r="W418" t="s">
        <v>47</v>
      </c>
      <c r="X418" t="s">
        <v>64</v>
      </c>
      <c r="Y418" t="s">
        <v>48</v>
      </c>
    </row>
    <row r="419" spans="1:25" x14ac:dyDescent="0.35">
      <c r="A419" t="s">
        <v>965</v>
      </c>
      <c r="B419" t="s">
        <v>609</v>
      </c>
      <c r="C419" t="s">
        <v>124</v>
      </c>
      <c r="D419" t="s">
        <v>68</v>
      </c>
      <c r="E419">
        <v>5</v>
      </c>
      <c r="F419" t="s">
        <v>69</v>
      </c>
      <c r="G419">
        <v>275000</v>
      </c>
      <c r="H419">
        <v>115000</v>
      </c>
      <c r="I419">
        <v>280000</v>
      </c>
      <c r="J419" t="s">
        <v>70</v>
      </c>
      <c r="K419" t="s">
        <v>31</v>
      </c>
      <c r="L419" t="s">
        <v>44</v>
      </c>
      <c r="M419" t="s">
        <v>82</v>
      </c>
      <c r="N419" t="s">
        <v>34</v>
      </c>
      <c r="O419" t="s">
        <v>966</v>
      </c>
      <c r="P419">
        <v>13.9</v>
      </c>
      <c r="Q419">
        <v>88</v>
      </c>
      <c r="R419">
        <v>16.899999999999999</v>
      </c>
      <c r="S419">
        <v>8.6</v>
      </c>
      <c r="T419">
        <v>2025</v>
      </c>
      <c r="U419">
        <v>1</v>
      </c>
      <c r="V419">
        <v>1</v>
      </c>
      <c r="W419" t="s">
        <v>47</v>
      </c>
      <c r="X419" t="s">
        <v>64</v>
      </c>
      <c r="Y419" t="s">
        <v>38</v>
      </c>
    </row>
    <row r="420" spans="1:25" x14ac:dyDescent="0.35">
      <c r="A420" t="s">
        <v>967</v>
      </c>
      <c r="B420" t="s">
        <v>224</v>
      </c>
      <c r="C420" t="s">
        <v>27</v>
      </c>
      <c r="D420" t="s">
        <v>74</v>
      </c>
      <c r="E420">
        <v>3</v>
      </c>
      <c r="F420" t="s">
        <v>41</v>
      </c>
      <c r="G420">
        <v>232000</v>
      </c>
      <c r="H420">
        <v>145000</v>
      </c>
      <c r="I420">
        <v>280000</v>
      </c>
      <c r="J420" t="s">
        <v>174</v>
      </c>
      <c r="K420" t="s">
        <v>31</v>
      </c>
      <c r="L420" t="s">
        <v>53</v>
      </c>
      <c r="M420" t="s">
        <v>54</v>
      </c>
      <c r="N420" t="s">
        <v>119</v>
      </c>
      <c r="O420" t="s">
        <v>968</v>
      </c>
      <c r="P420">
        <v>10</v>
      </c>
      <c r="Q420">
        <v>87</v>
      </c>
      <c r="R420">
        <v>25.4</v>
      </c>
      <c r="S420">
        <v>9.6</v>
      </c>
      <c r="T420">
        <v>2026</v>
      </c>
      <c r="U420">
        <v>2</v>
      </c>
      <c r="V420">
        <v>0</v>
      </c>
      <c r="W420" t="s">
        <v>47</v>
      </c>
      <c r="X420" t="s">
        <v>64</v>
      </c>
      <c r="Y420" t="s">
        <v>38</v>
      </c>
    </row>
    <row r="421" spans="1:25" x14ac:dyDescent="0.35">
      <c r="A421" t="s">
        <v>969</v>
      </c>
      <c r="B421" t="s">
        <v>158</v>
      </c>
      <c r="C421" t="s">
        <v>27</v>
      </c>
      <c r="D421" t="s">
        <v>28</v>
      </c>
      <c r="E421">
        <v>7</v>
      </c>
      <c r="F421" t="s">
        <v>41</v>
      </c>
      <c r="G421">
        <v>255000</v>
      </c>
      <c r="H421">
        <v>145000</v>
      </c>
      <c r="I421">
        <v>280000</v>
      </c>
      <c r="J421" t="s">
        <v>296</v>
      </c>
      <c r="K421" t="s">
        <v>31</v>
      </c>
      <c r="L421" t="s">
        <v>44</v>
      </c>
      <c r="M421" t="s">
        <v>82</v>
      </c>
      <c r="N421" t="s">
        <v>165</v>
      </c>
      <c r="O421" t="s">
        <v>970</v>
      </c>
      <c r="P421">
        <v>9.1</v>
      </c>
      <c r="Q421">
        <v>94</v>
      </c>
      <c r="R421">
        <v>52.6</v>
      </c>
      <c r="S421">
        <v>8.5</v>
      </c>
      <c r="T421">
        <v>2025</v>
      </c>
      <c r="U421">
        <v>11</v>
      </c>
      <c r="V421">
        <v>1</v>
      </c>
      <c r="W421" t="s">
        <v>47</v>
      </c>
      <c r="X421" t="s">
        <v>37</v>
      </c>
      <c r="Y421" t="s">
        <v>38</v>
      </c>
    </row>
    <row r="422" spans="1:25" x14ac:dyDescent="0.35">
      <c r="A422" t="s">
        <v>971</v>
      </c>
      <c r="B422" t="s">
        <v>66</v>
      </c>
      <c r="C422" t="s">
        <v>67</v>
      </c>
      <c r="D422" t="s">
        <v>74</v>
      </c>
      <c r="E422">
        <v>5</v>
      </c>
      <c r="F422" t="s">
        <v>128</v>
      </c>
      <c r="G422">
        <v>227000</v>
      </c>
      <c r="H422">
        <v>140000</v>
      </c>
      <c r="I422">
        <v>260000</v>
      </c>
      <c r="J422" t="s">
        <v>174</v>
      </c>
      <c r="K422" t="s">
        <v>31</v>
      </c>
      <c r="L422" t="s">
        <v>44</v>
      </c>
      <c r="M422" t="s">
        <v>82</v>
      </c>
      <c r="N422" t="s">
        <v>124</v>
      </c>
      <c r="O422" t="s">
        <v>972</v>
      </c>
      <c r="P422">
        <v>14.1</v>
      </c>
      <c r="Q422">
        <v>85</v>
      </c>
      <c r="R422">
        <v>22.8</v>
      </c>
      <c r="S422">
        <v>9.3000000000000007</v>
      </c>
      <c r="T422">
        <v>2026</v>
      </c>
      <c r="U422">
        <v>3</v>
      </c>
      <c r="V422">
        <v>0</v>
      </c>
      <c r="W422" t="s">
        <v>47</v>
      </c>
      <c r="X422" t="s">
        <v>64</v>
      </c>
      <c r="Y422" t="s">
        <v>38</v>
      </c>
    </row>
    <row r="423" spans="1:25" x14ac:dyDescent="0.35">
      <c r="A423" t="s">
        <v>973</v>
      </c>
      <c r="B423" t="s">
        <v>79</v>
      </c>
      <c r="C423" t="s">
        <v>80</v>
      </c>
      <c r="D423" t="s">
        <v>68</v>
      </c>
      <c r="E423">
        <v>10</v>
      </c>
      <c r="F423" t="s">
        <v>41</v>
      </c>
      <c r="G423">
        <v>280000</v>
      </c>
      <c r="H423">
        <v>140000</v>
      </c>
      <c r="I423">
        <v>260000</v>
      </c>
      <c r="J423" t="s">
        <v>296</v>
      </c>
      <c r="K423" t="s">
        <v>31</v>
      </c>
      <c r="L423" t="s">
        <v>32</v>
      </c>
      <c r="M423" t="s">
        <v>61</v>
      </c>
      <c r="N423" t="s">
        <v>71</v>
      </c>
      <c r="O423" t="s">
        <v>974</v>
      </c>
      <c r="P423">
        <v>17.399999999999999</v>
      </c>
      <c r="Q423">
        <v>80</v>
      </c>
      <c r="R423">
        <v>22.5</v>
      </c>
      <c r="S423">
        <v>6.4</v>
      </c>
      <c r="T423">
        <v>2026</v>
      </c>
      <c r="U423">
        <v>1</v>
      </c>
      <c r="V423">
        <v>1</v>
      </c>
      <c r="W423" t="s">
        <v>36</v>
      </c>
      <c r="X423" t="s">
        <v>64</v>
      </c>
      <c r="Y423" t="s">
        <v>38</v>
      </c>
    </row>
    <row r="424" spans="1:25" x14ac:dyDescent="0.35">
      <c r="A424" t="s">
        <v>975</v>
      </c>
      <c r="B424" t="s">
        <v>609</v>
      </c>
      <c r="C424" t="s">
        <v>124</v>
      </c>
      <c r="D424" t="s">
        <v>28</v>
      </c>
      <c r="E424">
        <v>11</v>
      </c>
      <c r="F424" t="s">
        <v>29</v>
      </c>
      <c r="G424">
        <v>218000</v>
      </c>
      <c r="H424">
        <v>115000</v>
      </c>
      <c r="I424">
        <v>280000</v>
      </c>
      <c r="J424" t="s">
        <v>113</v>
      </c>
      <c r="K424" t="s">
        <v>114</v>
      </c>
      <c r="L424" t="s">
        <v>53</v>
      </c>
      <c r="M424" t="s">
        <v>45</v>
      </c>
      <c r="N424" t="s">
        <v>71</v>
      </c>
      <c r="O424" t="s">
        <v>976</v>
      </c>
      <c r="P424">
        <v>15.7</v>
      </c>
      <c r="Q424">
        <v>88</v>
      </c>
      <c r="R424">
        <v>20</v>
      </c>
      <c r="S424">
        <v>8.4</v>
      </c>
      <c r="T424">
        <v>2025</v>
      </c>
      <c r="U424">
        <v>12</v>
      </c>
      <c r="V424">
        <v>1</v>
      </c>
      <c r="W424" t="s">
        <v>47</v>
      </c>
      <c r="X424" t="s">
        <v>64</v>
      </c>
      <c r="Y424" t="s">
        <v>38</v>
      </c>
    </row>
    <row r="425" spans="1:25" x14ac:dyDescent="0.35">
      <c r="A425" t="s">
        <v>977</v>
      </c>
      <c r="B425" t="s">
        <v>134</v>
      </c>
      <c r="C425" t="s">
        <v>27</v>
      </c>
      <c r="D425" t="s">
        <v>68</v>
      </c>
      <c r="E425">
        <v>2</v>
      </c>
      <c r="F425" t="s">
        <v>29</v>
      </c>
      <c r="G425">
        <v>353000</v>
      </c>
      <c r="H425">
        <v>150000</v>
      </c>
      <c r="I425">
        <v>295000</v>
      </c>
      <c r="J425" t="s">
        <v>137</v>
      </c>
      <c r="K425" t="s">
        <v>138</v>
      </c>
      <c r="L425" t="s">
        <v>53</v>
      </c>
      <c r="M425" t="s">
        <v>54</v>
      </c>
      <c r="N425" t="s">
        <v>83</v>
      </c>
      <c r="O425" t="s">
        <v>978</v>
      </c>
      <c r="P425">
        <v>13.8</v>
      </c>
      <c r="Q425">
        <v>95</v>
      </c>
      <c r="R425">
        <v>15.1</v>
      </c>
      <c r="S425">
        <v>6.2</v>
      </c>
      <c r="T425">
        <v>2026</v>
      </c>
      <c r="U425">
        <v>2</v>
      </c>
      <c r="V425">
        <v>1</v>
      </c>
      <c r="W425" t="s">
        <v>47</v>
      </c>
      <c r="X425" t="s">
        <v>37</v>
      </c>
      <c r="Y425" t="s">
        <v>56</v>
      </c>
    </row>
    <row r="426" spans="1:25" x14ac:dyDescent="0.35">
      <c r="A426" t="s">
        <v>979</v>
      </c>
      <c r="B426" t="s">
        <v>40</v>
      </c>
      <c r="C426" t="s">
        <v>27</v>
      </c>
      <c r="D426" t="s">
        <v>81</v>
      </c>
      <c r="E426">
        <v>5</v>
      </c>
      <c r="F426" t="s">
        <v>51</v>
      </c>
      <c r="G426">
        <v>98000</v>
      </c>
      <c r="H426">
        <v>90000</v>
      </c>
      <c r="I426">
        <v>200000</v>
      </c>
      <c r="J426" t="s">
        <v>113</v>
      </c>
      <c r="K426" t="s">
        <v>114</v>
      </c>
      <c r="L426" t="s">
        <v>53</v>
      </c>
      <c r="M426" t="s">
        <v>82</v>
      </c>
      <c r="N426" t="s">
        <v>110</v>
      </c>
      <c r="O426" t="s">
        <v>980</v>
      </c>
      <c r="P426">
        <v>6.5</v>
      </c>
      <c r="Q426">
        <v>82</v>
      </c>
      <c r="R426">
        <v>16.399999999999999</v>
      </c>
      <c r="S426">
        <v>8.3000000000000007</v>
      </c>
      <c r="T426">
        <v>2025</v>
      </c>
      <c r="U426">
        <v>11</v>
      </c>
      <c r="V426">
        <v>0</v>
      </c>
      <c r="W426" t="s">
        <v>47</v>
      </c>
      <c r="X426" t="s">
        <v>37</v>
      </c>
      <c r="Y426" t="s">
        <v>98</v>
      </c>
    </row>
    <row r="427" spans="1:25" x14ac:dyDescent="0.35">
      <c r="A427" t="s">
        <v>981</v>
      </c>
      <c r="B427" t="s">
        <v>185</v>
      </c>
      <c r="C427" t="s">
        <v>186</v>
      </c>
      <c r="D427" t="s">
        <v>28</v>
      </c>
      <c r="E427">
        <v>8</v>
      </c>
      <c r="F427" t="s">
        <v>128</v>
      </c>
      <c r="G427">
        <v>324000</v>
      </c>
      <c r="H427">
        <v>140000</v>
      </c>
      <c r="I427">
        <v>270000</v>
      </c>
      <c r="J427" t="s">
        <v>296</v>
      </c>
      <c r="K427" t="s">
        <v>31</v>
      </c>
      <c r="L427" t="s">
        <v>53</v>
      </c>
      <c r="M427" t="s">
        <v>54</v>
      </c>
      <c r="N427" t="s">
        <v>124</v>
      </c>
      <c r="O427" t="s">
        <v>982</v>
      </c>
      <c r="P427">
        <v>8.6</v>
      </c>
      <c r="Q427">
        <v>85</v>
      </c>
      <c r="R427">
        <v>25.3</v>
      </c>
      <c r="S427">
        <v>6.6</v>
      </c>
      <c r="T427">
        <v>2026</v>
      </c>
      <c r="U427">
        <v>3</v>
      </c>
      <c r="V427">
        <v>1</v>
      </c>
      <c r="W427" t="s">
        <v>47</v>
      </c>
      <c r="X427" t="s">
        <v>64</v>
      </c>
      <c r="Y427" t="s">
        <v>56</v>
      </c>
    </row>
    <row r="428" spans="1:25" x14ac:dyDescent="0.35">
      <c r="A428" t="s">
        <v>983</v>
      </c>
      <c r="B428" t="s">
        <v>91</v>
      </c>
      <c r="C428" t="s">
        <v>27</v>
      </c>
      <c r="D428" t="s">
        <v>68</v>
      </c>
      <c r="E428">
        <v>5</v>
      </c>
      <c r="F428" t="s">
        <v>69</v>
      </c>
      <c r="G428">
        <v>284000</v>
      </c>
      <c r="H428">
        <v>145000</v>
      </c>
      <c r="I428">
        <v>290000</v>
      </c>
      <c r="J428" t="s">
        <v>296</v>
      </c>
      <c r="K428" t="s">
        <v>31</v>
      </c>
      <c r="L428" t="s">
        <v>44</v>
      </c>
      <c r="M428" t="s">
        <v>61</v>
      </c>
      <c r="N428" t="s">
        <v>76</v>
      </c>
      <c r="O428" t="s">
        <v>984</v>
      </c>
      <c r="P428">
        <v>6.7</v>
      </c>
      <c r="Q428">
        <v>91</v>
      </c>
      <c r="R428">
        <v>35.700000000000003</v>
      </c>
      <c r="S428">
        <v>8.6</v>
      </c>
      <c r="T428">
        <v>2025</v>
      </c>
      <c r="U428">
        <v>9</v>
      </c>
      <c r="V428">
        <v>1</v>
      </c>
      <c r="W428" t="s">
        <v>47</v>
      </c>
      <c r="X428" t="s">
        <v>64</v>
      </c>
      <c r="Y428" t="s">
        <v>38</v>
      </c>
    </row>
    <row r="429" spans="1:25" x14ac:dyDescent="0.35">
      <c r="A429" t="s">
        <v>985</v>
      </c>
      <c r="B429" t="s">
        <v>50</v>
      </c>
      <c r="C429" t="s">
        <v>27</v>
      </c>
      <c r="D429" t="s">
        <v>28</v>
      </c>
      <c r="E429">
        <v>2</v>
      </c>
      <c r="F429" t="s">
        <v>51</v>
      </c>
      <c r="G429">
        <v>251000</v>
      </c>
      <c r="H429">
        <v>160000</v>
      </c>
      <c r="I429">
        <v>300000</v>
      </c>
      <c r="J429" t="s">
        <v>30</v>
      </c>
      <c r="K429" t="s">
        <v>31</v>
      </c>
      <c r="L429" t="s">
        <v>53</v>
      </c>
      <c r="M429" t="s">
        <v>61</v>
      </c>
      <c r="N429" t="s">
        <v>71</v>
      </c>
      <c r="O429" t="s">
        <v>986</v>
      </c>
      <c r="P429">
        <v>4.4000000000000004</v>
      </c>
      <c r="Q429">
        <v>98</v>
      </c>
      <c r="R429">
        <v>62.5</v>
      </c>
      <c r="S429">
        <v>7.4</v>
      </c>
      <c r="T429">
        <v>2026</v>
      </c>
      <c r="U429">
        <v>1</v>
      </c>
      <c r="V429">
        <v>1</v>
      </c>
      <c r="W429" t="s">
        <v>47</v>
      </c>
      <c r="X429" t="s">
        <v>37</v>
      </c>
      <c r="Y429" t="s">
        <v>38</v>
      </c>
    </row>
    <row r="430" spans="1:25" x14ac:dyDescent="0.35">
      <c r="A430" t="s">
        <v>987</v>
      </c>
      <c r="B430" t="s">
        <v>146</v>
      </c>
      <c r="C430" t="s">
        <v>27</v>
      </c>
      <c r="D430" t="s">
        <v>68</v>
      </c>
      <c r="E430">
        <v>3</v>
      </c>
      <c r="F430" t="s">
        <v>29</v>
      </c>
      <c r="G430">
        <v>360000</v>
      </c>
      <c r="H430">
        <v>160000</v>
      </c>
      <c r="I430">
        <v>300000</v>
      </c>
      <c r="J430" t="s">
        <v>191</v>
      </c>
      <c r="K430" t="s">
        <v>31</v>
      </c>
      <c r="L430" t="s">
        <v>53</v>
      </c>
      <c r="M430" t="s">
        <v>45</v>
      </c>
      <c r="N430" t="s">
        <v>119</v>
      </c>
      <c r="O430" t="s">
        <v>988</v>
      </c>
      <c r="P430">
        <v>10.5</v>
      </c>
      <c r="Q430">
        <v>90</v>
      </c>
      <c r="R430">
        <v>8</v>
      </c>
      <c r="S430">
        <v>7.5</v>
      </c>
      <c r="T430">
        <v>2025</v>
      </c>
      <c r="U430">
        <v>10</v>
      </c>
      <c r="V430">
        <v>1</v>
      </c>
      <c r="W430" t="s">
        <v>47</v>
      </c>
      <c r="X430" t="s">
        <v>64</v>
      </c>
      <c r="Y430" t="s">
        <v>56</v>
      </c>
    </row>
    <row r="431" spans="1:25" x14ac:dyDescent="0.35">
      <c r="A431" t="s">
        <v>989</v>
      </c>
      <c r="B431" t="s">
        <v>609</v>
      </c>
      <c r="C431" t="s">
        <v>124</v>
      </c>
      <c r="D431" t="s">
        <v>68</v>
      </c>
      <c r="E431">
        <v>11</v>
      </c>
      <c r="F431" t="s">
        <v>69</v>
      </c>
      <c r="G431">
        <v>163000</v>
      </c>
      <c r="H431">
        <v>115000</v>
      </c>
      <c r="I431">
        <v>280000</v>
      </c>
      <c r="J431" t="s">
        <v>137</v>
      </c>
      <c r="K431" t="s">
        <v>138</v>
      </c>
      <c r="L431" t="s">
        <v>44</v>
      </c>
      <c r="M431" t="s">
        <v>33</v>
      </c>
      <c r="N431" t="s">
        <v>62</v>
      </c>
      <c r="O431" t="s">
        <v>990</v>
      </c>
      <c r="P431">
        <v>17.899999999999999</v>
      </c>
      <c r="Q431">
        <v>88</v>
      </c>
      <c r="R431">
        <v>17</v>
      </c>
      <c r="S431">
        <v>8.6</v>
      </c>
      <c r="T431">
        <v>2025</v>
      </c>
      <c r="U431">
        <v>10</v>
      </c>
      <c r="V431">
        <v>1</v>
      </c>
      <c r="W431" t="s">
        <v>47</v>
      </c>
      <c r="X431" t="s">
        <v>64</v>
      </c>
      <c r="Y431" t="s">
        <v>48</v>
      </c>
    </row>
    <row r="432" spans="1:25" x14ac:dyDescent="0.35">
      <c r="A432" t="s">
        <v>991</v>
      </c>
      <c r="B432" t="s">
        <v>609</v>
      </c>
      <c r="C432" t="s">
        <v>124</v>
      </c>
      <c r="D432" t="s">
        <v>68</v>
      </c>
      <c r="E432">
        <v>5</v>
      </c>
      <c r="F432" t="s">
        <v>128</v>
      </c>
      <c r="G432">
        <v>291000</v>
      </c>
      <c r="H432">
        <v>115000</v>
      </c>
      <c r="I432">
        <v>280000</v>
      </c>
      <c r="J432" t="s">
        <v>137</v>
      </c>
      <c r="K432" t="s">
        <v>138</v>
      </c>
      <c r="L432" t="s">
        <v>44</v>
      </c>
      <c r="M432" t="s">
        <v>45</v>
      </c>
      <c r="N432" t="s">
        <v>155</v>
      </c>
      <c r="O432" t="s">
        <v>992</v>
      </c>
      <c r="P432">
        <v>13.2</v>
      </c>
      <c r="Q432">
        <v>88</v>
      </c>
      <c r="R432">
        <v>19.600000000000001</v>
      </c>
      <c r="S432">
        <v>8.6999999999999993</v>
      </c>
      <c r="T432">
        <v>2026</v>
      </c>
      <c r="U432">
        <v>1</v>
      </c>
      <c r="V432">
        <v>1</v>
      </c>
      <c r="W432" t="s">
        <v>47</v>
      </c>
      <c r="X432" t="s">
        <v>64</v>
      </c>
      <c r="Y432" t="s">
        <v>38</v>
      </c>
    </row>
    <row r="433" spans="1:25" x14ac:dyDescent="0.35">
      <c r="A433" t="s">
        <v>993</v>
      </c>
      <c r="B433" t="s">
        <v>233</v>
      </c>
      <c r="C433" t="s">
        <v>180</v>
      </c>
      <c r="D433" t="s">
        <v>81</v>
      </c>
      <c r="E433">
        <v>3</v>
      </c>
      <c r="F433" t="s">
        <v>51</v>
      </c>
      <c r="G433">
        <v>117000</v>
      </c>
      <c r="H433">
        <v>100000</v>
      </c>
      <c r="I433">
        <v>200000</v>
      </c>
      <c r="J433" t="s">
        <v>70</v>
      </c>
      <c r="K433" t="s">
        <v>31</v>
      </c>
      <c r="L433" t="s">
        <v>44</v>
      </c>
      <c r="M433" t="s">
        <v>33</v>
      </c>
      <c r="N433" t="s">
        <v>155</v>
      </c>
      <c r="O433" t="s">
        <v>994</v>
      </c>
      <c r="P433">
        <v>15.5</v>
      </c>
      <c r="Q433">
        <v>68</v>
      </c>
      <c r="R433">
        <v>7.1</v>
      </c>
      <c r="S433">
        <v>6.5</v>
      </c>
      <c r="T433">
        <v>2025</v>
      </c>
      <c r="U433">
        <v>9</v>
      </c>
      <c r="V433">
        <v>0</v>
      </c>
      <c r="W433" t="s">
        <v>47</v>
      </c>
      <c r="X433" t="s">
        <v>64</v>
      </c>
      <c r="Y433" t="s">
        <v>95</v>
      </c>
    </row>
    <row r="434" spans="1:25" x14ac:dyDescent="0.35">
      <c r="A434" t="s">
        <v>995</v>
      </c>
      <c r="B434" t="s">
        <v>609</v>
      </c>
      <c r="C434" t="s">
        <v>124</v>
      </c>
      <c r="D434" t="s">
        <v>81</v>
      </c>
      <c r="E434">
        <v>12</v>
      </c>
      <c r="F434" t="s">
        <v>128</v>
      </c>
      <c r="G434">
        <v>124000</v>
      </c>
      <c r="H434">
        <v>115000</v>
      </c>
      <c r="I434">
        <v>280000</v>
      </c>
      <c r="J434" t="s">
        <v>122</v>
      </c>
      <c r="K434" t="s">
        <v>123</v>
      </c>
      <c r="L434" t="s">
        <v>44</v>
      </c>
      <c r="M434" t="s">
        <v>33</v>
      </c>
      <c r="N434" t="s">
        <v>165</v>
      </c>
      <c r="O434" t="s">
        <v>996</v>
      </c>
      <c r="P434">
        <v>10.1</v>
      </c>
      <c r="Q434">
        <v>88</v>
      </c>
      <c r="R434">
        <v>7.5</v>
      </c>
      <c r="S434">
        <v>9.1</v>
      </c>
      <c r="T434">
        <v>2025</v>
      </c>
      <c r="U434">
        <v>4</v>
      </c>
      <c r="V434">
        <v>0</v>
      </c>
      <c r="W434" t="s">
        <v>47</v>
      </c>
      <c r="X434" t="s">
        <v>64</v>
      </c>
      <c r="Y434" t="s">
        <v>95</v>
      </c>
    </row>
    <row r="435" spans="1:25" x14ac:dyDescent="0.35">
      <c r="A435" t="s">
        <v>997</v>
      </c>
      <c r="B435" t="s">
        <v>168</v>
      </c>
      <c r="C435" t="s">
        <v>169</v>
      </c>
      <c r="D435" t="s">
        <v>81</v>
      </c>
      <c r="E435">
        <v>10</v>
      </c>
      <c r="F435" t="s">
        <v>51</v>
      </c>
      <c r="G435">
        <v>157000</v>
      </c>
      <c r="H435">
        <v>157000</v>
      </c>
      <c r="I435">
        <v>218000</v>
      </c>
      <c r="J435" t="s">
        <v>129</v>
      </c>
      <c r="K435" t="s">
        <v>130</v>
      </c>
      <c r="L435" t="s">
        <v>44</v>
      </c>
      <c r="M435" t="s">
        <v>61</v>
      </c>
      <c r="N435" t="s">
        <v>76</v>
      </c>
      <c r="O435" t="s">
        <v>998</v>
      </c>
      <c r="P435">
        <v>9.6</v>
      </c>
      <c r="Q435">
        <v>90</v>
      </c>
      <c r="R435">
        <v>21.9</v>
      </c>
      <c r="S435">
        <v>9.6</v>
      </c>
      <c r="T435">
        <v>2025</v>
      </c>
      <c r="U435">
        <v>4</v>
      </c>
      <c r="V435">
        <v>0</v>
      </c>
      <c r="W435" t="s">
        <v>47</v>
      </c>
      <c r="X435" t="s">
        <v>64</v>
      </c>
      <c r="Y435" t="s">
        <v>48</v>
      </c>
    </row>
    <row r="436" spans="1:25" x14ac:dyDescent="0.35">
      <c r="A436" t="s">
        <v>999</v>
      </c>
      <c r="B436" t="s">
        <v>86</v>
      </c>
      <c r="C436" t="s">
        <v>27</v>
      </c>
      <c r="D436" t="s">
        <v>28</v>
      </c>
      <c r="E436">
        <v>7</v>
      </c>
      <c r="F436" t="s">
        <v>51</v>
      </c>
      <c r="G436">
        <v>185000</v>
      </c>
      <c r="H436">
        <v>180000</v>
      </c>
      <c r="I436">
        <v>312000</v>
      </c>
      <c r="J436" t="s">
        <v>142</v>
      </c>
      <c r="K436" t="s">
        <v>143</v>
      </c>
      <c r="L436" t="s">
        <v>44</v>
      </c>
      <c r="M436" t="s">
        <v>61</v>
      </c>
      <c r="N436" t="s">
        <v>34</v>
      </c>
      <c r="O436" t="s">
        <v>1000</v>
      </c>
      <c r="P436">
        <v>14.8</v>
      </c>
      <c r="Q436">
        <v>96</v>
      </c>
      <c r="R436">
        <v>44.7</v>
      </c>
      <c r="S436">
        <v>7.3</v>
      </c>
      <c r="T436">
        <v>2025</v>
      </c>
      <c r="U436">
        <v>6</v>
      </c>
      <c r="V436">
        <v>1</v>
      </c>
      <c r="W436" t="s">
        <v>47</v>
      </c>
      <c r="X436" t="s">
        <v>64</v>
      </c>
      <c r="Y436" t="s">
        <v>48</v>
      </c>
    </row>
    <row r="437" spans="1:25" x14ac:dyDescent="0.35">
      <c r="A437" t="s">
        <v>1001</v>
      </c>
      <c r="B437" t="s">
        <v>233</v>
      </c>
      <c r="C437" t="s">
        <v>180</v>
      </c>
      <c r="D437" t="s">
        <v>81</v>
      </c>
      <c r="E437">
        <v>9</v>
      </c>
      <c r="F437" t="s">
        <v>128</v>
      </c>
      <c r="G437">
        <v>100000</v>
      </c>
      <c r="H437">
        <v>100000</v>
      </c>
      <c r="I437">
        <v>200000</v>
      </c>
      <c r="J437" t="s">
        <v>142</v>
      </c>
      <c r="K437" t="s">
        <v>143</v>
      </c>
      <c r="L437" t="s">
        <v>53</v>
      </c>
      <c r="M437" t="s">
        <v>61</v>
      </c>
      <c r="N437" t="s">
        <v>124</v>
      </c>
      <c r="O437" t="s">
        <v>1002</v>
      </c>
      <c r="P437">
        <v>13.9</v>
      </c>
      <c r="Q437">
        <v>68</v>
      </c>
      <c r="R437">
        <v>25.2</v>
      </c>
      <c r="S437">
        <v>6.4</v>
      </c>
      <c r="T437">
        <v>2025</v>
      </c>
      <c r="U437">
        <v>10</v>
      </c>
      <c r="V437">
        <v>0</v>
      </c>
      <c r="W437" t="s">
        <v>47</v>
      </c>
      <c r="X437" t="s">
        <v>64</v>
      </c>
      <c r="Y437" t="s">
        <v>98</v>
      </c>
    </row>
    <row r="438" spans="1:25" x14ac:dyDescent="0.35">
      <c r="A438" t="s">
        <v>1003</v>
      </c>
      <c r="B438" t="s">
        <v>149</v>
      </c>
      <c r="C438" t="s">
        <v>150</v>
      </c>
      <c r="D438" t="s">
        <v>74</v>
      </c>
      <c r="E438">
        <v>9</v>
      </c>
      <c r="F438" t="s">
        <v>41</v>
      </c>
      <c r="G438">
        <v>130000</v>
      </c>
      <c r="H438">
        <v>130000</v>
      </c>
      <c r="I438">
        <v>260000</v>
      </c>
      <c r="J438" t="s">
        <v>102</v>
      </c>
      <c r="K438" t="s">
        <v>103</v>
      </c>
      <c r="L438" t="s">
        <v>32</v>
      </c>
      <c r="M438" t="s">
        <v>82</v>
      </c>
      <c r="N438" t="s">
        <v>124</v>
      </c>
      <c r="O438" t="s">
        <v>1004</v>
      </c>
      <c r="P438">
        <v>9.3000000000000007</v>
      </c>
      <c r="Q438">
        <v>93</v>
      </c>
      <c r="R438">
        <v>42.7</v>
      </c>
      <c r="S438">
        <v>8.8000000000000007</v>
      </c>
      <c r="T438">
        <v>2025</v>
      </c>
      <c r="U438">
        <v>12</v>
      </c>
      <c r="V438">
        <v>0</v>
      </c>
      <c r="W438" t="s">
        <v>36</v>
      </c>
      <c r="X438" t="s">
        <v>64</v>
      </c>
      <c r="Y438" t="s">
        <v>95</v>
      </c>
    </row>
    <row r="439" spans="1:25" x14ac:dyDescent="0.35">
      <c r="A439" t="s">
        <v>1005</v>
      </c>
      <c r="B439" t="s">
        <v>26</v>
      </c>
      <c r="C439" t="s">
        <v>27</v>
      </c>
      <c r="D439" t="s">
        <v>68</v>
      </c>
      <c r="E439">
        <v>4</v>
      </c>
      <c r="F439" t="s">
        <v>69</v>
      </c>
      <c r="G439">
        <v>217000</v>
      </c>
      <c r="H439">
        <v>155000</v>
      </c>
      <c r="I439">
        <v>290000</v>
      </c>
      <c r="J439" t="s">
        <v>60</v>
      </c>
      <c r="K439" t="s">
        <v>60</v>
      </c>
      <c r="L439" t="s">
        <v>53</v>
      </c>
      <c r="M439" t="s">
        <v>61</v>
      </c>
      <c r="N439" t="s">
        <v>83</v>
      </c>
      <c r="O439" t="s">
        <v>1006</v>
      </c>
      <c r="P439">
        <v>14.3</v>
      </c>
      <c r="Q439">
        <v>96</v>
      </c>
      <c r="R439">
        <v>20.6</v>
      </c>
      <c r="S439">
        <v>6.9</v>
      </c>
      <c r="T439">
        <v>2025</v>
      </c>
      <c r="U439">
        <v>10</v>
      </c>
      <c r="V439">
        <v>1</v>
      </c>
      <c r="W439" t="s">
        <v>47</v>
      </c>
      <c r="X439" t="s">
        <v>37</v>
      </c>
      <c r="Y439" t="s">
        <v>38</v>
      </c>
    </row>
    <row r="440" spans="1:25" x14ac:dyDescent="0.35">
      <c r="A440" t="s">
        <v>1007</v>
      </c>
      <c r="B440" t="s">
        <v>127</v>
      </c>
      <c r="C440" t="s">
        <v>27</v>
      </c>
      <c r="D440" t="s">
        <v>68</v>
      </c>
      <c r="E440">
        <v>9</v>
      </c>
      <c r="F440" t="s">
        <v>41</v>
      </c>
      <c r="G440">
        <v>336000</v>
      </c>
      <c r="H440">
        <v>120000</v>
      </c>
      <c r="I440">
        <v>280000</v>
      </c>
      <c r="J440" t="s">
        <v>52</v>
      </c>
      <c r="K440" t="s">
        <v>31</v>
      </c>
      <c r="L440" t="s">
        <v>53</v>
      </c>
      <c r="M440" t="s">
        <v>82</v>
      </c>
      <c r="N440" t="s">
        <v>71</v>
      </c>
      <c r="O440" t="s">
        <v>1008</v>
      </c>
      <c r="P440">
        <v>15.5</v>
      </c>
      <c r="Q440">
        <v>97</v>
      </c>
      <c r="R440">
        <v>67.099999999999994</v>
      </c>
      <c r="S440">
        <v>8.6999999999999993</v>
      </c>
      <c r="T440">
        <v>2026</v>
      </c>
      <c r="U440">
        <v>1</v>
      </c>
      <c r="V440">
        <v>1</v>
      </c>
      <c r="W440" t="s">
        <v>47</v>
      </c>
      <c r="X440" t="s">
        <v>64</v>
      </c>
      <c r="Y440" t="s">
        <v>56</v>
      </c>
    </row>
    <row r="441" spans="1:25" x14ac:dyDescent="0.35">
      <c r="A441" t="s">
        <v>1009</v>
      </c>
      <c r="B441" t="s">
        <v>134</v>
      </c>
      <c r="C441" t="s">
        <v>27</v>
      </c>
      <c r="D441" t="s">
        <v>74</v>
      </c>
      <c r="E441">
        <v>3</v>
      </c>
      <c r="F441" t="s">
        <v>51</v>
      </c>
      <c r="G441">
        <v>158000</v>
      </c>
      <c r="H441">
        <v>150000</v>
      </c>
      <c r="I441">
        <v>295000</v>
      </c>
      <c r="J441" t="s">
        <v>117</v>
      </c>
      <c r="K441" t="s">
        <v>118</v>
      </c>
      <c r="L441" t="s">
        <v>44</v>
      </c>
      <c r="M441" t="s">
        <v>54</v>
      </c>
      <c r="N441" t="s">
        <v>88</v>
      </c>
      <c r="O441" t="s">
        <v>1010</v>
      </c>
      <c r="P441">
        <v>11.7</v>
      </c>
      <c r="Q441">
        <v>95</v>
      </c>
      <c r="R441">
        <v>23.3</v>
      </c>
      <c r="S441">
        <v>9.5</v>
      </c>
      <c r="T441">
        <v>2025</v>
      </c>
      <c r="U441">
        <v>9</v>
      </c>
      <c r="V441">
        <v>0</v>
      </c>
      <c r="W441" t="s">
        <v>47</v>
      </c>
      <c r="X441" t="s">
        <v>37</v>
      </c>
      <c r="Y441" t="s">
        <v>48</v>
      </c>
    </row>
    <row r="442" spans="1:25" x14ac:dyDescent="0.35">
      <c r="A442" t="s">
        <v>1011</v>
      </c>
      <c r="B442" t="s">
        <v>233</v>
      </c>
      <c r="C442" t="s">
        <v>180</v>
      </c>
      <c r="D442" t="s">
        <v>28</v>
      </c>
      <c r="E442">
        <v>6</v>
      </c>
      <c r="F442" t="s">
        <v>69</v>
      </c>
      <c r="G442">
        <v>164000</v>
      </c>
      <c r="H442">
        <v>100000</v>
      </c>
      <c r="I442">
        <v>200000</v>
      </c>
      <c r="J442" t="s">
        <v>30</v>
      </c>
      <c r="K442" t="s">
        <v>31</v>
      </c>
      <c r="L442" t="s">
        <v>53</v>
      </c>
      <c r="M442" t="s">
        <v>82</v>
      </c>
      <c r="N442" t="s">
        <v>88</v>
      </c>
      <c r="O442" t="s">
        <v>1012</v>
      </c>
      <c r="P442">
        <v>16.5</v>
      </c>
      <c r="Q442">
        <v>68</v>
      </c>
      <c r="R442">
        <v>6.4</v>
      </c>
      <c r="S442">
        <v>6</v>
      </c>
      <c r="T442">
        <v>2026</v>
      </c>
      <c r="U442">
        <v>2</v>
      </c>
      <c r="V442">
        <v>1</v>
      </c>
      <c r="W442" t="s">
        <v>47</v>
      </c>
      <c r="X442" t="s">
        <v>64</v>
      </c>
      <c r="Y442" t="s">
        <v>48</v>
      </c>
    </row>
    <row r="443" spans="1:25" x14ac:dyDescent="0.35">
      <c r="A443" t="s">
        <v>1013</v>
      </c>
      <c r="B443" t="s">
        <v>58</v>
      </c>
      <c r="C443" t="s">
        <v>59</v>
      </c>
      <c r="D443" t="s">
        <v>28</v>
      </c>
      <c r="E443">
        <v>2</v>
      </c>
      <c r="F443" t="s">
        <v>29</v>
      </c>
      <c r="G443">
        <v>187000</v>
      </c>
      <c r="H443">
        <v>130000</v>
      </c>
      <c r="I443">
        <v>220000</v>
      </c>
      <c r="J443" t="s">
        <v>30</v>
      </c>
      <c r="K443" t="s">
        <v>31</v>
      </c>
      <c r="L443" t="s">
        <v>53</v>
      </c>
      <c r="M443" t="s">
        <v>33</v>
      </c>
      <c r="N443" t="s">
        <v>155</v>
      </c>
      <c r="O443" t="s">
        <v>1014</v>
      </c>
      <c r="P443">
        <v>12.1</v>
      </c>
      <c r="Q443">
        <v>88</v>
      </c>
      <c r="R443">
        <v>27.8</v>
      </c>
      <c r="S443">
        <v>6</v>
      </c>
      <c r="T443">
        <v>2026</v>
      </c>
      <c r="U443">
        <v>2</v>
      </c>
      <c r="V443">
        <v>1</v>
      </c>
      <c r="W443" t="s">
        <v>47</v>
      </c>
      <c r="X443" t="s">
        <v>64</v>
      </c>
      <c r="Y443" t="s">
        <v>48</v>
      </c>
    </row>
    <row r="444" spans="1:25" x14ac:dyDescent="0.35">
      <c r="A444" t="s">
        <v>1015</v>
      </c>
      <c r="B444" t="s">
        <v>91</v>
      </c>
      <c r="C444" t="s">
        <v>27</v>
      </c>
      <c r="D444" t="s">
        <v>28</v>
      </c>
      <c r="E444">
        <v>5</v>
      </c>
      <c r="F444" t="s">
        <v>128</v>
      </c>
      <c r="G444">
        <v>318000</v>
      </c>
      <c r="H444">
        <v>145000</v>
      </c>
      <c r="I444">
        <v>290000</v>
      </c>
      <c r="J444" t="s">
        <v>47</v>
      </c>
      <c r="K444" t="s">
        <v>87</v>
      </c>
      <c r="L444" t="s">
        <v>53</v>
      </c>
      <c r="M444" t="s">
        <v>45</v>
      </c>
      <c r="N444" t="s">
        <v>83</v>
      </c>
      <c r="O444" t="s">
        <v>1016</v>
      </c>
      <c r="P444">
        <v>8</v>
      </c>
      <c r="Q444">
        <v>91</v>
      </c>
      <c r="R444">
        <v>23.1</v>
      </c>
      <c r="S444">
        <v>7.1</v>
      </c>
      <c r="T444">
        <v>2025</v>
      </c>
      <c r="U444">
        <v>7</v>
      </c>
      <c r="V444">
        <v>1</v>
      </c>
      <c r="W444" t="s">
        <v>47</v>
      </c>
      <c r="X444" t="s">
        <v>64</v>
      </c>
      <c r="Y444" t="s">
        <v>56</v>
      </c>
    </row>
    <row r="445" spans="1:25" x14ac:dyDescent="0.35">
      <c r="A445" t="s">
        <v>1017</v>
      </c>
      <c r="B445" t="s">
        <v>134</v>
      </c>
      <c r="C445" t="s">
        <v>27</v>
      </c>
      <c r="D445" t="s">
        <v>81</v>
      </c>
      <c r="E445">
        <v>7</v>
      </c>
      <c r="F445" t="s">
        <v>29</v>
      </c>
      <c r="G445">
        <v>164000</v>
      </c>
      <c r="H445">
        <v>150000</v>
      </c>
      <c r="I445">
        <v>295000</v>
      </c>
      <c r="J445" t="s">
        <v>113</v>
      </c>
      <c r="K445" t="s">
        <v>114</v>
      </c>
      <c r="L445" t="s">
        <v>53</v>
      </c>
      <c r="M445" t="s">
        <v>33</v>
      </c>
      <c r="N445" t="s">
        <v>155</v>
      </c>
      <c r="O445" t="s">
        <v>1018</v>
      </c>
      <c r="P445">
        <v>15.4</v>
      </c>
      <c r="Q445">
        <v>95</v>
      </c>
      <c r="R445">
        <v>75.3</v>
      </c>
      <c r="S445">
        <v>6.5</v>
      </c>
      <c r="T445">
        <v>2026</v>
      </c>
      <c r="U445">
        <v>1</v>
      </c>
      <c r="V445">
        <v>0</v>
      </c>
      <c r="W445" t="s">
        <v>47</v>
      </c>
      <c r="X445" t="s">
        <v>37</v>
      </c>
      <c r="Y445" t="s">
        <v>48</v>
      </c>
    </row>
    <row r="446" spans="1:25" x14ac:dyDescent="0.35">
      <c r="A446" t="s">
        <v>1019</v>
      </c>
      <c r="B446" t="s">
        <v>168</v>
      </c>
      <c r="C446" t="s">
        <v>169</v>
      </c>
      <c r="D446" t="s">
        <v>74</v>
      </c>
      <c r="E446">
        <v>10</v>
      </c>
      <c r="F446" t="s">
        <v>29</v>
      </c>
      <c r="G446">
        <v>157000</v>
      </c>
      <c r="H446">
        <v>157000</v>
      </c>
      <c r="I446">
        <v>218000</v>
      </c>
      <c r="J446" t="s">
        <v>191</v>
      </c>
      <c r="K446" t="s">
        <v>31</v>
      </c>
      <c r="L446" t="s">
        <v>44</v>
      </c>
      <c r="M446" t="s">
        <v>82</v>
      </c>
      <c r="N446" t="s">
        <v>71</v>
      </c>
      <c r="O446" t="s">
        <v>1020</v>
      </c>
      <c r="P446">
        <v>8.1</v>
      </c>
      <c r="Q446">
        <v>90</v>
      </c>
      <c r="R446">
        <v>9.6999999999999993</v>
      </c>
      <c r="S446">
        <v>7.1</v>
      </c>
      <c r="T446">
        <v>2025</v>
      </c>
      <c r="U446">
        <v>5</v>
      </c>
      <c r="V446">
        <v>0</v>
      </c>
      <c r="W446" t="s">
        <v>47</v>
      </c>
      <c r="X446" t="s">
        <v>64</v>
      </c>
      <c r="Y446" t="s">
        <v>48</v>
      </c>
    </row>
    <row r="447" spans="1:25" x14ac:dyDescent="0.35">
      <c r="A447" t="s">
        <v>1021</v>
      </c>
      <c r="B447" t="s">
        <v>185</v>
      </c>
      <c r="C447" t="s">
        <v>186</v>
      </c>
      <c r="D447" t="s">
        <v>81</v>
      </c>
      <c r="E447">
        <v>9</v>
      </c>
      <c r="F447" t="s">
        <v>69</v>
      </c>
      <c r="G447">
        <v>158000</v>
      </c>
      <c r="H447">
        <v>140000</v>
      </c>
      <c r="I447">
        <v>270000</v>
      </c>
      <c r="J447" t="s">
        <v>42</v>
      </c>
      <c r="K447" t="s">
        <v>43</v>
      </c>
      <c r="L447" t="s">
        <v>44</v>
      </c>
      <c r="M447" t="s">
        <v>45</v>
      </c>
      <c r="N447" t="s">
        <v>119</v>
      </c>
      <c r="O447" t="s">
        <v>1022</v>
      </c>
      <c r="P447">
        <v>10.3</v>
      </c>
      <c r="Q447">
        <v>85</v>
      </c>
      <c r="R447">
        <v>8.3000000000000007</v>
      </c>
      <c r="S447">
        <v>6.1</v>
      </c>
      <c r="T447">
        <v>2026</v>
      </c>
      <c r="U447">
        <v>1</v>
      </c>
      <c r="V447">
        <v>0</v>
      </c>
      <c r="W447" t="s">
        <v>47</v>
      </c>
      <c r="X447" t="s">
        <v>64</v>
      </c>
      <c r="Y447" t="s">
        <v>48</v>
      </c>
    </row>
    <row r="448" spans="1:25" x14ac:dyDescent="0.35">
      <c r="A448" t="s">
        <v>1023</v>
      </c>
      <c r="B448" t="s">
        <v>40</v>
      </c>
      <c r="C448" t="s">
        <v>27</v>
      </c>
      <c r="D448" t="s">
        <v>81</v>
      </c>
      <c r="E448">
        <v>4</v>
      </c>
      <c r="F448" t="s">
        <v>41</v>
      </c>
      <c r="G448">
        <v>240000</v>
      </c>
      <c r="H448">
        <v>90000</v>
      </c>
      <c r="I448">
        <v>200000</v>
      </c>
      <c r="J448" t="s">
        <v>174</v>
      </c>
      <c r="K448" t="s">
        <v>31</v>
      </c>
      <c r="L448" t="s">
        <v>44</v>
      </c>
      <c r="M448" t="s">
        <v>54</v>
      </c>
      <c r="N448" t="s">
        <v>76</v>
      </c>
      <c r="O448" t="s">
        <v>1024</v>
      </c>
      <c r="P448">
        <v>5.0999999999999996</v>
      </c>
      <c r="Q448">
        <v>82</v>
      </c>
      <c r="R448">
        <v>11.7</v>
      </c>
      <c r="S448">
        <v>7.1</v>
      </c>
      <c r="T448">
        <v>2025</v>
      </c>
      <c r="U448">
        <v>7</v>
      </c>
      <c r="V448">
        <v>0</v>
      </c>
      <c r="W448" t="s">
        <v>47</v>
      </c>
      <c r="X448" t="s">
        <v>37</v>
      </c>
      <c r="Y448" t="s">
        <v>38</v>
      </c>
    </row>
    <row r="449" spans="1:25" x14ac:dyDescent="0.35">
      <c r="A449" t="s">
        <v>1025</v>
      </c>
      <c r="B449" t="s">
        <v>91</v>
      </c>
      <c r="C449" t="s">
        <v>27</v>
      </c>
      <c r="D449" t="s">
        <v>81</v>
      </c>
      <c r="E449">
        <v>8</v>
      </c>
      <c r="F449" t="s">
        <v>41</v>
      </c>
      <c r="G449">
        <v>145000</v>
      </c>
      <c r="H449">
        <v>145000</v>
      </c>
      <c r="I449">
        <v>290000</v>
      </c>
      <c r="J449" t="s">
        <v>113</v>
      </c>
      <c r="K449" t="s">
        <v>114</v>
      </c>
      <c r="L449" t="s">
        <v>44</v>
      </c>
      <c r="M449" t="s">
        <v>33</v>
      </c>
      <c r="N449" t="s">
        <v>131</v>
      </c>
      <c r="O449" t="s">
        <v>1026</v>
      </c>
      <c r="P449">
        <v>6.4</v>
      </c>
      <c r="Q449">
        <v>91</v>
      </c>
      <c r="R449">
        <v>39.4</v>
      </c>
      <c r="S449">
        <v>6.4</v>
      </c>
      <c r="T449">
        <v>2026</v>
      </c>
      <c r="U449">
        <v>3</v>
      </c>
      <c r="V449">
        <v>0</v>
      </c>
      <c r="W449" t="s">
        <v>47</v>
      </c>
      <c r="X449" t="s">
        <v>64</v>
      </c>
      <c r="Y449" t="s">
        <v>95</v>
      </c>
    </row>
    <row r="450" spans="1:25" x14ac:dyDescent="0.35">
      <c r="A450" t="s">
        <v>1027</v>
      </c>
      <c r="B450" t="s">
        <v>163</v>
      </c>
      <c r="C450" t="s">
        <v>164</v>
      </c>
      <c r="D450" t="s">
        <v>28</v>
      </c>
      <c r="E450">
        <v>8</v>
      </c>
      <c r="F450" t="s">
        <v>128</v>
      </c>
      <c r="G450">
        <v>264000</v>
      </c>
      <c r="H450">
        <v>125000</v>
      </c>
      <c r="I450">
        <v>240000</v>
      </c>
      <c r="J450" t="s">
        <v>191</v>
      </c>
      <c r="K450" t="s">
        <v>31</v>
      </c>
      <c r="L450" t="s">
        <v>44</v>
      </c>
      <c r="M450" t="s">
        <v>82</v>
      </c>
      <c r="N450" t="s">
        <v>131</v>
      </c>
      <c r="O450" t="s">
        <v>1028</v>
      </c>
      <c r="P450">
        <v>14</v>
      </c>
      <c r="Q450">
        <v>76</v>
      </c>
      <c r="R450">
        <v>6</v>
      </c>
      <c r="S450">
        <v>9.6999999999999993</v>
      </c>
      <c r="T450">
        <v>2026</v>
      </c>
      <c r="U450">
        <v>1</v>
      </c>
      <c r="V450">
        <v>1</v>
      </c>
      <c r="W450" t="s">
        <v>47</v>
      </c>
      <c r="X450" t="s">
        <v>64</v>
      </c>
      <c r="Y450" t="s">
        <v>38</v>
      </c>
    </row>
    <row r="451" spans="1:25" x14ac:dyDescent="0.35">
      <c r="A451" t="s">
        <v>1029</v>
      </c>
      <c r="B451" t="s">
        <v>141</v>
      </c>
      <c r="C451" t="s">
        <v>27</v>
      </c>
      <c r="D451" t="s">
        <v>74</v>
      </c>
      <c r="E451">
        <v>7</v>
      </c>
      <c r="F451" t="s">
        <v>51</v>
      </c>
      <c r="G451">
        <v>141000</v>
      </c>
      <c r="H451">
        <v>141000</v>
      </c>
      <c r="I451">
        <v>270000</v>
      </c>
      <c r="J451" t="s">
        <v>170</v>
      </c>
      <c r="K451" t="s">
        <v>171</v>
      </c>
      <c r="L451" t="s">
        <v>53</v>
      </c>
      <c r="M451" t="s">
        <v>33</v>
      </c>
      <c r="N451" t="s">
        <v>155</v>
      </c>
      <c r="O451" t="s">
        <v>1030</v>
      </c>
      <c r="P451">
        <v>9.3000000000000007</v>
      </c>
      <c r="Q451">
        <v>89</v>
      </c>
      <c r="R451">
        <v>16.2</v>
      </c>
      <c r="S451">
        <v>8.6999999999999993</v>
      </c>
      <c r="T451">
        <v>2026</v>
      </c>
      <c r="U451">
        <v>1</v>
      </c>
      <c r="V451">
        <v>0</v>
      </c>
      <c r="W451" t="s">
        <v>47</v>
      </c>
      <c r="X451" t="s">
        <v>64</v>
      </c>
      <c r="Y451" t="s">
        <v>95</v>
      </c>
    </row>
    <row r="452" spans="1:25" x14ac:dyDescent="0.35">
      <c r="A452" t="s">
        <v>1031</v>
      </c>
      <c r="B452" t="s">
        <v>179</v>
      </c>
      <c r="C452" t="s">
        <v>180</v>
      </c>
      <c r="D452" t="s">
        <v>74</v>
      </c>
      <c r="E452">
        <v>6</v>
      </c>
      <c r="F452" t="s">
        <v>29</v>
      </c>
      <c r="G452">
        <v>134000</v>
      </c>
      <c r="H452">
        <v>110000</v>
      </c>
      <c r="I452">
        <v>210000</v>
      </c>
      <c r="J452" t="s">
        <v>122</v>
      </c>
      <c r="K452" t="s">
        <v>123</v>
      </c>
      <c r="L452" t="s">
        <v>44</v>
      </c>
      <c r="M452" t="s">
        <v>54</v>
      </c>
      <c r="N452" t="s">
        <v>131</v>
      </c>
      <c r="O452" t="s">
        <v>1032</v>
      </c>
      <c r="P452">
        <v>13.1</v>
      </c>
      <c r="Q452">
        <v>72</v>
      </c>
      <c r="R452">
        <v>19.100000000000001</v>
      </c>
      <c r="S452">
        <v>7.5</v>
      </c>
      <c r="T452">
        <v>2026</v>
      </c>
      <c r="U452">
        <v>1</v>
      </c>
      <c r="V452">
        <v>0</v>
      </c>
      <c r="W452" t="s">
        <v>47</v>
      </c>
      <c r="X452" t="s">
        <v>64</v>
      </c>
      <c r="Y452" t="s">
        <v>95</v>
      </c>
    </row>
    <row r="453" spans="1:25" x14ac:dyDescent="0.35">
      <c r="A453" t="s">
        <v>1033</v>
      </c>
      <c r="B453" t="s">
        <v>609</v>
      </c>
      <c r="C453" t="s">
        <v>124</v>
      </c>
      <c r="D453" t="s">
        <v>81</v>
      </c>
      <c r="E453">
        <v>12</v>
      </c>
      <c r="F453" t="s">
        <v>51</v>
      </c>
      <c r="G453">
        <v>191000</v>
      </c>
      <c r="H453">
        <v>115000</v>
      </c>
      <c r="I453">
        <v>280000</v>
      </c>
      <c r="J453" t="s">
        <v>174</v>
      </c>
      <c r="K453" t="s">
        <v>31</v>
      </c>
      <c r="L453" t="s">
        <v>32</v>
      </c>
      <c r="M453" t="s">
        <v>61</v>
      </c>
      <c r="N453" t="s">
        <v>131</v>
      </c>
      <c r="O453" t="s">
        <v>1034</v>
      </c>
      <c r="P453">
        <v>13.3</v>
      </c>
      <c r="Q453">
        <v>88</v>
      </c>
      <c r="R453">
        <v>12.3</v>
      </c>
      <c r="S453">
        <v>8.4</v>
      </c>
      <c r="T453">
        <v>2026</v>
      </c>
      <c r="U453">
        <v>2</v>
      </c>
      <c r="V453">
        <v>0</v>
      </c>
      <c r="W453" t="s">
        <v>36</v>
      </c>
      <c r="X453" t="s">
        <v>64</v>
      </c>
      <c r="Y453" t="s">
        <v>48</v>
      </c>
    </row>
    <row r="454" spans="1:25" x14ac:dyDescent="0.35">
      <c r="A454" t="s">
        <v>1035</v>
      </c>
      <c r="B454" t="s">
        <v>168</v>
      </c>
      <c r="C454" t="s">
        <v>169</v>
      </c>
      <c r="D454" t="s">
        <v>81</v>
      </c>
      <c r="E454">
        <v>5</v>
      </c>
      <c r="F454" t="s">
        <v>29</v>
      </c>
      <c r="G454">
        <v>157000</v>
      </c>
      <c r="H454">
        <v>157000</v>
      </c>
      <c r="I454">
        <v>218000</v>
      </c>
      <c r="J454" t="s">
        <v>142</v>
      </c>
      <c r="K454" t="s">
        <v>143</v>
      </c>
      <c r="L454" t="s">
        <v>53</v>
      </c>
      <c r="M454" t="s">
        <v>33</v>
      </c>
      <c r="N454" t="s">
        <v>76</v>
      </c>
      <c r="O454" t="s">
        <v>1036</v>
      </c>
      <c r="P454">
        <v>5.0999999999999996</v>
      </c>
      <c r="Q454">
        <v>90</v>
      </c>
      <c r="R454">
        <v>29.6</v>
      </c>
      <c r="S454">
        <v>8.4</v>
      </c>
      <c r="T454">
        <v>2025</v>
      </c>
      <c r="U454">
        <v>6</v>
      </c>
      <c r="V454">
        <v>0</v>
      </c>
      <c r="W454" t="s">
        <v>47</v>
      </c>
      <c r="X454" t="s">
        <v>64</v>
      </c>
      <c r="Y454" t="s">
        <v>48</v>
      </c>
    </row>
    <row r="455" spans="1:25" x14ac:dyDescent="0.35">
      <c r="A455" t="s">
        <v>1037</v>
      </c>
      <c r="B455" t="s">
        <v>91</v>
      </c>
      <c r="C455" t="s">
        <v>27</v>
      </c>
      <c r="D455" t="s">
        <v>28</v>
      </c>
      <c r="E455">
        <v>4</v>
      </c>
      <c r="F455" t="s">
        <v>41</v>
      </c>
      <c r="G455">
        <v>175000</v>
      </c>
      <c r="H455">
        <v>145000</v>
      </c>
      <c r="I455">
        <v>290000</v>
      </c>
      <c r="J455" t="s">
        <v>142</v>
      </c>
      <c r="K455" t="s">
        <v>143</v>
      </c>
      <c r="L455" t="s">
        <v>44</v>
      </c>
      <c r="M455" t="s">
        <v>61</v>
      </c>
      <c r="N455" t="s">
        <v>131</v>
      </c>
      <c r="O455" t="s">
        <v>1038</v>
      </c>
      <c r="P455">
        <v>8.1</v>
      </c>
      <c r="Q455">
        <v>91</v>
      </c>
      <c r="R455">
        <v>46.7</v>
      </c>
      <c r="S455">
        <v>6.6</v>
      </c>
      <c r="T455">
        <v>2026</v>
      </c>
      <c r="U455">
        <v>2</v>
      </c>
      <c r="V455">
        <v>1</v>
      </c>
      <c r="W455" t="s">
        <v>47</v>
      </c>
      <c r="X455" t="s">
        <v>64</v>
      </c>
      <c r="Y455" t="s">
        <v>48</v>
      </c>
    </row>
    <row r="456" spans="1:25" x14ac:dyDescent="0.35">
      <c r="A456" t="s">
        <v>1039</v>
      </c>
      <c r="B456" t="s">
        <v>609</v>
      </c>
      <c r="C456" t="s">
        <v>124</v>
      </c>
      <c r="D456" t="s">
        <v>81</v>
      </c>
      <c r="E456">
        <v>6</v>
      </c>
      <c r="F456" t="s">
        <v>29</v>
      </c>
      <c r="G456">
        <v>160000</v>
      </c>
      <c r="H456">
        <v>115000</v>
      </c>
      <c r="I456">
        <v>280000</v>
      </c>
      <c r="J456" t="s">
        <v>170</v>
      </c>
      <c r="K456" t="s">
        <v>171</v>
      </c>
      <c r="L456" t="s">
        <v>32</v>
      </c>
      <c r="M456" t="s">
        <v>61</v>
      </c>
      <c r="N456" t="s">
        <v>131</v>
      </c>
      <c r="O456" t="s">
        <v>1040</v>
      </c>
      <c r="P456">
        <v>10.5</v>
      </c>
      <c r="Q456">
        <v>88</v>
      </c>
      <c r="R456">
        <v>27.7</v>
      </c>
      <c r="S456">
        <v>9.6999999999999993</v>
      </c>
      <c r="T456">
        <v>2025</v>
      </c>
      <c r="U456">
        <v>9</v>
      </c>
      <c r="V456">
        <v>0</v>
      </c>
      <c r="W456" t="s">
        <v>36</v>
      </c>
      <c r="X456" t="s">
        <v>64</v>
      </c>
      <c r="Y456" t="s">
        <v>48</v>
      </c>
    </row>
    <row r="457" spans="1:25" x14ac:dyDescent="0.35">
      <c r="A457" t="s">
        <v>1041</v>
      </c>
      <c r="B457" t="s">
        <v>168</v>
      </c>
      <c r="C457" t="s">
        <v>169</v>
      </c>
      <c r="D457" t="s">
        <v>74</v>
      </c>
      <c r="E457">
        <v>6</v>
      </c>
      <c r="F457" t="s">
        <v>69</v>
      </c>
      <c r="G457">
        <v>208000</v>
      </c>
      <c r="H457">
        <v>157000</v>
      </c>
      <c r="I457">
        <v>218000</v>
      </c>
      <c r="J457" t="s">
        <v>174</v>
      </c>
      <c r="K457" t="s">
        <v>31</v>
      </c>
      <c r="L457" t="s">
        <v>32</v>
      </c>
      <c r="M457" t="s">
        <v>54</v>
      </c>
      <c r="N457" t="s">
        <v>110</v>
      </c>
      <c r="O457" t="s">
        <v>1042</v>
      </c>
      <c r="P457">
        <v>7.4</v>
      </c>
      <c r="Q457">
        <v>90</v>
      </c>
      <c r="R457">
        <v>5.3</v>
      </c>
      <c r="S457">
        <v>9.6999999999999993</v>
      </c>
      <c r="T457">
        <v>2026</v>
      </c>
      <c r="U457">
        <v>1</v>
      </c>
      <c r="V457">
        <v>0</v>
      </c>
      <c r="W457" t="s">
        <v>36</v>
      </c>
      <c r="X457" t="s">
        <v>64</v>
      </c>
      <c r="Y457" t="s">
        <v>38</v>
      </c>
    </row>
    <row r="458" spans="1:25" x14ac:dyDescent="0.35">
      <c r="A458" t="s">
        <v>1043</v>
      </c>
      <c r="B458" t="s">
        <v>163</v>
      </c>
      <c r="C458" t="s">
        <v>164</v>
      </c>
      <c r="D458" t="s">
        <v>81</v>
      </c>
      <c r="E458">
        <v>10</v>
      </c>
      <c r="F458" t="s">
        <v>29</v>
      </c>
      <c r="G458">
        <v>125000</v>
      </c>
      <c r="H458">
        <v>125000</v>
      </c>
      <c r="I458">
        <v>240000</v>
      </c>
      <c r="J458" t="s">
        <v>113</v>
      </c>
      <c r="K458" t="s">
        <v>114</v>
      </c>
      <c r="L458" t="s">
        <v>44</v>
      </c>
      <c r="M458" t="s">
        <v>33</v>
      </c>
      <c r="N458" t="s">
        <v>155</v>
      </c>
      <c r="O458" t="s">
        <v>1044</v>
      </c>
      <c r="P458">
        <v>14.3</v>
      </c>
      <c r="Q458">
        <v>76</v>
      </c>
      <c r="R458">
        <v>8.1</v>
      </c>
      <c r="S458">
        <v>9.1</v>
      </c>
      <c r="T458">
        <v>2025</v>
      </c>
      <c r="U458">
        <v>5</v>
      </c>
      <c r="V458">
        <v>0</v>
      </c>
      <c r="W458" t="s">
        <v>47</v>
      </c>
      <c r="X458" t="s">
        <v>64</v>
      </c>
      <c r="Y458" t="s">
        <v>95</v>
      </c>
    </row>
    <row r="459" spans="1:25" x14ac:dyDescent="0.35">
      <c r="A459" t="s">
        <v>1045</v>
      </c>
      <c r="B459" t="s">
        <v>203</v>
      </c>
      <c r="C459" t="s">
        <v>169</v>
      </c>
      <c r="D459" t="s">
        <v>81</v>
      </c>
      <c r="E459">
        <v>2</v>
      </c>
      <c r="F459" t="s">
        <v>41</v>
      </c>
      <c r="G459">
        <v>155000</v>
      </c>
      <c r="H459">
        <v>138000</v>
      </c>
      <c r="I459">
        <v>195000</v>
      </c>
      <c r="J459" t="s">
        <v>117</v>
      </c>
      <c r="K459" t="s">
        <v>118</v>
      </c>
      <c r="L459" t="s">
        <v>53</v>
      </c>
      <c r="M459" t="s">
        <v>45</v>
      </c>
      <c r="N459" t="s">
        <v>119</v>
      </c>
      <c r="O459" t="s">
        <v>1046</v>
      </c>
      <c r="P459">
        <v>8.8000000000000007</v>
      </c>
      <c r="Q459">
        <v>92</v>
      </c>
      <c r="R459">
        <v>23.2</v>
      </c>
      <c r="S459">
        <v>6.6</v>
      </c>
      <c r="T459">
        <v>2025</v>
      </c>
      <c r="U459">
        <v>2</v>
      </c>
      <c r="V459">
        <v>0</v>
      </c>
      <c r="W459" t="s">
        <v>47</v>
      </c>
      <c r="X459" t="s">
        <v>64</v>
      </c>
      <c r="Y459" t="s">
        <v>48</v>
      </c>
    </row>
    <row r="460" spans="1:25" x14ac:dyDescent="0.35">
      <c r="A460" t="s">
        <v>1047</v>
      </c>
      <c r="B460" t="s">
        <v>149</v>
      </c>
      <c r="C460" t="s">
        <v>150</v>
      </c>
      <c r="D460" t="s">
        <v>28</v>
      </c>
      <c r="E460">
        <v>3</v>
      </c>
      <c r="F460" t="s">
        <v>41</v>
      </c>
      <c r="G460">
        <v>157000</v>
      </c>
      <c r="H460">
        <v>130000</v>
      </c>
      <c r="I460">
        <v>260000</v>
      </c>
      <c r="J460" t="s">
        <v>60</v>
      </c>
      <c r="K460" t="s">
        <v>60</v>
      </c>
      <c r="L460" t="s">
        <v>32</v>
      </c>
      <c r="M460" t="s">
        <v>33</v>
      </c>
      <c r="N460" t="s">
        <v>165</v>
      </c>
      <c r="O460" t="s">
        <v>1048</v>
      </c>
      <c r="P460">
        <v>12.3</v>
      </c>
      <c r="Q460">
        <v>93</v>
      </c>
      <c r="R460">
        <v>80.2</v>
      </c>
      <c r="S460">
        <v>8.6</v>
      </c>
      <c r="T460">
        <v>2026</v>
      </c>
      <c r="U460">
        <v>2</v>
      </c>
      <c r="V460">
        <v>1</v>
      </c>
      <c r="W460" t="s">
        <v>36</v>
      </c>
      <c r="X460" t="s">
        <v>64</v>
      </c>
      <c r="Y460" t="s">
        <v>48</v>
      </c>
    </row>
    <row r="461" spans="1:25" x14ac:dyDescent="0.35">
      <c r="A461" t="s">
        <v>1049</v>
      </c>
      <c r="B461" t="s">
        <v>58</v>
      </c>
      <c r="C461" t="s">
        <v>59</v>
      </c>
      <c r="D461" t="s">
        <v>68</v>
      </c>
      <c r="E461">
        <v>8</v>
      </c>
      <c r="F461" t="s">
        <v>128</v>
      </c>
      <c r="G461">
        <v>264000</v>
      </c>
      <c r="H461">
        <v>130000</v>
      </c>
      <c r="I461">
        <v>220000</v>
      </c>
      <c r="J461" t="s">
        <v>30</v>
      </c>
      <c r="K461" t="s">
        <v>31</v>
      </c>
      <c r="L461" t="s">
        <v>44</v>
      </c>
      <c r="M461" t="s">
        <v>82</v>
      </c>
      <c r="N461" t="s">
        <v>76</v>
      </c>
      <c r="O461" t="s">
        <v>1050</v>
      </c>
      <c r="P461">
        <v>16</v>
      </c>
      <c r="Q461">
        <v>88</v>
      </c>
      <c r="R461">
        <v>29.4</v>
      </c>
      <c r="S461">
        <v>9.1</v>
      </c>
      <c r="T461">
        <v>2025</v>
      </c>
      <c r="U461">
        <v>7</v>
      </c>
      <c r="V461">
        <v>1</v>
      </c>
      <c r="W461" t="s">
        <v>47</v>
      </c>
      <c r="X461" t="s">
        <v>64</v>
      </c>
      <c r="Y461" t="s">
        <v>38</v>
      </c>
    </row>
    <row r="462" spans="1:25" x14ac:dyDescent="0.35">
      <c r="A462" t="s">
        <v>1051</v>
      </c>
      <c r="B462" t="s">
        <v>134</v>
      </c>
      <c r="C462" t="s">
        <v>27</v>
      </c>
      <c r="D462" t="s">
        <v>74</v>
      </c>
      <c r="E462">
        <v>3</v>
      </c>
      <c r="F462" t="s">
        <v>128</v>
      </c>
      <c r="G462">
        <v>150000</v>
      </c>
      <c r="H462">
        <v>150000</v>
      </c>
      <c r="I462">
        <v>295000</v>
      </c>
      <c r="J462" t="s">
        <v>142</v>
      </c>
      <c r="K462" t="s">
        <v>143</v>
      </c>
      <c r="L462" t="s">
        <v>44</v>
      </c>
      <c r="M462" t="s">
        <v>61</v>
      </c>
      <c r="N462" t="s">
        <v>76</v>
      </c>
      <c r="O462" t="s">
        <v>1052</v>
      </c>
      <c r="P462">
        <v>13</v>
      </c>
      <c r="Q462">
        <v>95</v>
      </c>
      <c r="R462">
        <v>54</v>
      </c>
      <c r="S462">
        <v>8</v>
      </c>
      <c r="T462">
        <v>2026</v>
      </c>
      <c r="U462">
        <v>2</v>
      </c>
      <c r="V462">
        <v>0</v>
      </c>
      <c r="W462" t="s">
        <v>47</v>
      </c>
      <c r="X462" t="s">
        <v>37</v>
      </c>
      <c r="Y462" t="s">
        <v>95</v>
      </c>
    </row>
    <row r="463" spans="1:25" x14ac:dyDescent="0.35">
      <c r="A463" t="s">
        <v>1053</v>
      </c>
      <c r="B463" t="s">
        <v>86</v>
      </c>
      <c r="C463" t="s">
        <v>27</v>
      </c>
      <c r="D463" t="s">
        <v>81</v>
      </c>
      <c r="E463">
        <v>5</v>
      </c>
      <c r="F463" t="s">
        <v>41</v>
      </c>
      <c r="G463">
        <v>180000</v>
      </c>
      <c r="H463">
        <v>180000</v>
      </c>
      <c r="I463">
        <v>312000</v>
      </c>
      <c r="J463" t="s">
        <v>92</v>
      </c>
      <c r="K463" t="s">
        <v>93</v>
      </c>
      <c r="L463" t="s">
        <v>44</v>
      </c>
      <c r="M463" t="s">
        <v>45</v>
      </c>
      <c r="N463" t="s">
        <v>83</v>
      </c>
      <c r="O463" t="s">
        <v>1054</v>
      </c>
      <c r="P463">
        <v>16.5</v>
      </c>
      <c r="Q463">
        <v>96</v>
      </c>
      <c r="R463">
        <v>71.8</v>
      </c>
      <c r="S463">
        <v>6.5</v>
      </c>
      <c r="T463">
        <v>2026</v>
      </c>
      <c r="U463">
        <v>3</v>
      </c>
      <c r="V463">
        <v>0</v>
      </c>
      <c r="W463" t="s">
        <v>47</v>
      </c>
      <c r="X463" t="s">
        <v>64</v>
      </c>
      <c r="Y463" t="s">
        <v>48</v>
      </c>
    </row>
    <row r="464" spans="1:25" x14ac:dyDescent="0.35">
      <c r="A464" t="s">
        <v>1055</v>
      </c>
      <c r="B464" t="s">
        <v>40</v>
      </c>
      <c r="C464" t="s">
        <v>27</v>
      </c>
      <c r="D464" t="s">
        <v>81</v>
      </c>
      <c r="E464">
        <v>1</v>
      </c>
      <c r="F464" t="s">
        <v>41</v>
      </c>
      <c r="G464">
        <v>108000</v>
      </c>
      <c r="H464">
        <v>90000</v>
      </c>
      <c r="I464">
        <v>200000</v>
      </c>
      <c r="J464" t="s">
        <v>42</v>
      </c>
      <c r="K464" t="s">
        <v>43</v>
      </c>
      <c r="L464" t="s">
        <v>44</v>
      </c>
      <c r="M464" t="s">
        <v>61</v>
      </c>
      <c r="N464" t="s">
        <v>119</v>
      </c>
      <c r="O464" t="s">
        <v>1056</v>
      </c>
      <c r="P464">
        <v>6.3</v>
      </c>
      <c r="Q464">
        <v>82</v>
      </c>
      <c r="R464">
        <v>19.8</v>
      </c>
      <c r="S464">
        <v>6.6</v>
      </c>
      <c r="T464">
        <v>2025</v>
      </c>
      <c r="U464">
        <v>3</v>
      </c>
      <c r="V464">
        <v>0</v>
      </c>
      <c r="W464" t="s">
        <v>47</v>
      </c>
      <c r="X464" t="s">
        <v>37</v>
      </c>
      <c r="Y464" t="s">
        <v>95</v>
      </c>
    </row>
    <row r="465" spans="1:25" x14ac:dyDescent="0.35">
      <c r="A465" t="s">
        <v>1057</v>
      </c>
      <c r="B465" t="s">
        <v>86</v>
      </c>
      <c r="C465" t="s">
        <v>27</v>
      </c>
      <c r="D465" t="s">
        <v>74</v>
      </c>
      <c r="E465">
        <v>11</v>
      </c>
      <c r="F465" t="s">
        <v>51</v>
      </c>
      <c r="G465">
        <v>180000</v>
      </c>
      <c r="H465">
        <v>180000</v>
      </c>
      <c r="I465">
        <v>312000</v>
      </c>
      <c r="J465" t="s">
        <v>42</v>
      </c>
      <c r="K465" t="s">
        <v>43</v>
      </c>
      <c r="L465" t="s">
        <v>44</v>
      </c>
      <c r="M465" t="s">
        <v>33</v>
      </c>
      <c r="N465" t="s">
        <v>124</v>
      </c>
      <c r="O465" t="s">
        <v>1058</v>
      </c>
      <c r="P465">
        <v>15.8</v>
      </c>
      <c r="Q465">
        <v>96</v>
      </c>
      <c r="R465">
        <v>65.8</v>
      </c>
      <c r="S465">
        <v>7.1</v>
      </c>
      <c r="T465">
        <v>2025</v>
      </c>
      <c r="U465">
        <v>11</v>
      </c>
      <c r="V465">
        <v>0</v>
      </c>
      <c r="W465" t="s">
        <v>47</v>
      </c>
      <c r="X465" t="s">
        <v>64</v>
      </c>
      <c r="Y465" t="s">
        <v>48</v>
      </c>
    </row>
    <row r="466" spans="1:25" x14ac:dyDescent="0.35">
      <c r="A466" t="s">
        <v>1059</v>
      </c>
      <c r="B466" t="s">
        <v>127</v>
      </c>
      <c r="C466" t="s">
        <v>27</v>
      </c>
      <c r="D466" t="s">
        <v>81</v>
      </c>
      <c r="E466">
        <v>9</v>
      </c>
      <c r="F466" t="s">
        <v>41</v>
      </c>
      <c r="G466">
        <v>120000</v>
      </c>
      <c r="H466">
        <v>120000</v>
      </c>
      <c r="I466">
        <v>280000</v>
      </c>
      <c r="J466" t="s">
        <v>108</v>
      </c>
      <c r="K466" t="s">
        <v>109</v>
      </c>
      <c r="L466" t="s">
        <v>44</v>
      </c>
      <c r="M466" t="s">
        <v>61</v>
      </c>
      <c r="N466" t="s">
        <v>34</v>
      </c>
      <c r="O466" t="s">
        <v>1060</v>
      </c>
      <c r="P466">
        <v>17.8</v>
      </c>
      <c r="Q466">
        <v>97</v>
      </c>
      <c r="R466">
        <v>24.1</v>
      </c>
      <c r="S466">
        <v>6.8</v>
      </c>
      <c r="T466">
        <v>2026</v>
      </c>
      <c r="U466">
        <v>1</v>
      </c>
      <c r="V466">
        <v>0</v>
      </c>
      <c r="W466" t="s">
        <v>47</v>
      </c>
      <c r="X466" t="s">
        <v>64</v>
      </c>
      <c r="Y466" t="s">
        <v>95</v>
      </c>
    </row>
    <row r="467" spans="1:25" x14ac:dyDescent="0.35">
      <c r="A467" t="s">
        <v>1061</v>
      </c>
      <c r="B467" t="s">
        <v>50</v>
      </c>
      <c r="C467" t="s">
        <v>27</v>
      </c>
      <c r="D467" t="s">
        <v>74</v>
      </c>
      <c r="E467">
        <v>7</v>
      </c>
      <c r="F467" t="s">
        <v>69</v>
      </c>
      <c r="G467">
        <v>195000</v>
      </c>
      <c r="H467">
        <v>160000</v>
      </c>
      <c r="I467">
        <v>300000</v>
      </c>
      <c r="J467" t="s">
        <v>75</v>
      </c>
      <c r="K467" t="s">
        <v>31</v>
      </c>
      <c r="L467" t="s">
        <v>44</v>
      </c>
      <c r="M467" t="s">
        <v>54</v>
      </c>
      <c r="N467" t="s">
        <v>34</v>
      </c>
      <c r="O467" t="s">
        <v>1062</v>
      </c>
      <c r="P467">
        <v>8.5</v>
      </c>
      <c r="Q467">
        <v>98</v>
      </c>
      <c r="R467">
        <v>39.5</v>
      </c>
      <c r="S467">
        <v>6.9</v>
      </c>
      <c r="T467">
        <v>2025</v>
      </c>
      <c r="U467">
        <v>2</v>
      </c>
      <c r="V467">
        <v>0</v>
      </c>
      <c r="W467" t="s">
        <v>47</v>
      </c>
      <c r="X467" t="s">
        <v>37</v>
      </c>
      <c r="Y467" t="s">
        <v>48</v>
      </c>
    </row>
    <row r="468" spans="1:25" x14ac:dyDescent="0.35">
      <c r="A468" t="s">
        <v>1063</v>
      </c>
      <c r="B468" t="s">
        <v>86</v>
      </c>
      <c r="C468" t="s">
        <v>27</v>
      </c>
      <c r="D468" t="s">
        <v>74</v>
      </c>
      <c r="E468">
        <v>8</v>
      </c>
      <c r="F468" t="s">
        <v>128</v>
      </c>
      <c r="G468">
        <v>283000</v>
      </c>
      <c r="H468">
        <v>180000</v>
      </c>
      <c r="I468">
        <v>312000</v>
      </c>
      <c r="J468" t="s">
        <v>70</v>
      </c>
      <c r="K468" t="s">
        <v>31</v>
      </c>
      <c r="L468" t="s">
        <v>32</v>
      </c>
      <c r="M468" t="s">
        <v>54</v>
      </c>
      <c r="N468" t="s">
        <v>62</v>
      </c>
      <c r="O468" t="s">
        <v>1064</v>
      </c>
      <c r="P468">
        <v>8.9</v>
      </c>
      <c r="Q468">
        <v>96</v>
      </c>
      <c r="R468">
        <v>37.5</v>
      </c>
      <c r="S468">
        <v>9.6999999999999993</v>
      </c>
      <c r="T468">
        <v>2026</v>
      </c>
      <c r="U468">
        <v>2</v>
      </c>
      <c r="V468">
        <v>0</v>
      </c>
      <c r="W468" t="s">
        <v>36</v>
      </c>
      <c r="X468" t="s">
        <v>64</v>
      </c>
      <c r="Y468" t="s">
        <v>38</v>
      </c>
    </row>
    <row r="469" spans="1:25" x14ac:dyDescent="0.35">
      <c r="A469" t="s">
        <v>1065</v>
      </c>
      <c r="B469" t="s">
        <v>79</v>
      </c>
      <c r="C469" t="s">
        <v>80</v>
      </c>
      <c r="D469" t="s">
        <v>68</v>
      </c>
      <c r="E469">
        <v>4</v>
      </c>
      <c r="F469" t="s">
        <v>128</v>
      </c>
      <c r="G469">
        <v>312000</v>
      </c>
      <c r="H469">
        <v>140000</v>
      </c>
      <c r="I469">
        <v>260000</v>
      </c>
      <c r="J469" t="s">
        <v>70</v>
      </c>
      <c r="K469" t="s">
        <v>31</v>
      </c>
      <c r="L469" t="s">
        <v>44</v>
      </c>
      <c r="M469" t="s">
        <v>82</v>
      </c>
      <c r="N469" t="s">
        <v>76</v>
      </c>
      <c r="O469" t="s">
        <v>1066</v>
      </c>
      <c r="P469">
        <v>16.7</v>
      </c>
      <c r="Q469">
        <v>80</v>
      </c>
      <c r="R469">
        <v>5.9</v>
      </c>
      <c r="S469">
        <v>6.6</v>
      </c>
      <c r="T469">
        <v>2026</v>
      </c>
      <c r="U469">
        <v>1</v>
      </c>
      <c r="V469">
        <v>1</v>
      </c>
      <c r="W469" t="s">
        <v>47</v>
      </c>
      <c r="X469" t="s">
        <v>64</v>
      </c>
      <c r="Y469" t="s">
        <v>56</v>
      </c>
    </row>
    <row r="470" spans="1:25" x14ac:dyDescent="0.35">
      <c r="A470" t="s">
        <v>1067</v>
      </c>
      <c r="B470" t="s">
        <v>26</v>
      </c>
      <c r="C470" t="s">
        <v>27</v>
      </c>
      <c r="D470" t="s">
        <v>81</v>
      </c>
      <c r="E470">
        <v>3</v>
      </c>
      <c r="F470" t="s">
        <v>29</v>
      </c>
      <c r="G470">
        <v>241000</v>
      </c>
      <c r="H470">
        <v>155000</v>
      </c>
      <c r="I470">
        <v>290000</v>
      </c>
      <c r="J470" t="s">
        <v>52</v>
      </c>
      <c r="K470" t="s">
        <v>31</v>
      </c>
      <c r="L470" t="s">
        <v>32</v>
      </c>
      <c r="M470" t="s">
        <v>61</v>
      </c>
      <c r="N470" t="s">
        <v>71</v>
      </c>
      <c r="O470" t="s">
        <v>1068</v>
      </c>
      <c r="P470">
        <v>14.1</v>
      </c>
      <c r="Q470">
        <v>96</v>
      </c>
      <c r="R470">
        <v>20.5</v>
      </c>
      <c r="S470">
        <v>6.6</v>
      </c>
      <c r="T470">
        <v>2026</v>
      </c>
      <c r="U470">
        <v>2</v>
      </c>
      <c r="V470">
        <v>0</v>
      </c>
      <c r="W470" t="s">
        <v>36</v>
      </c>
      <c r="X470" t="s">
        <v>37</v>
      </c>
      <c r="Y470" t="s">
        <v>38</v>
      </c>
    </row>
    <row r="471" spans="1:25" x14ac:dyDescent="0.35">
      <c r="A471" t="s">
        <v>1069</v>
      </c>
      <c r="B471" t="s">
        <v>203</v>
      </c>
      <c r="C471" t="s">
        <v>169</v>
      </c>
      <c r="D471" t="s">
        <v>28</v>
      </c>
      <c r="E471">
        <v>8</v>
      </c>
      <c r="F471" t="s">
        <v>51</v>
      </c>
      <c r="G471">
        <v>222000</v>
      </c>
      <c r="H471">
        <v>138000</v>
      </c>
      <c r="I471">
        <v>195000</v>
      </c>
      <c r="J471" t="s">
        <v>174</v>
      </c>
      <c r="K471" t="s">
        <v>31</v>
      </c>
      <c r="L471" t="s">
        <v>32</v>
      </c>
      <c r="M471" t="s">
        <v>61</v>
      </c>
      <c r="N471" t="s">
        <v>131</v>
      </c>
      <c r="O471" t="s">
        <v>1070</v>
      </c>
      <c r="P471">
        <v>7</v>
      </c>
      <c r="Q471">
        <v>92</v>
      </c>
      <c r="R471">
        <v>40.799999999999997</v>
      </c>
      <c r="S471">
        <v>6.3</v>
      </c>
      <c r="T471">
        <v>2026</v>
      </c>
      <c r="U471">
        <v>2</v>
      </c>
      <c r="V471">
        <v>1</v>
      </c>
      <c r="W471" t="s">
        <v>36</v>
      </c>
      <c r="X471" t="s">
        <v>64</v>
      </c>
      <c r="Y471" t="s">
        <v>38</v>
      </c>
    </row>
    <row r="472" spans="1:25" x14ac:dyDescent="0.35">
      <c r="A472" t="s">
        <v>1071</v>
      </c>
      <c r="B472" t="s">
        <v>224</v>
      </c>
      <c r="C472" t="s">
        <v>27</v>
      </c>
      <c r="D472" t="s">
        <v>68</v>
      </c>
      <c r="E472">
        <v>10</v>
      </c>
      <c r="F472" t="s">
        <v>29</v>
      </c>
      <c r="G472">
        <v>336000</v>
      </c>
      <c r="H472">
        <v>145000</v>
      </c>
      <c r="I472">
        <v>280000</v>
      </c>
      <c r="J472" t="s">
        <v>47</v>
      </c>
      <c r="K472" t="s">
        <v>87</v>
      </c>
      <c r="L472" t="s">
        <v>44</v>
      </c>
      <c r="M472" t="s">
        <v>82</v>
      </c>
      <c r="N472" t="s">
        <v>88</v>
      </c>
      <c r="O472" t="s">
        <v>1072</v>
      </c>
      <c r="P472">
        <v>8.9</v>
      </c>
      <c r="Q472">
        <v>87</v>
      </c>
      <c r="R472">
        <v>28.8</v>
      </c>
      <c r="S472">
        <v>7.4</v>
      </c>
      <c r="T472">
        <v>2026</v>
      </c>
      <c r="U472">
        <v>3</v>
      </c>
      <c r="V472">
        <v>1</v>
      </c>
      <c r="W472" t="s">
        <v>47</v>
      </c>
      <c r="X472" t="s">
        <v>64</v>
      </c>
      <c r="Y472" t="s">
        <v>56</v>
      </c>
    </row>
    <row r="473" spans="1:25" x14ac:dyDescent="0.35">
      <c r="A473" t="s">
        <v>1073</v>
      </c>
      <c r="B473" t="s">
        <v>100</v>
      </c>
      <c r="C473" t="s">
        <v>101</v>
      </c>
      <c r="D473" t="s">
        <v>74</v>
      </c>
      <c r="E473">
        <v>14</v>
      </c>
      <c r="F473" t="s">
        <v>29</v>
      </c>
      <c r="G473">
        <v>180000</v>
      </c>
      <c r="H473">
        <v>180000</v>
      </c>
      <c r="I473">
        <v>320000</v>
      </c>
      <c r="J473" t="s">
        <v>142</v>
      </c>
      <c r="K473" t="s">
        <v>143</v>
      </c>
      <c r="L473" t="s">
        <v>32</v>
      </c>
      <c r="M473" t="s">
        <v>33</v>
      </c>
      <c r="N473" t="s">
        <v>34</v>
      </c>
      <c r="O473" t="s">
        <v>1074</v>
      </c>
      <c r="P473">
        <v>16.7</v>
      </c>
      <c r="Q473">
        <v>84</v>
      </c>
      <c r="R473">
        <v>21.7</v>
      </c>
      <c r="S473">
        <v>7.3</v>
      </c>
      <c r="T473">
        <v>2026</v>
      </c>
      <c r="U473">
        <v>3</v>
      </c>
      <c r="V473">
        <v>0</v>
      </c>
      <c r="W473" t="s">
        <v>36</v>
      </c>
      <c r="X473" t="s">
        <v>64</v>
      </c>
      <c r="Y473" t="s">
        <v>48</v>
      </c>
    </row>
    <row r="474" spans="1:25" x14ac:dyDescent="0.35">
      <c r="A474" t="s">
        <v>1075</v>
      </c>
      <c r="B474" t="s">
        <v>100</v>
      </c>
      <c r="C474" t="s">
        <v>101</v>
      </c>
      <c r="D474" t="s">
        <v>81</v>
      </c>
      <c r="E474">
        <v>12</v>
      </c>
      <c r="F474" t="s">
        <v>41</v>
      </c>
      <c r="G474">
        <v>227000</v>
      </c>
      <c r="H474">
        <v>180000</v>
      </c>
      <c r="I474">
        <v>320000</v>
      </c>
      <c r="J474" t="s">
        <v>30</v>
      </c>
      <c r="K474" t="s">
        <v>31</v>
      </c>
      <c r="L474" t="s">
        <v>44</v>
      </c>
      <c r="M474" t="s">
        <v>33</v>
      </c>
      <c r="N474" t="s">
        <v>34</v>
      </c>
      <c r="O474" t="s">
        <v>1076</v>
      </c>
      <c r="P474">
        <v>8.4</v>
      </c>
      <c r="Q474">
        <v>84</v>
      </c>
      <c r="R474">
        <v>8.9</v>
      </c>
      <c r="S474">
        <v>7.8</v>
      </c>
      <c r="T474">
        <v>2026</v>
      </c>
      <c r="U474">
        <v>2</v>
      </c>
      <c r="V474">
        <v>0</v>
      </c>
      <c r="W474" t="s">
        <v>47</v>
      </c>
      <c r="X474" t="s">
        <v>64</v>
      </c>
      <c r="Y474" t="s">
        <v>38</v>
      </c>
    </row>
    <row r="475" spans="1:25" x14ac:dyDescent="0.35">
      <c r="A475" t="s">
        <v>1077</v>
      </c>
      <c r="B475" t="s">
        <v>153</v>
      </c>
      <c r="C475" t="s">
        <v>154</v>
      </c>
      <c r="D475" t="s">
        <v>68</v>
      </c>
      <c r="E475">
        <v>4</v>
      </c>
      <c r="F475" t="s">
        <v>41</v>
      </c>
      <c r="G475">
        <v>216000</v>
      </c>
      <c r="H475">
        <v>95000</v>
      </c>
      <c r="I475">
        <v>180000</v>
      </c>
      <c r="J475" t="s">
        <v>296</v>
      </c>
      <c r="K475" t="s">
        <v>31</v>
      </c>
      <c r="L475" t="s">
        <v>44</v>
      </c>
      <c r="M475" t="s">
        <v>54</v>
      </c>
      <c r="N475" t="s">
        <v>110</v>
      </c>
      <c r="O475" t="s">
        <v>1078</v>
      </c>
      <c r="P475">
        <v>9.8000000000000007</v>
      </c>
      <c r="Q475">
        <v>78</v>
      </c>
      <c r="R475">
        <v>8.5</v>
      </c>
      <c r="S475">
        <v>7</v>
      </c>
      <c r="T475">
        <v>2025</v>
      </c>
      <c r="U475">
        <v>12</v>
      </c>
      <c r="V475">
        <v>1</v>
      </c>
      <c r="W475" t="s">
        <v>47</v>
      </c>
      <c r="X475" t="s">
        <v>64</v>
      </c>
      <c r="Y475" t="s">
        <v>38</v>
      </c>
    </row>
    <row r="476" spans="1:25" x14ac:dyDescent="0.35">
      <c r="A476" t="s">
        <v>1079</v>
      </c>
      <c r="B476" t="s">
        <v>100</v>
      </c>
      <c r="C476" t="s">
        <v>101</v>
      </c>
      <c r="D476" t="s">
        <v>81</v>
      </c>
      <c r="E476">
        <v>6</v>
      </c>
      <c r="F476" t="s">
        <v>128</v>
      </c>
      <c r="G476">
        <v>269000</v>
      </c>
      <c r="H476">
        <v>180000</v>
      </c>
      <c r="I476">
        <v>320000</v>
      </c>
      <c r="J476" t="s">
        <v>122</v>
      </c>
      <c r="K476" t="s">
        <v>123</v>
      </c>
      <c r="L476" t="s">
        <v>53</v>
      </c>
      <c r="M476" t="s">
        <v>54</v>
      </c>
      <c r="N476" t="s">
        <v>83</v>
      </c>
      <c r="O476" t="s">
        <v>1080</v>
      </c>
      <c r="P476">
        <v>12.8</v>
      </c>
      <c r="Q476">
        <v>84</v>
      </c>
      <c r="R476">
        <v>18.399999999999999</v>
      </c>
      <c r="S476">
        <v>9</v>
      </c>
      <c r="T476">
        <v>2026</v>
      </c>
      <c r="U476">
        <v>2</v>
      </c>
      <c r="V476">
        <v>0</v>
      </c>
      <c r="W476" t="s">
        <v>47</v>
      </c>
      <c r="X476" t="s">
        <v>64</v>
      </c>
      <c r="Y476" t="s">
        <v>38</v>
      </c>
    </row>
    <row r="477" spans="1:25" x14ac:dyDescent="0.35">
      <c r="A477" t="s">
        <v>1081</v>
      </c>
      <c r="B477" t="s">
        <v>58</v>
      </c>
      <c r="C477" t="s">
        <v>59</v>
      </c>
      <c r="D477" t="s">
        <v>74</v>
      </c>
      <c r="E477">
        <v>6</v>
      </c>
      <c r="F477" t="s">
        <v>51</v>
      </c>
      <c r="G477">
        <v>130000</v>
      </c>
      <c r="H477">
        <v>130000</v>
      </c>
      <c r="I477">
        <v>220000</v>
      </c>
      <c r="J477" t="s">
        <v>92</v>
      </c>
      <c r="K477" t="s">
        <v>93</v>
      </c>
      <c r="L477" t="s">
        <v>53</v>
      </c>
      <c r="M477" t="s">
        <v>45</v>
      </c>
      <c r="N477" t="s">
        <v>131</v>
      </c>
      <c r="O477" t="s">
        <v>1082</v>
      </c>
      <c r="P477">
        <v>17.3</v>
      </c>
      <c r="Q477">
        <v>88</v>
      </c>
      <c r="R477">
        <v>17.5</v>
      </c>
      <c r="S477">
        <v>7.2</v>
      </c>
      <c r="T477">
        <v>2026</v>
      </c>
      <c r="U477">
        <v>3</v>
      </c>
      <c r="V477">
        <v>0</v>
      </c>
      <c r="W477" t="s">
        <v>47</v>
      </c>
      <c r="X477" t="s">
        <v>64</v>
      </c>
      <c r="Y477" t="s">
        <v>95</v>
      </c>
    </row>
    <row r="478" spans="1:25" x14ac:dyDescent="0.35">
      <c r="A478" t="s">
        <v>1083</v>
      </c>
      <c r="B478" t="s">
        <v>40</v>
      </c>
      <c r="C478" t="s">
        <v>27</v>
      </c>
      <c r="D478" t="s">
        <v>74</v>
      </c>
      <c r="E478">
        <v>2</v>
      </c>
      <c r="F478" t="s">
        <v>69</v>
      </c>
      <c r="G478">
        <v>109000</v>
      </c>
      <c r="H478">
        <v>90000</v>
      </c>
      <c r="I478">
        <v>200000</v>
      </c>
      <c r="J478" t="s">
        <v>142</v>
      </c>
      <c r="K478" t="s">
        <v>143</v>
      </c>
      <c r="L478" t="s">
        <v>44</v>
      </c>
      <c r="M478" t="s">
        <v>54</v>
      </c>
      <c r="N478" t="s">
        <v>165</v>
      </c>
      <c r="O478" t="s">
        <v>1084</v>
      </c>
      <c r="P478">
        <v>5.4</v>
      </c>
      <c r="Q478">
        <v>82</v>
      </c>
      <c r="R478">
        <v>28.8</v>
      </c>
      <c r="S478">
        <v>9.6999999999999993</v>
      </c>
      <c r="T478">
        <v>2026</v>
      </c>
      <c r="U478">
        <v>1</v>
      </c>
      <c r="V478">
        <v>0</v>
      </c>
      <c r="W478" t="s">
        <v>47</v>
      </c>
      <c r="X478" t="s">
        <v>37</v>
      </c>
      <c r="Y478" t="s">
        <v>95</v>
      </c>
    </row>
    <row r="479" spans="1:25" x14ac:dyDescent="0.35">
      <c r="A479" t="s">
        <v>1085</v>
      </c>
      <c r="B479" t="s">
        <v>58</v>
      </c>
      <c r="C479" t="s">
        <v>59</v>
      </c>
      <c r="D479" t="s">
        <v>28</v>
      </c>
      <c r="E479">
        <v>8</v>
      </c>
      <c r="F479" t="s">
        <v>128</v>
      </c>
      <c r="G479">
        <v>171000</v>
      </c>
      <c r="H479">
        <v>130000</v>
      </c>
      <c r="I479">
        <v>220000</v>
      </c>
      <c r="J479" t="s">
        <v>60</v>
      </c>
      <c r="K479" t="s">
        <v>60</v>
      </c>
      <c r="L479" t="s">
        <v>53</v>
      </c>
      <c r="M479" t="s">
        <v>33</v>
      </c>
      <c r="N479" t="s">
        <v>83</v>
      </c>
      <c r="O479" t="s">
        <v>1086</v>
      </c>
      <c r="P479">
        <v>12.3</v>
      </c>
      <c r="Q479">
        <v>88</v>
      </c>
      <c r="R479">
        <v>29.4</v>
      </c>
      <c r="S479">
        <v>7.3</v>
      </c>
      <c r="T479">
        <v>2026</v>
      </c>
      <c r="U479">
        <v>2</v>
      </c>
      <c r="V479">
        <v>1</v>
      </c>
      <c r="W479" t="s">
        <v>47</v>
      </c>
      <c r="X479" t="s">
        <v>64</v>
      </c>
      <c r="Y479" t="s">
        <v>48</v>
      </c>
    </row>
    <row r="480" spans="1:25" x14ac:dyDescent="0.35">
      <c r="A480" t="s">
        <v>1087</v>
      </c>
      <c r="B480" t="s">
        <v>40</v>
      </c>
      <c r="C480" t="s">
        <v>27</v>
      </c>
      <c r="D480" t="s">
        <v>81</v>
      </c>
      <c r="E480">
        <v>3</v>
      </c>
      <c r="F480" t="s">
        <v>51</v>
      </c>
      <c r="G480">
        <v>94000</v>
      </c>
      <c r="H480">
        <v>90000</v>
      </c>
      <c r="I480">
        <v>200000</v>
      </c>
      <c r="J480" t="s">
        <v>60</v>
      </c>
      <c r="K480" t="s">
        <v>60</v>
      </c>
      <c r="L480" t="s">
        <v>53</v>
      </c>
      <c r="M480" t="s">
        <v>61</v>
      </c>
      <c r="N480" t="s">
        <v>88</v>
      </c>
      <c r="O480" t="s">
        <v>1088</v>
      </c>
      <c r="P480">
        <v>7.4</v>
      </c>
      <c r="Q480">
        <v>82</v>
      </c>
      <c r="R480">
        <v>18.600000000000001</v>
      </c>
      <c r="S480">
        <v>8.4</v>
      </c>
      <c r="T480">
        <v>2026</v>
      </c>
      <c r="U480">
        <v>1</v>
      </c>
      <c r="V480">
        <v>0</v>
      </c>
      <c r="W480" t="s">
        <v>47</v>
      </c>
      <c r="X480" t="s">
        <v>37</v>
      </c>
      <c r="Y480" t="s">
        <v>98</v>
      </c>
    </row>
    <row r="481" spans="1:25" x14ac:dyDescent="0.35">
      <c r="A481" t="s">
        <v>1089</v>
      </c>
      <c r="B481" t="s">
        <v>146</v>
      </c>
      <c r="C481" t="s">
        <v>27</v>
      </c>
      <c r="D481" t="s">
        <v>81</v>
      </c>
      <c r="E481">
        <v>7</v>
      </c>
      <c r="F481" t="s">
        <v>29</v>
      </c>
      <c r="G481">
        <v>208000</v>
      </c>
      <c r="H481">
        <v>160000</v>
      </c>
      <c r="I481">
        <v>300000</v>
      </c>
      <c r="J481" t="s">
        <v>129</v>
      </c>
      <c r="K481" t="s">
        <v>130</v>
      </c>
      <c r="L481" t="s">
        <v>53</v>
      </c>
      <c r="M481" t="s">
        <v>45</v>
      </c>
      <c r="N481" t="s">
        <v>119</v>
      </c>
      <c r="O481" t="s">
        <v>1090</v>
      </c>
      <c r="P481">
        <v>15.4</v>
      </c>
      <c r="Q481">
        <v>90</v>
      </c>
      <c r="R481">
        <v>5.2</v>
      </c>
      <c r="S481">
        <v>7.4</v>
      </c>
      <c r="T481">
        <v>2025</v>
      </c>
      <c r="U481">
        <v>5</v>
      </c>
      <c r="V481">
        <v>0</v>
      </c>
      <c r="W481" t="s">
        <v>47</v>
      </c>
      <c r="X481" t="s">
        <v>64</v>
      </c>
      <c r="Y481" t="s">
        <v>38</v>
      </c>
    </row>
    <row r="482" spans="1:25" x14ac:dyDescent="0.35">
      <c r="A482" t="s">
        <v>1091</v>
      </c>
      <c r="B482" t="s">
        <v>224</v>
      </c>
      <c r="C482" t="s">
        <v>27</v>
      </c>
      <c r="D482" t="s">
        <v>68</v>
      </c>
      <c r="E482">
        <v>9</v>
      </c>
      <c r="F482" t="s">
        <v>29</v>
      </c>
      <c r="G482">
        <v>203000</v>
      </c>
      <c r="H482">
        <v>145000</v>
      </c>
      <c r="I482">
        <v>280000</v>
      </c>
      <c r="J482" t="s">
        <v>142</v>
      </c>
      <c r="K482" t="s">
        <v>143</v>
      </c>
      <c r="L482" t="s">
        <v>32</v>
      </c>
      <c r="M482" t="s">
        <v>82</v>
      </c>
      <c r="N482" t="s">
        <v>83</v>
      </c>
      <c r="O482" t="s">
        <v>1092</v>
      </c>
      <c r="P482">
        <v>7</v>
      </c>
      <c r="Q482">
        <v>87</v>
      </c>
      <c r="R482">
        <v>15.8</v>
      </c>
      <c r="S482">
        <v>8.1</v>
      </c>
      <c r="T482">
        <v>2025</v>
      </c>
      <c r="U482">
        <v>10</v>
      </c>
      <c r="V482">
        <v>1</v>
      </c>
      <c r="W482" t="s">
        <v>36</v>
      </c>
      <c r="X482" t="s">
        <v>64</v>
      </c>
      <c r="Y482" t="s">
        <v>38</v>
      </c>
    </row>
    <row r="483" spans="1:25" x14ac:dyDescent="0.35">
      <c r="A483" t="s">
        <v>1093</v>
      </c>
      <c r="B483" t="s">
        <v>26</v>
      </c>
      <c r="C483" t="s">
        <v>27</v>
      </c>
      <c r="D483" t="s">
        <v>68</v>
      </c>
      <c r="E483">
        <v>5</v>
      </c>
      <c r="F483" t="s">
        <v>29</v>
      </c>
      <c r="G483">
        <v>266000</v>
      </c>
      <c r="H483">
        <v>155000</v>
      </c>
      <c r="I483">
        <v>290000</v>
      </c>
      <c r="J483" t="s">
        <v>137</v>
      </c>
      <c r="K483" t="s">
        <v>138</v>
      </c>
      <c r="L483" t="s">
        <v>53</v>
      </c>
      <c r="M483" t="s">
        <v>33</v>
      </c>
      <c r="N483" t="s">
        <v>124</v>
      </c>
      <c r="O483" t="s">
        <v>1094</v>
      </c>
      <c r="P483">
        <v>13</v>
      </c>
      <c r="Q483">
        <v>96</v>
      </c>
      <c r="R483">
        <v>61.1</v>
      </c>
      <c r="S483">
        <v>9</v>
      </c>
      <c r="T483">
        <v>2026</v>
      </c>
      <c r="U483">
        <v>3</v>
      </c>
      <c r="V483">
        <v>1</v>
      </c>
      <c r="W483" t="s">
        <v>47</v>
      </c>
      <c r="X483" t="s">
        <v>37</v>
      </c>
      <c r="Y483" t="s">
        <v>38</v>
      </c>
    </row>
    <row r="484" spans="1:25" x14ac:dyDescent="0.35">
      <c r="A484" t="s">
        <v>1095</v>
      </c>
      <c r="B484" t="s">
        <v>224</v>
      </c>
      <c r="C484" t="s">
        <v>27</v>
      </c>
      <c r="D484" t="s">
        <v>28</v>
      </c>
      <c r="E484">
        <v>3</v>
      </c>
      <c r="F484" t="s">
        <v>29</v>
      </c>
      <c r="G484">
        <v>161000</v>
      </c>
      <c r="H484">
        <v>145000</v>
      </c>
      <c r="I484">
        <v>280000</v>
      </c>
      <c r="J484" t="s">
        <v>102</v>
      </c>
      <c r="K484" t="s">
        <v>103</v>
      </c>
      <c r="L484" t="s">
        <v>44</v>
      </c>
      <c r="M484" t="s">
        <v>61</v>
      </c>
      <c r="N484" t="s">
        <v>88</v>
      </c>
      <c r="O484" t="s">
        <v>1096</v>
      </c>
      <c r="P484">
        <v>8.4</v>
      </c>
      <c r="Q484">
        <v>87</v>
      </c>
      <c r="R484">
        <v>9.6999999999999993</v>
      </c>
      <c r="S484">
        <v>8.5</v>
      </c>
      <c r="T484">
        <v>2025</v>
      </c>
      <c r="U484">
        <v>4</v>
      </c>
      <c r="V484">
        <v>1</v>
      </c>
      <c r="W484" t="s">
        <v>47</v>
      </c>
      <c r="X484" t="s">
        <v>64</v>
      </c>
      <c r="Y484" t="s">
        <v>48</v>
      </c>
    </row>
    <row r="485" spans="1:25" x14ac:dyDescent="0.35">
      <c r="A485" t="s">
        <v>1097</v>
      </c>
      <c r="B485" t="s">
        <v>163</v>
      </c>
      <c r="C485" t="s">
        <v>164</v>
      </c>
      <c r="D485" t="s">
        <v>28</v>
      </c>
      <c r="E485">
        <v>5</v>
      </c>
      <c r="F485" t="s">
        <v>41</v>
      </c>
      <c r="G485">
        <v>178000</v>
      </c>
      <c r="H485">
        <v>125000</v>
      </c>
      <c r="I485">
        <v>240000</v>
      </c>
      <c r="J485" t="s">
        <v>42</v>
      </c>
      <c r="K485" t="s">
        <v>43</v>
      </c>
      <c r="L485" t="s">
        <v>32</v>
      </c>
      <c r="M485" t="s">
        <v>45</v>
      </c>
      <c r="N485" t="s">
        <v>165</v>
      </c>
      <c r="O485" t="s">
        <v>1098</v>
      </c>
      <c r="P485">
        <v>9.4</v>
      </c>
      <c r="Q485">
        <v>76</v>
      </c>
      <c r="R485">
        <v>11.5</v>
      </c>
      <c r="S485">
        <v>6.7</v>
      </c>
      <c r="T485">
        <v>2025</v>
      </c>
      <c r="U485">
        <v>6</v>
      </c>
      <c r="V485">
        <v>1</v>
      </c>
      <c r="W485" t="s">
        <v>36</v>
      </c>
      <c r="X485" t="s">
        <v>64</v>
      </c>
      <c r="Y485" t="s">
        <v>48</v>
      </c>
    </row>
    <row r="486" spans="1:25" x14ac:dyDescent="0.35">
      <c r="A486" t="s">
        <v>1099</v>
      </c>
      <c r="B486" t="s">
        <v>141</v>
      </c>
      <c r="C486" t="s">
        <v>27</v>
      </c>
      <c r="D486" t="s">
        <v>68</v>
      </c>
      <c r="E486">
        <v>10</v>
      </c>
      <c r="F486" t="s">
        <v>41</v>
      </c>
      <c r="G486">
        <v>196000</v>
      </c>
      <c r="H486">
        <v>141000</v>
      </c>
      <c r="I486">
        <v>270000</v>
      </c>
      <c r="J486" t="s">
        <v>137</v>
      </c>
      <c r="K486" t="s">
        <v>138</v>
      </c>
      <c r="L486" t="s">
        <v>44</v>
      </c>
      <c r="M486" t="s">
        <v>33</v>
      </c>
      <c r="N486" t="s">
        <v>131</v>
      </c>
      <c r="O486" t="s">
        <v>1100</v>
      </c>
      <c r="P486">
        <v>9.3000000000000007</v>
      </c>
      <c r="Q486">
        <v>89</v>
      </c>
      <c r="R486">
        <v>21.5</v>
      </c>
      <c r="S486">
        <v>8.4</v>
      </c>
      <c r="T486">
        <v>2026</v>
      </c>
      <c r="U486">
        <v>1</v>
      </c>
      <c r="V486">
        <v>1</v>
      </c>
      <c r="W486" t="s">
        <v>47</v>
      </c>
      <c r="X486" t="s">
        <v>64</v>
      </c>
      <c r="Y486" t="s">
        <v>48</v>
      </c>
    </row>
    <row r="487" spans="1:25" x14ac:dyDescent="0.35">
      <c r="A487" t="s">
        <v>1101</v>
      </c>
      <c r="B487" t="s">
        <v>66</v>
      </c>
      <c r="C487" t="s">
        <v>67</v>
      </c>
      <c r="D487" t="s">
        <v>74</v>
      </c>
      <c r="E487">
        <v>6</v>
      </c>
      <c r="F487" t="s">
        <v>29</v>
      </c>
      <c r="G487">
        <v>147000</v>
      </c>
      <c r="H487">
        <v>140000</v>
      </c>
      <c r="I487">
        <v>260000</v>
      </c>
      <c r="J487" t="s">
        <v>60</v>
      </c>
      <c r="K487" t="s">
        <v>60</v>
      </c>
      <c r="L487" t="s">
        <v>53</v>
      </c>
      <c r="M487" t="s">
        <v>45</v>
      </c>
      <c r="N487" t="s">
        <v>155</v>
      </c>
      <c r="O487" t="s">
        <v>1102</v>
      </c>
      <c r="P487">
        <v>10.199999999999999</v>
      </c>
      <c r="Q487">
        <v>85</v>
      </c>
      <c r="R487">
        <v>14.1</v>
      </c>
      <c r="S487">
        <v>9.4</v>
      </c>
      <c r="T487">
        <v>2025</v>
      </c>
      <c r="U487">
        <v>3</v>
      </c>
      <c r="V487">
        <v>0</v>
      </c>
      <c r="W487" t="s">
        <v>47</v>
      </c>
      <c r="X487" t="s">
        <v>64</v>
      </c>
      <c r="Y487" t="s">
        <v>95</v>
      </c>
    </row>
    <row r="488" spans="1:25" x14ac:dyDescent="0.35">
      <c r="A488" t="s">
        <v>1103</v>
      </c>
      <c r="B488" t="s">
        <v>91</v>
      </c>
      <c r="C488" t="s">
        <v>27</v>
      </c>
      <c r="D488" t="s">
        <v>28</v>
      </c>
      <c r="E488">
        <v>4</v>
      </c>
      <c r="F488" t="s">
        <v>128</v>
      </c>
      <c r="G488">
        <v>300000</v>
      </c>
      <c r="H488">
        <v>145000</v>
      </c>
      <c r="I488">
        <v>290000</v>
      </c>
      <c r="J488" t="s">
        <v>52</v>
      </c>
      <c r="K488" t="s">
        <v>31</v>
      </c>
      <c r="L488" t="s">
        <v>44</v>
      </c>
      <c r="M488" t="s">
        <v>61</v>
      </c>
      <c r="N488" t="s">
        <v>71</v>
      </c>
      <c r="O488" t="s">
        <v>1104</v>
      </c>
      <c r="P488">
        <v>4.4000000000000004</v>
      </c>
      <c r="Q488">
        <v>91</v>
      </c>
      <c r="R488">
        <v>76.8</v>
      </c>
      <c r="S488">
        <v>8.6999999999999993</v>
      </c>
      <c r="T488">
        <v>2026</v>
      </c>
      <c r="U488">
        <v>1</v>
      </c>
      <c r="V488">
        <v>1</v>
      </c>
      <c r="W488" t="s">
        <v>47</v>
      </c>
      <c r="X488" t="s">
        <v>64</v>
      </c>
      <c r="Y488" t="s">
        <v>38</v>
      </c>
    </row>
    <row r="489" spans="1:25" x14ac:dyDescent="0.35">
      <c r="A489" t="s">
        <v>1105</v>
      </c>
      <c r="B489" t="s">
        <v>153</v>
      </c>
      <c r="C489" t="s">
        <v>154</v>
      </c>
      <c r="D489" t="s">
        <v>81</v>
      </c>
      <c r="E489">
        <v>5</v>
      </c>
      <c r="F489" t="s">
        <v>29</v>
      </c>
      <c r="G489">
        <v>95000</v>
      </c>
      <c r="H489">
        <v>95000</v>
      </c>
      <c r="I489">
        <v>180000</v>
      </c>
      <c r="J489" t="s">
        <v>92</v>
      </c>
      <c r="K489" t="s">
        <v>93</v>
      </c>
      <c r="L489" t="s">
        <v>44</v>
      </c>
      <c r="M489" t="s">
        <v>82</v>
      </c>
      <c r="N489" t="s">
        <v>165</v>
      </c>
      <c r="O489" t="s">
        <v>1106</v>
      </c>
      <c r="P489">
        <v>10</v>
      </c>
      <c r="Q489">
        <v>78</v>
      </c>
      <c r="R489">
        <v>13.8</v>
      </c>
      <c r="S489">
        <v>9.4</v>
      </c>
      <c r="T489">
        <v>2026</v>
      </c>
      <c r="U489">
        <v>2</v>
      </c>
      <c r="V489">
        <v>0</v>
      </c>
      <c r="W489" t="s">
        <v>47</v>
      </c>
      <c r="X489" t="s">
        <v>64</v>
      </c>
      <c r="Y489" t="s">
        <v>98</v>
      </c>
    </row>
    <row r="490" spans="1:25" x14ac:dyDescent="0.35">
      <c r="A490" t="s">
        <v>1107</v>
      </c>
      <c r="B490" t="s">
        <v>609</v>
      </c>
      <c r="C490" t="s">
        <v>124</v>
      </c>
      <c r="D490" t="s">
        <v>28</v>
      </c>
      <c r="E490">
        <v>12</v>
      </c>
      <c r="F490" t="s">
        <v>51</v>
      </c>
      <c r="G490">
        <v>297000</v>
      </c>
      <c r="H490">
        <v>115000</v>
      </c>
      <c r="I490">
        <v>280000</v>
      </c>
      <c r="J490" t="s">
        <v>296</v>
      </c>
      <c r="K490" t="s">
        <v>31</v>
      </c>
      <c r="L490" t="s">
        <v>32</v>
      </c>
      <c r="M490" t="s">
        <v>54</v>
      </c>
      <c r="N490" t="s">
        <v>71</v>
      </c>
      <c r="O490" t="s">
        <v>1108</v>
      </c>
      <c r="P490">
        <v>14.6</v>
      </c>
      <c r="Q490">
        <v>88</v>
      </c>
      <c r="R490">
        <v>14.3</v>
      </c>
      <c r="S490">
        <v>9</v>
      </c>
      <c r="T490">
        <v>2025</v>
      </c>
      <c r="U490">
        <v>6</v>
      </c>
      <c r="V490">
        <v>1</v>
      </c>
      <c r="W490" t="s">
        <v>36</v>
      </c>
      <c r="X490" t="s">
        <v>64</v>
      </c>
      <c r="Y490" t="s">
        <v>38</v>
      </c>
    </row>
    <row r="491" spans="1:25" x14ac:dyDescent="0.35">
      <c r="A491" t="s">
        <v>1109</v>
      </c>
      <c r="B491" t="s">
        <v>185</v>
      </c>
      <c r="C491" t="s">
        <v>186</v>
      </c>
      <c r="D491" t="s">
        <v>81</v>
      </c>
      <c r="E491">
        <v>5</v>
      </c>
      <c r="F491" t="s">
        <v>69</v>
      </c>
      <c r="G491">
        <v>222000</v>
      </c>
      <c r="H491">
        <v>140000</v>
      </c>
      <c r="I491">
        <v>270000</v>
      </c>
      <c r="J491" t="s">
        <v>174</v>
      </c>
      <c r="K491" t="s">
        <v>31</v>
      </c>
      <c r="L491" t="s">
        <v>44</v>
      </c>
      <c r="M491" t="s">
        <v>82</v>
      </c>
      <c r="N491" t="s">
        <v>34</v>
      </c>
      <c r="O491" t="s">
        <v>1110</v>
      </c>
      <c r="P491">
        <v>15.2</v>
      </c>
      <c r="Q491">
        <v>85</v>
      </c>
      <c r="R491">
        <v>28.7</v>
      </c>
      <c r="S491">
        <v>9.1</v>
      </c>
      <c r="T491">
        <v>2026</v>
      </c>
      <c r="U491">
        <v>3</v>
      </c>
      <c r="V491">
        <v>0</v>
      </c>
      <c r="W491" t="s">
        <v>47</v>
      </c>
      <c r="X491" t="s">
        <v>64</v>
      </c>
      <c r="Y491" t="s">
        <v>38</v>
      </c>
    </row>
    <row r="492" spans="1:25" x14ac:dyDescent="0.35">
      <c r="A492" t="s">
        <v>1111</v>
      </c>
      <c r="B492" t="s">
        <v>26</v>
      </c>
      <c r="C492" t="s">
        <v>27</v>
      </c>
      <c r="D492" t="s">
        <v>28</v>
      </c>
      <c r="E492">
        <v>2</v>
      </c>
      <c r="F492" t="s">
        <v>128</v>
      </c>
      <c r="G492">
        <v>253000</v>
      </c>
      <c r="H492">
        <v>155000</v>
      </c>
      <c r="I492">
        <v>290000</v>
      </c>
      <c r="J492" t="s">
        <v>122</v>
      </c>
      <c r="K492" t="s">
        <v>123</v>
      </c>
      <c r="L492" t="s">
        <v>44</v>
      </c>
      <c r="M492" t="s">
        <v>45</v>
      </c>
      <c r="N492" t="s">
        <v>165</v>
      </c>
      <c r="O492" t="s">
        <v>1112</v>
      </c>
      <c r="P492">
        <v>13.8</v>
      </c>
      <c r="Q492">
        <v>96</v>
      </c>
      <c r="R492">
        <v>35.799999999999997</v>
      </c>
      <c r="S492">
        <v>8.4</v>
      </c>
      <c r="T492">
        <v>2026</v>
      </c>
      <c r="U492">
        <v>1</v>
      </c>
      <c r="V492">
        <v>1</v>
      </c>
      <c r="W492" t="s">
        <v>47</v>
      </c>
      <c r="X492" t="s">
        <v>37</v>
      </c>
      <c r="Y492" t="s">
        <v>38</v>
      </c>
    </row>
    <row r="493" spans="1:25" x14ac:dyDescent="0.35">
      <c r="A493" t="s">
        <v>1113</v>
      </c>
      <c r="B493" t="s">
        <v>100</v>
      </c>
      <c r="C493" t="s">
        <v>101</v>
      </c>
      <c r="D493" t="s">
        <v>68</v>
      </c>
      <c r="E493">
        <v>14</v>
      </c>
      <c r="F493" t="s">
        <v>41</v>
      </c>
      <c r="G493">
        <v>276000</v>
      </c>
      <c r="H493">
        <v>180000</v>
      </c>
      <c r="I493">
        <v>320000</v>
      </c>
      <c r="J493" t="s">
        <v>129</v>
      </c>
      <c r="K493" t="s">
        <v>130</v>
      </c>
      <c r="L493" t="s">
        <v>44</v>
      </c>
      <c r="M493" t="s">
        <v>61</v>
      </c>
      <c r="N493" t="s">
        <v>124</v>
      </c>
      <c r="O493" t="s">
        <v>1114</v>
      </c>
      <c r="P493">
        <v>11.2</v>
      </c>
      <c r="Q493">
        <v>84</v>
      </c>
      <c r="R493">
        <v>13.6</v>
      </c>
      <c r="S493">
        <v>6.3</v>
      </c>
      <c r="T493">
        <v>2026</v>
      </c>
      <c r="U493">
        <v>2</v>
      </c>
      <c r="V493">
        <v>1</v>
      </c>
      <c r="W493" t="s">
        <v>47</v>
      </c>
      <c r="X493" t="s">
        <v>64</v>
      </c>
      <c r="Y493" t="s">
        <v>38</v>
      </c>
    </row>
    <row r="494" spans="1:25" x14ac:dyDescent="0.35">
      <c r="A494" t="s">
        <v>1115</v>
      </c>
      <c r="B494" t="s">
        <v>158</v>
      </c>
      <c r="C494" t="s">
        <v>27</v>
      </c>
      <c r="D494" t="s">
        <v>28</v>
      </c>
      <c r="E494">
        <v>7</v>
      </c>
      <c r="F494" t="s">
        <v>69</v>
      </c>
      <c r="G494">
        <v>293000</v>
      </c>
      <c r="H494">
        <v>145000</v>
      </c>
      <c r="I494">
        <v>280000</v>
      </c>
      <c r="J494" t="s">
        <v>296</v>
      </c>
      <c r="K494" t="s">
        <v>31</v>
      </c>
      <c r="L494" t="s">
        <v>53</v>
      </c>
      <c r="M494" t="s">
        <v>45</v>
      </c>
      <c r="N494" t="s">
        <v>62</v>
      </c>
      <c r="O494" t="s">
        <v>1116</v>
      </c>
      <c r="P494">
        <v>4</v>
      </c>
      <c r="Q494">
        <v>94</v>
      </c>
      <c r="R494">
        <v>87.5</v>
      </c>
      <c r="S494">
        <v>9.3000000000000007</v>
      </c>
      <c r="T494">
        <v>2026</v>
      </c>
      <c r="U494">
        <v>1</v>
      </c>
      <c r="V494">
        <v>1</v>
      </c>
      <c r="W494" t="s">
        <v>47</v>
      </c>
      <c r="X494" t="s">
        <v>37</v>
      </c>
      <c r="Y494" t="s">
        <v>38</v>
      </c>
    </row>
    <row r="495" spans="1:25" x14ac:dyDescent="0.35">
      <c r="A495" t="s">
        <v>1117</v>
      </c>
      <c r="B495" t="s">
        <v>609</v>
      </c>
      <c r="C495" t="s">
        <v>124</v>
      </c>
      <c r="D495" t="s">
        <v>28</v>
      </c>
      <c r="E495">
        <v>4</v>
      </c>
      <c r="F495" t="s">
        <v>51</v>
      </c>
      <c r="G495">
        <v>221000</v>
      </c>
      <c r="H495">
        <v>115000</v>
      </c>
      <c r="I495">
        <v>280000</v>
      </c>
      <c r="J495" t="s">
        <v>52</v>
      </c>
      <c r="K495" t="s">
        <v>31</v>
      </c>
      <c r="L495" t="s">
        <v>44</v>
      </c>
      <c r="M495" t="s">
        <v>61</v>
      </c>
      <c r="N495" t="s">
        <v>110</v>
      </c>
      <c r="O495" t="s">
        <v>1118</v>
      </c>
      <c r="P495">
        <v>17.2</v>
      </c>
      <c r="Q495">
        <v>88</v>
      </c>
      <c r="R495">
        <v>19.600000000000001</v>
      </c>
      <c r="S495">
        <v>6.5</v>
      </c>
      <c r="T495">
        <v>2025</v>
      </c>
      <c r="U495">
        <v>3</v>
      </c>
      <c r="V495">
        <v>1</v>
      </c>
      <c r="W495" t="s">
        <v>47</v>
      </c>
      <c r="X495" t="s">
        <v>64</v>
      </c>
      <c r="Y495" t="s">
        <v>38</v>
      </c>
    </row>
    <row r="496" spans="1:25" x14ac:dyDescent="0.35">
      <c r="A496" t="s">
        <v>1119</v>
      </c>
      <c r="B496" t="s">
        <v>233</v>
      </c>
      <c r="C496" t="s">
        <v>180</v>
      </c>
      <c r="D496" t="s">
        <v>68</v>
      </c>
      <c r="E496">
        <v>6</v>
      </c>
      <c r="F496" t="s">
        <v>41</v>
      </c>
      <c r="G496">
        <v>100000</v>
      </c>
      <c r="H496">
        <v>100000</v>
      </c>
      <c r="I496">
        <v>200000</v>
      </c>
      <c r="J496" t="s">
        <v>92</v>
      </c>
      <c r="K496" t="s">
        <v>93</v>
      </c>
      <c r="L496" t="s">
        <v>53</v>
      </c>
      <c r="M496" t="s">
        <v>45</v>
      </c>
      <c r="N496" t="s">
        <v>110</v>
      </c>
      <c r="O496" t="s">
        <v>1120</v>
      </c>
      <c r="P496">
        <v>15.1</v>
      </c>
      <c r="Q496">
        <v>68</v>
      </c>
      <c r="R496">
        <v>13.8</v>
      </c>
      <c r="S496">
        <v>9.1999999999999993</v>
      </c>
      <c r="T496">
        <v>2025</v>
      </c>
      <c r="U496">
        <v>11</v>
      </c>
      <c r="V496">
        <v>1</v>
      </c>
      <c r="W496" t="s">
        <v>47</v>
      </c>
      <c r="X496" t="s">
        <v>64</v>
      </c>
      <c r="Y496" t="s">
        <v>98</v>
      </c>
    </row>
    <row r="497" spans="1:25" x14ac:dyDescent="0.35">
      <c r="A497" t="s">
        <v>1121</v>
      </c>
      <c r="B497" t="s">
        <v>134</v>
      </c>
      <c r="C497" t="s">
        <v>27</v>
      </c>
      <c r="D497" t="s">
        <v>74</v>
      </c>
      <c r="E497">
        <v>2</v>
      </c>
      <c r="F497" t="s">
        <v>69</v>
      </c>
      <c r="G497">
        <v>150000</v>
      </c>
      <c r="H497">
        <v>150000</v>
      </c>
      <c r="I497">
        <v>295000</v>
      </c>
      <c r="J497" t="s">
        <v>70</v>
      </c>
      <c r="K497" t="s">
        <v>31</v>
      </c>
      <c r="L497" t="s">
        <v>53</v>
      </c>
      <c r="M497" t="s">
        <v>33</v>
      </c>
      <c r="N497" t="s">
        <v>71</v>
      </c>
      <c r="O497" t="s">
        <v>1122</v>
      </c>
      <c r="P497">
        <v>15.6</v>
      </c>
      <c r="Q497">
        <v>95</v>
      </c>
      <c r="R497">
        <v>52.5</v>
      </c>
      <c r="S497">
        <v>7.2</v>
      </c>
      <c r="T497">
        <v>2026</v>
      </c>
      <c r="U497">
        <v>3</v>
      </c>
      <c r="V497">
        <v>0</v>
      </c>
      <c r="W497" t="s">
        <v>47</v>
      </c>
      <c r="X497" t="s">
        <v>37</v>
      </c>
      <c r="Y497" t="s">
        <v>95</v>
      </c>
    </row>
    <row r="498" spans="1:25" x14ac:dyDescent="0.35">
      <c r="A498" t="s">
        <v>1123</v>
      </c>
      <c r="B498" t="s">
        <v>100</v>
      </c>
      <c r="C498" t="s">
        <v>101</v>
      </c>
      <c r="D498" t="s">
        <v>74</v>
      </c>
      <c r="E498">
        <v>11</v>
      </c>
      <c r="F498" t="s">
        <v>29</v>
      </c>
      <c r="G498">
        <v>245000</v>
      </c>
      <c r="H498">
        <v>180000</v>
      </c>
      <c r="I498">
        <v>320000</v>
      </c>
      <c r="J498" t="s">
        <v>191</v>
      </c>
      <c r="K498" t="s">
        <v>31</v>
      </c>
      <c r="L498" t="s">
        <v>44</v>
      </c>
      <c r="M498" t="s">
        <v>54</v>
      </c>
      <c r="N498" t="s">
        <v>119</v>
      </c>
      <c r="O498" t="s">
        <v>1124</v>
      </c>
      <c r="P498">
        <v>16.7</v>
      </c>
      <c r="Q498">
        <v>84</v>
      </c>
      <c r="R498">
        <v>21.2</v>
      </c>
      <c r="S498">
        <v>6.6</v>
      </c>
      <c r="T498">
        <v>2026</v>
      </c>
      <c r="U498">
        <v>3</v>
      </c>
      <c r="V498">
        <v>0</v>
      </c>
      <c r="W498" t="s">
        <v>47</v>
      </c>
      <c r="X498" t="s">
        <v>64</v>
      </c>
      <c r="Y498" t="s">
        <v>38</v>
      </c>
    </row>
    <row r="499" spans="1:25" x14ac:dyDescent="0.35">
      <c r="A499" t="s">
        <v>1125</v>
      </c>
      <c r="B499" t="s">
        <v>203</v>
      </c>
      <c r="C499" t="s">
        <v>169</v>
      </c>
      <c r="D499" t="s">
        <v>68</v>
      </c>
      <c r="E499">
        <v>5</v>
      </c>
      <c r="F499" t="s">
        <v>29</v>
      </c>
      <c r="G499">
        <v>167000</v>
      </c>
      <c r="H499">
        <v>138000</v>
      </c>
      <c r="I499">
        <v>195000</v>
      </c>
      <c r="J499" t="s">
        <v>42</v>
      </c>
      <c r="K499" t="s">
        <v>43</v>
      </c>
      <c r="L499" t="s">
        <v>44</v>
      </c>
      <c r="M499" t="s">
        <v>33</v>
      </c>
      <c r="N499" t="s">
        <v>76</v>
      </c>
      <c r="O499" t="s">
        <v>1126</v>
      </c>
      <c r="P499">
        <v>6.6</v>
      </c>
      <c r="Q499">
        <v>92</v>
      </c>
      <c r="R499">
        <v>18.899999999999999</v>
      </c>
      <c r="S499">
        <v>7</v>
      </c>
      <c r="T499">
        <v>2025</v>
      </c>
      <c r="U499">
        <v>11</v>
      </c>
      <c r="V499">
        <v>1</v>
      </c>
      <c r="W499" t="s">
        <v>47</v>
      </c>
      <c r="X499" t="s">
        <v>64</v>
      </c>
      <c r="Y499" t="s">
        <v>48</v>
      </c>
    </row>
    <row r="500" spans="1:25" x14ac:dyDescent="0.35">
      <c r="A500" t="s">
        <v>1127</v>
      </c>
      <c r="B500" t="s">
        <v>50</v>
      </c>
      <c r="C500" t="s">
        <v>27</v>
      </c>
      <c r="D500" t="s">
        <v>28</v>
      </c>
      <c r="E500">
        <v>6</v>
      </c>
      <c r="F500" t="s">
        <v>29</v>
      </c>
      <c r="G500">
        <v>208000</v>
      </c>
      <c r="H500">
        <v>160000</v>
      </c>
      <c r="I500">
        <v>300000</v>
      </c>
      <c r="J500" t="s">
        <v>122</v>
      </c>
      <c r="K500" t="s">
        <v>123</v>
      </c>
      <c r="L500" t="s">
        <v>32</v>
      </c>
      <c r="M500" t="s">
        <v>61</v>
      </c>
      <c r="N500" t="s">
        <v>119</v>
      </c>
      <c r="O500" t="s">
        <v>1128</v>
      </c>
      <c r="P500">
        <v>3.8</v>
      </c>
      <c r="Q500">
        <v>98</v>
      </c>
      <c r="R500">
        <v>23.4</v>
      </c>
      <c r="S500">
        <v>9.4</v>
      </c>
      <c r="T500">
        <v>2026</v>
      </c>
      <c r="U500">
        <v>1</v>
      </c>
      <c r="V500">
        <v>1</v>
      </c>
      <c r="W500" t="s">
        <v>36</v>
      </c>
      <c r="X500" t="s">
        <v>37</v>
      </c>
      <c r="Y500" t="s">
        <v>38</v>
      </c>
    </row>
    <row r="501" spans="1:25" x14ac:dyDescent="0.35">
      <c r="A501" t="s">
        <v>1129</v>
      </c>
      <c r="B501" t="s">
        <v>86</v>
      </c>
      <c r="C501" t="s">
        <v>27</v>
      </c>
      <c r="D501" t="s">
        <v>28</v>
      </c>
      <c r="E501">
        <v>11</v>
      </c>
      <c r="F501" t="s">
        <v>29</v>
      </c>
      <c r="G501">
        <v>226000</v>
      </c>
      <c r="H501">
        <v>180000</v>
      </c>
      <c r="I501">
        <v>312000</v>
      </c>
      <c r="J501" t="s">
        <v>102</v>
      </c>
      <c r="K501" t="s">
        <v>103</v>
      </c>
      <c r="L501" t="s">
        <v>44</v>
      </c>
      <c r="M501" t="s">
        <v>33</v>
      </c>
      <c r="N501" t="s">
        <v>71</v>
      </c>
      <c r="O501" t="s">
        <v>1130</v>
      </c>
      <c r="P501">
        <v>10.9</v>
      </c>
      <c r="Q501">
        <v>96</v>
      </c>
      <c r="R501">
        <v>58.5</v>
      </c>
      <c r="S501">
        <v>8.8000000000000007</v>
      </c>
      <c r="T501">
        <v>2025</v>
      </c>
      <c r="U501">
        <v>9</v>
      </c>
      <c r="V501">
        <v>1</v>
      </c>
      <c r="W501" t="s">
        <v>47</v>
      </c>
      <c r="X501" t="s">
        <v>64</v>
      </c>
      <c r="Y501" t="s">
        <v>38</v>
      </c>
    </row>
    <row r="502" spans="1:25" x14ac:dyDescent="0.35">
      <c r="A502" t="s">
        <v>1131</v>
      </c>
      <c r="B502" t="s">
        <v>185</v>
      </c>
      <c r="C502" t="s">
        <v>186</v>
      </c>
      <c r="D502" t="s">
        <v>28</v>
      </c>
      <c r="E502">
        <v>8</v>
      </c>
      <c r="F502" t="s">
        <v>29</v>
      </c>
      <c r="G502">
        <v>140000</v>
      </c>
      <c r="H502">
        <v>140000</v>
      </c>
      <c r="I502">
        <v>270000</v>
      </c>
      <c r="J502" t="s">
        <v>108</v>
      </c>
      <c r="K502" t="s">
        <v>109</v>
      </c>
      <c r="L502" t="s">
        <v>44</v>
      </c>
      <c r="M502" t="s">
        <v>45</v>
      </c>
      <c r="N502" t="s">
        <v>119</v>
      </c>
      <c r="O502" t="s">
        <v>1132</v>
      </c>
      <c r="P502">
        <v>11.3</v>
      </c>
      <c r="Q502">
        <v>85</v>
      </c>
      <c r="R502">
        <v>9.4</v>
      </c>
      <c r="S502">
        <v>7</v>
      </c>
      <c r="T502">
        <v>2025</v>
      </c>
      <c r="U502">
        <v>11</v>
      </c>
      <c r="V502">
        <v>1</v>
      </c>
      <c r="W502" t="s">
        <v>47</v>
      </c>
      <c r="X502" t="s">
        <v>64</v>
      </c>
      <c r="Y502" t="s">
        <v>95</v>
      </c>
    </row>
    <row r="503" spans="1:25" x14ac:dyDescent="0.35">
      <c r="A503" t="s">
        <v>1133</v>
      </c>
      <c r="B503" t="s">
        <v>233</v>
      </c>
      <c r="C503" t="s">
        <v>180</v>
      </c>
      <c r="D503" t="s">
        <v>28</v>
      </c>
      <c r="E503">
        <v>10</v>
      </c>
      <c r="F503" t="s">
        <v>69</v>
      </c>
      <c r="G503">
        <v>240000</v>
      </c>
      <c r="H503">
        <v>100000</v>
      </c>
      <c r="I503">
        <v>200000</v>
      </c>
      <c r="J503" t="s">
        <v>174</v>
      </c>
      <c r="K503" t="s">
        <v>31</v>
      </c>
      <c r="L503" t="s">
        <v>53</v>
      </c>
      <c r="M503" t="s">
        <v>54</v>
      </c>
      <c r="N503" t="s">
        <v>119</v>
      </c>
      <c r="O503" t="s">
        <v>1134</v>
      </c>
      <c r="P503">
        <v>16.399999999999999</v>
      </c>
      <c r="Q503">
        <v>68</v>
      </c>
      <c r="R503">
        <v>18.100000000000001</v>
      </c>
      <c r="S503">
        <v>6.6</v>
      </c>
      <c r="T503">
        <v>2025</v>
      </c>
      <c r="U503">
        <v>2</v>
      </c>
      <c r="V503">
        <v>1</v>
      </c>
      <c r="W503" t="s">
        <v>47</v>
      </c>
      <c r="X503" t="s">
        <v>64</v>
      </c>
      <c r="Y503" t="s">
        <v>38</v>
      </c>
    </row>
    <row r="504" spans="1:25" x14ac:dyDescent="0.35">
      <c r="A504" t="s">
        <v>1135</v>
      </c>
      <c r="B504" t="s">
        <v>203</v>
      </c>
      <c r="C504" t="s">
        <v>169</v>
      </c>
      <c r="D504" t="s">
        <v>68</v>
      </c>
      <c r="E504">
        <v>6</v>
      </c>
      <c r="F504" t="s">
        <v>69</v>
      </c>
      <c r="G504">
        <v>176000</v>
      </c>
      <c r="H504">
        <v>138000</v>
      </c>
      <c r="I504">
        <v>195000</v>
      </c>
      <c r="J504" t="s">
        <v>129</v>
      </c>
      <c r="K504" t="s">
        <v>130</v>
      </c>
      <c r="L504" t="s">
        <v>53</v>
      </c>
      <c r="M504" t="s">
        <v>82</v>
      </c>
      <c r="N504" t="s">
        <v>110</v>
      </c>
      <c r="O504" t="s">
        <v>1136</v>
      </c>
      <c r="P504">
        <v>9.1999999999999993</v>
      </c>
      <c r="Q504">
        <v>92</v>
      </c>
      <c r="R504">
        <v>71.5</v>
      </c>
      <c r="S504">
        <v>9.3000000000000007</v>
      </c>
      <c r="T504">
        <v>2026</v>
      </c>
      <c r="U504">
        <v>3</v>
      </c>
      <c r="V504">
        <v>1</v>
      </c>
      <c r="W504" t="s">
        <v>47</v>
      </c>
      <c r="X504" t="s">
        <v>64</v>
      </c>
      <c r="Y504" t="s">
        <v>48</v>
      </c>
    </row>
    <row r="505" spans="1:25" x14ac:dyDescent="0.35">
      <c r="A505" t="s">
        <v>1137</v>
      </c>
      <c r="B505" t="s">
        <v>179</v>
      </c>
      <c r="C505" t="s">
        <v>180</v>
      </c>
      <c r="D505" t="s">
        <v>74</v>
      </c>
      <c r="E505">
        <v>7</v>
      </c>
      <c r="F505" t="s">
        <v>29</v>
      </c>
      <c r="G505">
        <v>144000</v>
      </c>
      <c r="H505">
        <v>110000</v>
      </c>
      <c r="I505">
        <v>210000</v>
      </c>
      <c r="J505" t="s">
        <v>30</v>
      </c>
      <c r="K505" t="s">
        <v>31</v>
      </c>
      <c r="L505" t="s">
        <v>32</v>
      </c>
      <c r="M505" t="s">
        <v>82</v>
      </c>
      <c r="N505" t="s">
        <v>124</v>
      </c>
      <c r="O505" t="s">
        <v>1138</v>
      </c>
      <c r="P505">
        <v>17.2</v>
      </c>
      <c r="Q505">
        <v>72</v>
      </c>
      <c r="R505">
        <v>14.4</v>
      </c>
      <c r="S505">
        <v>6.4</v>
      </c>
      <c r="T505">
        <v>2025</v>
      </c>
      <c r="U505">
        <v>11</v>
      </c>
      <c r="V505">
        <v>0</v>
      </c>
      <c r="W505" t="s">
        <v>36</v>
      </c>
      <c r="X505" t="s">
        <v>64</v>
      </c>
      <c r="Y505" t="s">
        <v>95</v>
      </c>
    </row>
    <row r="506" spans="1:25" x14ac:dyDescent="0.35">
      <c r="A506" t="s">
        <v>1139</v>
      </c>
      <c r="B506" t="s">
        <v>146</v>
      </c>
      <c r="C506" t="s">
        <v>27</v>
      </c>
      <c r="D506" t="s">
        <v>81</v>
      </c>
      <c r="E506">
        <v>5</v>
      </c>
      <c r="F506" t="s">
        <v>128</v>
      </c>
      <c r="G506">
        <v>234000</v>
      </c>
      <c r="H506">
        <v>160000</v>
      </c>
      <c r="I506">
        <v>300000</v>
      </c>
      <c r="J506" t="s">
        <v>102</v>
      </c>
      <c r="K506" t="s">
        <v>103</v>
      </c>
      <c r="L506" t="s">
        <v>44</v>
      </c>
      <c r="M506" t="s">
        <v>45</v>
      </c>
      <c r="N506" t="s">
        <v>165</v>
      </c>
      <c r="O506" t="s">
        <v>1140</v>
      </c>
      <c r="P506">
        <v>11.4</v>
      </c>
      <c r="Q506">
        <v>90</v>
      </c>
      <c r="R506">
        <v>20.3</v>
      </c>
      <c r="S506">
        <v>7.6</v>
      </c>
      <c r="T506">
        <v>2026</v>
      </c>
      <c r="U506">
        <v>2</v>
      </c>
      <c r="V506">
        <v>0</v>
      </c>
      <c r="W506" t="s">
        <v>47</v>
      </c>
      <c r="X506" t="s">
        <v>64</v>
      </c>
      <c r="Y506" t="s">
        <v>38</v>
      </c>
    </row>
    <row r="507" spans="1:25" x14ac:dyDescent="0.35">
      <c r="A507" t="s">
        <v>1141</v>
      </c>
      <c r="B507" t="s">
        <v>149</v>
      </c>
      <c r="C507" t="s">
        <v>150</v>
      </c>
      <c r="D507" t="s">
        <v>68</v>
      </c>
      <c r="E507">
        <v>4</v>
      </c>
      <c r="F507" t="s">
        <v>29</v>
      </c>
      <c r="G507">
        <v>259000</v>
      </c>
      <c r="H507">
        <v>130000</v>
      </c>
      <c r="I507">
        <v>260000</v>
      </c>
      <c r="J507" t="s">
        <v>30</v>
      </c>
      <c r="K507" t="s">
        <v>31</v>
      </c>
      <c r="L507" t="s">
        <v>44</v>
      </c>
      <c r="M507" t="s">
        <v>33</v>
      </c>
      <c r="N507" t="s">
        <v>62</v>
      </c>
      <c r="O507" t="s">
        <v>1142</v>
      </c>
      <c r="P507">
        <v>10.199999999999999</v>
      </c>
      <c r="Q507">
        <v>93</v>
      </c>
      <c r="R507">
        <v>75.3</v>
      </c>
      <c r="S507">
        <v>6.5</v>
      </c>
      <c r="T507">
        <v>2026</v>
      </c>
      <c r="U507">
        <v>1</v>
      </c>
      <c r="V507">
        <v>1</v>
      </c>
      <c r="W507" t="s">
        <v>47</v>
      </c>
      <c r="X507" t="s">
        <v>64</v>
      </c>
      <c r="Y507" t="s">
        <v>38</v>
      </c>
    </row>
    <row r="508" spans="1:25" x14ac:dyDescent="0.35">
      <c r="A508" t="s">
        <v>1143</v>
      </c>
      <c r="B508" t="s">
        <v>40</v>
      </c>
      <c r="C508" t="s">
        <v>27</v>
      </c>
      <c r="D508" t="s">
        <v>74</v>
      </c>
      <c r="E508">
        <v>3</v>
      </c>
      <c r="F508" t="s">
        <v>128</v>
      </c>
      <c r="G508">
        <v>90000</v>
      </c>
      <c r="H508">
        <v>90000</v>
      </c>
      <c r="I508">
        <v>200000</v>
      </c>
      <c r="J508" t="s">
        <v>60</v>
      </c>
      <c r="K508" t="s">
        <v>60</v>
      </c>
      <c r="L508" t="s">
        <v>53</v>
      </c>
      <c r="M508" t="s">
        <v>33</v>
      </c>
      <c r="N508" t="s">
        <v>165</v>
      </c>
      <c r="O508" t="s">
        <v>1144</v>
      </c>
      <c r="P508">
        <v>5</v>
      </c>
      <c r="Q508">
        <v>82</v>
      </c>
      <c r="R508">
        <v>5.8</v>
      </c>
      <c r="S508">
        <v>9.5</v>
      </c>
      <c r="T508">
        <v>2025</v>
      </c>
      <c r="U508">
        <v>11</v>
      </c>
      <c r="V508">
        <v>0</v>
      </c>
      <c r="W508" t="s">
        <v>47</v>
      </c>
      <c r="X508" t="s">
        <v>37</v>
      </c>
      <c r="Y508" t="s">
        <v>98</v>
      </c>
    </row>
    <row r="509" spans="1:25" x14ac:dyDescent="0.35">
      <c r="A509" t="s">
        <v>1145</v>
      </c>
      <c r="B509" t="s">
        <v>26</v>
      </c>
      <c r="C509" t="s">
        <v>27</v>
      </c>
      <c r="D509" t="s">
        <v>68</v>
      </c>
      <c r="E509">
        <v>4</v>
      </c>
      <c r="F509" t="s">
        <v>41</v>
      </c>
      <c r="G509">
        <v>315000</v>
      </c>
      <c r="H509">
        <v>155000</v>
      </c>
      <c r="I509">
        <v>290000</v>
      </c>
      <c r="J509" t="s">
        <v>137</v>
      </c>
      <c r="K509" t="s">
        <v>138</v>
      </c>
      <c r="L509" t="s">
        <v>44</v>
      </c>
      <c r="M509" t="s">
        <v>45</v>
      </c>
      <c r="N509" t="s">
        <v>131</v>
      </c>
      <c r="O509" t="s">
        <v>1146</v>
      </c>
      <c r="P509">
        <v>10</v>
      </c>
      <c r="Q509">
        <v>96</v>
      </c>
      <c r="R509">
        <v>37.299999999999997</v>
      </c>
      <c r="S509">
        <v>7.1</v>
      </c>
      <c r="T509">
        <v>2026</v>
      </c>
      <c r="U509">
        <v>2</v>
      </c>
      <c r="V509">
        <v>1</v>
      </c>
      <c r="W509" t="s">
        <v>47</v>
      </c>
      <c r="X509" t="s">
        <v>37</v>
      </c>
      <c r="Y509" t="s">
        <v>56</v>
      </c>
    </row>
    <row r="510" spans="1:25" x14ac:dyDescent="0.35">
      <c r="A510" t="s">
        <v>1147</v>
      </c>
      <c r="B510" t="s">
        <v>163</v>
      </c>
      <c r="C510" t="s">
        <v>164</v>
      </c>
      <c r="D510" t="s">
        <v>68</v>
      </c>
      <c r="E510">
        <v>10</v>
      </c>
      <c r="F510" t="s">
        <v>41</v>
      </c>
      <c r="G510">
        <v>246000</v>
      </c>
      <c r="H510">
        <v>125000</v>
      </c>
      <c r="I510">
        <v>240000</v>
      </c>
      <c r="J510" t="s">
        <v>75</v>
      </c>
      <c r="K510" t="s">
        <v>31</v>
      </c>
      <c r="L510" t="s">
        <v>32</v>
      </c>
      <c r="M510" t="s">
        <v>45</v>
      </c>
      <c r="N510" t="s">
        <v>88</v>
      </c>
      <c r="O510" t="s">
        <v>1148</v>
      </c>
      <c r="P510">
        <v>13.6</v>
      </c>
      <c r="Q510">
        <v>76</v>
      </c>
      <c r="R510">
        <v>28.9</v>
      </c>
      <c r="S510">
        <v>7.6</v>
      </c>
      <c r="T510">
        <v>2026</v>
      </c>
      <c r="U510">
        <v>3</v>
      </c>
      <c r="V510">
        <v>1</v>
      </c>
      <c r="W510" t="s">
        <v>36</v>
      </c>
      <c r="X510" t="s">
        <v>64</v>
      </c>
      <c r="Y510" t="s">
        <v>38</v>
      </c>
    </row>
    <row r="511" spans="1:25" x14ac:dyDescent="0.35">
      <c r="A511" t="s">
        <v>1149</v>
      </c>
      <c r="B511" t="s">
        <v>149</v>
      </c>
      <c r="C511" t="s">
        <v>150</v>
      </c>
      <c r="D511" t="s">
        <v>28</v>
      </c>
      <c r="E511">
        <v>7</v>
      </c>
      <c r="F511" t="s">
        <v>29</v>
      </c>
      <c r="G511">
        <v>271000</v>
      </c>
      <c r="H511">
        <v>130000</v>
      </c>
      <c r="I511">
        <v>260000</v>
      </c>
      <c r="J511" t="s">
        <v>42</v>
      </c>
      <c r="K511" t="s">
        <v>43</v>
      </c>
      <c r="L511" t="s">
        <v>44</v>
      </c>
      <c r="M511" t="s">
        <v>54</v>
      </c>
      <c r="N511" t="s">
        <v>155</v>
      </c>
      <c r="O511" t="s">
        <v>1150</v>
      </c>
      <c r="P511">
        <v>8.5</v>
      </c>
      <c r="Q511">
        <v>93</v>
      </c>
      <c r="R511">
        <v>19</v>
      </c>
      <c r="S511">
        <v>9.1999999999999993</v>
      </c>
      <c r="T511">
        <v>2026</v>
      </c>
      <c r="U511">
        <v>2</v>
      </c>
      <c r="V511">
        <v>1</v>
      </c>
      <c r="W511" t="s">
        <v>47</v>
      </c>
      <c r="X511" t="s">
        <v>64</v>
      </c>
      <c r="Y511" t="s">
        <v>38</v>
      </c>
    </row>
    <row r="512" spans="1:25" x14ac:dyDescent="0.35">
      <c r="A512" t="s">
        <v>1151</v>
      </c>
      <c r="B512" t="s">
        <v>158</v>
      </c>
      <c r="C512" t="s">
        <v>27</v>
      </c>
      <c r="D512" t="s">
        <v>68</v>
      </c>
      <c r="E512">
        <v>2</v>
      </c>
      <c r="F512" t="s">
        <v>128</v>
      </c>
      <c r="G512">
        <v>336000</v>
      </c>
      <c r="H512">
        <v>145000</v>
      </c>
      <c r="I512">
        <v>280000</v>
      </c>
      <c r="J512" t="s">
        <v>30</v>
      </c>
      <c r="K512" t="s">
        <v>31</v>
      </c>
      <c r="L512" t="s">
        <v>44</v>
      </c>
      <c r="M512" t="s">
        <v>82</v>
      </c>
      <c r="N512" t="s">
        <v>119</v>
      </c>
      <c r="O512" t="s">
        <v>1152</v>
      </c>
      <c r="P512">
        <v>4.0999999999999996</v>
      </c>
      <c r="Q512">
        <v>94</v>
      </c>
      <c r="R512">
        <v>60.9</v>
      </c>
      <c r="S512">
        <v>8.6999999999999993</v>
      </c>
      <c r="T512">
        <v>2026</v>
      </c>
      <c r="U512">
        <v>2</v>
      </c>
      <c r="V512">
        <v>1</v>
      </c>
      <c r="W512" t="s">
        <v>47</v>
      </c>
      <c r="X512" t="s">
        <v>37</v>
      </c>
      <c r="Y512" t="s">
        <v>56</v>
      </c>
    </row>
    <row r="513" spans="1:25" x14ac:dyDescent="0.35">
      <c r="A513" t="s">
        <v>1153</v>
      </c>
      <c r="B513" t="s">
        <v>158</v>
      </c>
      <c r="C513" t="s">
        <v>27</v>
      </c>
      <c r="D513" t="s">
        <v>74</v>
      </c>
      <c r="E513">
        <v>2</v>
      </c>
      <c r="F513" t="s">
        <v>41</v>
      </c>
      <c r="G513">
        <v>145000</v>
      </c>
      <c r="H513">
        <v>145000</v>
      </c>
      <c r="I513">
        <v>280000</v>
      </c>
      <c r="J513" t="s">
        <v>70</v>
      </c>
      <c r="K513" t="s">
        <v>31</v>
      </c>
      <c r="L513" t="s">
        <v>44</v>
      </c>
      <c r="M513" t="s">
        <v>33</v>
      </c>
      <c r="N513" t="s">
        <v>88</v>
      </c>
      <c r="O513" t="s">
        <v>1154</v>
      </c>
      <c r="P513">
        <v>9.5</v>
      </c>
      <c r="Q513">
        <v>94</v>
      </c>
      <c r="R513">
        <v>36.9</v>
      </c>
      <c r="S513">
        <v>7.8</v>
      </c>
      <c r="T513">
        <v>2025</v>
      </c>
      <c r="U513">
        <v>4</v>
      </c>
      <c r="V513">
        <v>0</v>
      </c>
      <c r="W513" t="s">
        <v>47</v>
      </c>
      <c r="X513" t="s">
        <v>37</v>
      </c>
      <c r="Y513" t="s">
        <v>95</v>
      </c>
    </row>
    <row r="514" spans="1:25" x14ac:dyDescent="0.35">
      <c r="A514" t="s">
        <v>1155</v>
      </c>
      <c r="B514" t="s">
        <v>163</v>
      </c>
      <c r="C514" t="s">
        <v>164</v>
      </c>
      <c r="D514" t="s">
        <v>68</v>
      </c>
      <c r="E514">
        <v>5</v>
      </c>
      <c r="F514" t="s">
        <v>51</v>
      </c>
      <c r="G514">
        <v>206000</v>
      </c>
      <c r="H514">
        <v>125000</v>
      </c>
      <c r="I514">
        <v>240000</v>
      </c>
      <c r="J514" t="s">
        <v>142</v>
      </c>
      <c r="K514" t="s">
        <v>143</v>
      </c>
      <c r="L514" t="s">
        <v>44</v>
      </c>
      <c r="M514" t="s">
        <v>54</v>
      </c>
      <c r="N514" t="s">
        <v>124</v>
      </c>
      <c r="O514" t="s">
        <v>1156</v>
      </c>
      <c r="P514">
        <v>10</v>
      </c>
      <c r="Q514">
        <v>76</v>
      </c>
      <c r="R514">
        <v>17</v>
      </c>
      <c r="S514">
        <v>7.1</v>
      </c>
      <c r="T514">
        <v>2025</v>
      </c>
      <c r="U514">
        <v>10</v>
      </c>
      <c r="V514">
        <v>1</v>
      </c>
      <c r="W514" t="s">
        <v>47</v>
      </c>
      <c r="X514" t="s">
        <v>64</v>
      </c>
      <c r="Y514" t="s">
        <v>38</v>
      </c>
    </row>
    <row r="515" spans="1:25" x14ac:dyDescent="0.35">
      <c r="A515" t="s">
        <v>1157</v>
      </c>
      <c r="B515" t="s">
        <v>179</v>
      </c>
      <c r="C515" t="s">
        <v>180</v>
      </c>
      <c r="D515" t="s">
        <v>68</v>
      </c>
      <c r="E515">
        <v>5</v>
      </c>
      <c r="F515" t="s">
        <v>69</v>
      </c>
      <c r="G515">
        <v>188000</v>
      </c>
      <c r="H515">
        <v>110000</v>
      </c>
      <c r="I515">
        <v>210000</v>
      </c>
      <c r="J515" t="s">
        <v>60</v>
      </c>
      <c r="K515" t="s">
        <v>60</v>
      </c>
      <c r="L515" t="s">
        <v>44</v>
      </c>
      <c r="M515" t="s">
        <v>82</v>
      </c>
      <c r="N515" t="s">
        <v>165</v>
      </c>
      <c r="O515" t="s">
        <v>1158</v>
      </c>
      <c r="P515">
        <v>13.8</v>
      </c>
      <c r="Q515">
        <v>72</v>
      </c>
      <c r="R515">
        <v>5.9</v>
      </c>
      <c r="S515">
        <v>8.5</v>
      </c>
      <c r="T515">
        <v>2026</v>
      </c>
      <c r="U515">
        <v>2</v>
      </c>
      <c r="V515">
        <v>1</v>
      </c>
      <c r="W515" t="s">
        <v>47</v>
      </c>
      <c r="X515" t="s">
        <v>64</v>
      </c>
      <c r="Y515" t="s">
        <v>48</v>
      </c>
    </row>
    <row r="516" spans="1:25" x14ac:dyDescent="0.35">
      <c r="A516" t="s">
        <v>1159</v>
      </c>
      <c r="B516" t="s">
        <v>127</v>
      </c>
      <c r="C516" t="s">
        <v>27</v>
      </c>
      <c r="D516" t="s">
        <v>68</v>
      </c>
      <c r="E516">
        <v>5</v>
      </c>
      <c r="F516" t="s">
        <v>69</v>
      </c>
      <c r="G516">
        <v>197000</v>
      </c>
      <c r="H516">
        <v>120000</v>
      </c>
      <c r="I516">
        <v>280000</v>
      </c>
      <c r="J516" t="s">
        <v>60</v>
      </c>
      <c r="K516" t="s">
        <v>60</v>
      </c>
      <c r="L516" t="s">
        <v>44</v>
      </c>
      <c r="M516" t="s">
        <v>61</v>
      </c>
      <c r="N516" t="s">
        <v>83</v>
      </c>
      <c r="O516" t="s">
        <v>1160</v>
      </c>
      <c r="P516">
        <v>13.6</v>
      </c>
      <c r="Q516">
        <v>97</v>
      </c>
      <c r="R516">
        <v>48.5</v>
      </c>
      <c r="S516">
        <v>9.3000000000000007</v>
      </c>
      <c r="T516">
        <v>2025</v>
      </c>
      <c r="U516">
        <v>11</v>
      </c>
      <c r="V516">
        <v>1</v>
      </c>
      <c r="W516" t="s">
        <v>47</v>
      </c>
      <c r="X516" t="s">
        <v>64</v>
      </c>
      <c r="Y516" t="s">
        <v>48</v>
      </c>
    </row>
    <row r="517" spans="1:25" x14ac:dyDescent="0.35">
      <c r="A517" t="s">
        <v>1161</v>
      </c>
      <c r="B517" t="s">
        <v>149</v>
      </c>
      <c r="C517" t="s">
        <v>150</v>
      </c>
      <c r="D517" t="s">
        <v>68</v>
      </c>
      <c r="E517">
        <v>7</v>
      </c>
      <c r="F517" t="s">
        <v>69</v>
      </c>
      <c r="G517">
        <v>191000</v>
      </c>
      <c r="H517">
        <v>130000</v>
      </c>
      <c r="I517">
        <v>260000</v>
      </c>
      <c r="J517" t="s">
        <v>137</v>
      </c>
      <c r="K517" t="s">
        <v>138</v>
      </c>
      <c r="L517" t="s">
        <v>53</v>
      </c>
      <c r="M517" t="s">
        <v>33</v>
      </c>
      <c r="N517" t="s">
        <v>165</v>
      </c>
      <c r="O517" t="s">
        <v>1162</v>
      </c>
      <c r="P517">
        <v>11.5</v>
      </c>
      <c r="Q517">
        <v>93</v>
      </c>
      <c r="R517">
        <v>60.1</v>
      </c>
      <c r="S517">
        <v>7.5</v>
      </c>
      <c r="T517">
        <v>2025</v>
      </c>
      <c r="U517">
        <v>12</v>
      </c>
      <c r="V517">
        <v>1</v>
      </c>
      <c r="W517" t="s">
        <v>47</v>
      </c>
      <c r="X517" t="s">
        <v>64</v>
      </c>
      <c r="Y517" t="s">
        <v>48</v>
      </c>
    </row>
    <row r="518" spans="1:25" x14ac:dyDescent="0.35">
      <c r="A518" t="s">
        <v>1163</v>
      </c>
      <c r="B518" t="s">
        <v>609</v>
      </c>
      <c r="C518" t="s">
        <v>124</v>
      </c>
      <c r="D518" t="s">
        <v>74</v>
      </c>
      <c r="E518">
        <v>11</v>
      </c>
      <c r="F518" t="s">
        <v>69</v>
      </c>
      <c r="G518">
        <v>115000</v>
      </c>
      <c r="H518">
        <v>115000</v>
      </c>
      <c r="I518">
        <v>280000</v>
      </c>
      <c r="J518" t="s">
        <v>42</v>
      </c>
      <c r="K518" t="s">
        <v>43</v>
      </c>
      <c r="L518" t="s">
        <v>44</v>
      </c>
      <c r="M518" t="s">
        <v>33</v>
      </c>
      <c r="N518" t="s">
        <v>165</v>
      </c>
      <c r="O518" t="s">
        <v>1164</v>
      </c>
      <c r="P518">
        <v>8.4</v>
      </c>
      <c r="Q518">
        <v>88</v>
      </c>
      <c r="R518">
        <v>23.7</v>
      </c>
      <c r="S518">
        <v>7.7</v>
      </c>
      <c r="T518">
        <v>2025</v>
      </c>
      <c r="U518">
        <v>11</v>
      </c>
      <c r="V518">
        <v>0</v>
      </c>
      <c r="W518" t="s">
        <v>47</v>
      </c>
      <c r="X518" t="s">
        <v>64</v>
      </c>
      <c r="Y518" t="s">
        <v>95</v>
      </c>
    </row>
    <row r="519" spans="1:25" x14ac:dyDescent="0.35">
      <c r="A519" t="s">
        <v>1165</v>
      </c>
      <c r="B519" t="s">
        <v>196</v>
      </c>
      <c r="C519" t="s">
        <v>27</v>
      </c>
      <c r="D519" t="s">
        <v>74</v>
      </c>
      <c r="E519">
        <v>7</v>
      </c>
      <c r="F519" t="s">
        <v>69</v>
      </c>
      <c r="G519">
        <v>103000</v>
      </c>
      <c r="H519">
        <v>100000</v>
      </c>
      <c r="I519">
        <v>250000</v>
      </c>
      <c r="J519" t="s">
        <v>75</v>
      </c>
      <c r="K519" t="s">
        <v>31</v>
      </c>
      <c r="L519" t="s">
        <v>53</v>
      </c>
      <c r="M519" t="s">
        <v>82</v>
      </c>
      <c r="N519" t="s">
        <v>71</v>
      </c>
      <c r="O519" t="s">
        <v>1166</v>
      </c>
      <c r="P519">
        <v>12.3</v>
      </c>
      <c r="Q519">
        <v>95</v>
      </c>
      <c r="R519">
        <v>53.6</v>
      </c>
      <c r="S519">
        <v>9</v>
      </c>
      <c r="T519">
        <v>2025</v>
      </c>
      <c r="U519">
        <v>1</v>
      </c>
      <c r="V519">
        <v>0</v>
      </c>
      <c r="W519" t="s">
        <v>47</v>
      </c>
      <c r="X519" t="s">
        <v>64</v>
      </c>
      <c r="Y519" t="s">
        <v>95</v>
      </c>
    </row>
    <row r="520" spans="1:25" x14ac:dyDescent="0.35">
      <c r="A520" t="s">
        <v>1167</v>
      </c>
      <c r="B520" t="s">
        <v>26</v>
      </c>
      <c r="C520" t="s">
        <v>27</v>
      </c>
      <c r="D520" t="s">
        <v>74</v>
      </c>
      <c r="E520">
        <v>4</v>
      </c>
      <c r="F520" t="s">
        <v>29</v>
      </c>
      <c r="G520">
        <v>184000</v>
      </c>
      <c r="H520">
        <v>155000</v>
      </c>
      <c r="I520">
        <v>290000</v>
      </c>
      <c r="J520" t="s">
        <v>30</v>
      </c>
      <c r="K520" t="s">
        <v>31</v>
      </c>
      <c r="L520" t="s">
        <v>53</v>
      </c>
      <c r="M520" t="s">
        <v>61</v>
      </c>
      <c r="N520" t="s">
        <v>165</v>
      </c>
      <c r="O520" t="s">
        <v>1168</v>
      </c>
      <c r="P520">
        <v>13</v>
      </c>
      <c r="Q520">
        <v>96</v>
      </c>
      <c r="R520">
        <v>41</v>
      </c>
      <c r="S520">
        <v>9.4</v>
      </c>
      <c r="T520">
        <v>2026</v>
      </c>
      <c r="U520">
        <v>1</v>
      </c>
      <c r="V520">
        <v>0</v>
      </c>
      <c r="W520" t="s">
        <v>47</v>
      </c>
      <c r="X520" t="s">
        <v>37</v>
      </c>
      <c r="Y520" t="s">
        <v>48</v>
      </c>
    </row>
    <row r="521" spans="1:25" x14ac:dyDescent="0.35">
      <c r="A521" t="s">
        <v>1169</v>
      </c>
      <c r="B521" t="s">
        <v>100</v>
      </c>
      <c r="C521" t="s">
        <v>101</v>
      </c>
      <c r="D521" t="s">
        <v>74</v>
      </c>
      <c r="E521">
        <v>14</v>
      </c>
      <c r="F521" t="s">
        <v>51</v>
      </c>
      <c r="G521">
        <v>180000</v>
      </c>
      <c r="H521">
        <v>180000</v>
      </c>
      <c r="I521">
        <v>320000</v>
      </c>
      <c r="J521" t="s">
        <v>122</v>
      </c>
      <c r="K521" t="s">
        <v>123</v>
      </c>
      <c r="L521" t="s">
        <v>53</v>
      </c>
      <c r="M521" t="s">
        <v>45</v>
      </c>
      <c r="N521" t="s">
        <v>71</v>
      </c>
      <c r="O521" t="s">
        <v>1170</v>
      </c>
      <c r="P521">
        <v>10.9</v>
      </c>
      <c r="Q521">
        <v>84</v>
      </c>
      <c r="R521">
        <v>25.7</v>
      </c>
      <c r="S521">
        <v>7.5</v>
      </c>
      <c r="T521">
        <v>2025</v>
      </c>
      <c r="U521">
        <v>3</v>
      </c>
      <c r="V521">
        <v>0</v>
      </c>
      <c r="W521" t="s">
        <v>47</v>
      </c>
      <c r="X521" t="s">
        <v>64</v>
      </c>
      <c r="Y521" t="s">
        <v>48</v>
      </c>
    </row>
    <row r="522" spans="1:25" x14ac:dyDescent="0.35">
      <c r="A522" t="s">
        <v>1171</v>
      </c>
      <c r="B522" t="s">
        <v>149</v>
      </c>
      <c r="C522" t="s">
        <v>150</v>
      </c>
      <c r="D522" t="s">
        <v>81</v>
      </c>
      <c r="E522">
        <v>7</v>
      </c>
      <c r="F522" t="s">
        <v>51</v>
      </c>
      <c r="G522">
        <v>251000</v>
      </c>
      <c r="H522">
        <v>130000</v>
      </c>
      <c r="I522">
        <v>260000</v>
      </c>
      <c r="J522" t="s">
        <v>52</v>
      </c>
      <c r="K522" t="s">
        <v>31</v>
      </c>
      <c r="L522" t="s">
        <v>44</v>
      </c>
      <c r="M522" t="s">
        <v>54</v>
      </c>
      <c r="N522" t="s">
        <v>62</v>
      </c>
      <c r="O522" t="s">
        <v>1172</v>
      </c>
      <c r="P522">
        <v>10.6</v>
      </c>
      <c r="Q522">
        <v>93</v>
      </c>
      <c r="R522">
        <v>39.4</v>
      </c>
      <c r="S522">
        <v>8.9</v>
      </c>
      <c r="T522">
        <v>2025</v>
      </c>
      <c r="U522">
        <v>9</v>
      </c>
      <c r="V522">
        <v>0</v>
      </c>
      <c r="W522" t="s">
        <v>47</v>
      </c>
      <c r="X522" t="s">
        <v>64</v>
      </c>
      <c r="Y522" t="s">
        <v>38</v>
      </c>
    </row>
    <row r="523" spans="1:25" x14ac:dyDescent="0.35">
      <c r="A523" t="s">
        <v>1173</v>
      </c>
      <c r="B523" t="s">
        <v>134</v>
      </c>
      <c r="C523" t="s">
        <v>27</v>
      </c>
      <c r="D523" t="s">
        <v>81</v>
      </c>
      <c r="E523">
        <v>6</v>
      </c>
      <c r="F523" t="s">
        <v>69</v>
      </c>
      <c r="G523">
        <v>150000</v>
      </c>
      <c r="H523">
        <v>150000</v>
      </c>
      <c r="I523">
        <v>295000</v>
      </c>
      <c r="J523" t="s">
        <v>113</v>
      </c>
      <c r="K523" t="s">
        <v>114</v>
      </c>
      <c r="L523" t="s">
        <v>44</v>
      </c>
      <c r="M523" t="s">
        <v>33</v>
      </c>
      <c r="N523" t="s">
        <v>131</v>
      </c>
      <c r="O523" t="s">
        <v>1174</v>
      </c>
      <c r="P523">
        <v>8.4</v>
      </c>
      <c r="Q523">
        <v>95</v>
      </c>
      <c r="R523">
        <v>17.600000000000001</v>
      </c>
      <c r="S523">
        <v>7.9</v>
      </c>
      <c r="T523">
        <v>2026</v>
      </c>
      <c r="U523">
        <v>2</v>
      </c>
      <c r="V523">
        <v>0</v>
      </c>
      <c r="W523" t="s">
        <v>47</v>
      </c>
      <c r="X523" t="s">
        <v>37</v>
      </c>
      <c r="Y523" t="s">
        <v>95</v>
      </c>
    </row>
    <row r="524" spans="1:25" x14ac:dyDescent="0.35">
      <c r="A524" t="s">
        <v>1175</v>
      </c>
      <c r="B524" t="s">
        <v>179</v>
      </c>
      <c r="C524" t="s">
        <v>180</v>
      </c>
      <c r="D524" t="s">
        <v>74</v>
      </c>
      <c r="E524">
        <v>7</v>
      </c>
      <c r="F524" t="s">
        <v>41</v>
      </c>
      <c r="G524">
        <v>110000</v>
      </c>
      <c r="H524">
        <v>110000</v>
      </c>
      <c r="I524">
        <v>210000</v>
      </c>
      <c r="J524" t="s">
        <v>129</v>
      </c>
      <c r="K524" t="s">
        <v>130</v>
      </c>
      <c r="L524" t="s">
        <v>44</v>
      </c>
      <c r="M524" t="s">
        <v>61</v>
      </c>
      <c r="N524" t="s">
        <v>76</v>
      </c>
      <c r="O524" t="s">
        <v>1176</v>
      </c>
      <c r="P524">
        <v>12.3</v>
      </c>
      <c r="Q524">
        <v>72</v>
      </c>
      <c r="R524">
        <v>15.7</v>
      </c>
      <c r="S524">
        <v>6.5</v>
      </c>
      <c r="T524">
        <v>2026</v>
      </c>
      <c r="U524">
        <v>3</v>
      </c>
      <c r="V524">
        <v>0</v>
      </c>
      <c r="W524" t="s">
        <v>47</v>
      </c>
      <c r="X524" t="s">
        <v>64</v>
      </c>
      <c r="Y524" t="s">
        <v>95</v>
      </c>
    </row>
    <row r="525" spans="1:25" x14ac:dyDescent="0.35">
      <c r="A525" t="s">
        <v>1177</v>
      </c>
      <c r="B525" t="s">
        <v>58</v>
      </c>
      <c r="C525" t="s">
        <v>59</v>
      </c>
      <c r="D525" t="s">
        <v>28</v>
      </c>
      <c r="E525">
        <v>3</v>
      </c>
      <c r="F525" t="s">
        <v>69</v>
      </c>
      <c r="G525">
        <v>159000</v>
      </c>
      <c r="H525">
        <v>130000</v>
      </c>
      <c r="I525">
        <v>220000</v>
      </c>
      <c r="J525" t="s">
        <v>60</v>
      </c>
      <c r="K525" t="s">
        <v>60</v>
      </c>
      <c r="L525" t="s">
        <v>53</v>
      </c>
      <c r="M525" t="s">
        <v>61</v>
      </c>
      <c r="N525" t="s">
        <v>62</v>
      </c>
      <c r="O525" t="s">
        <v>1178</v>
      </c>
      <c r="P525">
        <v>10.5</v>
      </c>
      <c r="Q525">
        <v>88</v>
      </c>
      <c r="R525">
        <v>6.4</v>
      </c>
      <c r="S525">
        <v>6.2</v>
      </c>
      <c r="T525">
        <v>2026</v>
      </c>
      <c r="U525">
        <v>2</v>
      </c>
      <c r="V525">
        <v>1</v>
      </c>
      <c r="W525" t="s">
        <v>47</v>
      </c>
      <c r="X525" t="s">
        <v>64</v>
      </c>
      <c r="Y525" t="s">
        <v>48</v>
      </c>
    </row>
    <row r="526" spans="1:25" x14ac:dyDescent="0.35">
      <c r="A526" t="s">
        <v>1179</v>
      </c>
      <c r="B526" t="s">
        <v>127</v>
      </c>
      <c r="C526" t="s">
        <v>27</v>
      </c>
      <c r="D526" t="s">
        <v>81</v>
      </c>
      <c r="E526">
        <v>9</v>
      </c>
      <c r="F526" t="s">
        <v>128</v>
      </c>
      <c r="G526">
        <v>155000</v>
      </c>
      <c r="H526">
        <v>120000</v>
      </c>
      <c r="I526">
        <v>280000</v>
      </c>
      <c r="J526" t="s">
        <v>113</v>
      </c>
      <c r="K526" t="s">
        <v>114</v>
      </c>
      <c r="L526" t="s">
        <v>53</v>
      </c>
      <c r="M526" t="s">
        <v>82</v>
      </c>
      <c r="N526" t="s">
        <v>88</v>
      </c>
      <c r="O526" t="s">
        <v>1180</v>
      </c>
      <c r="P526">
        <v>17.399999999999999</v>
      </c>
      <c r="Q526">
        <v>97</v>
      </c>
      <c r="R526">
        <v>72</v>
      </c>
      <c r="S526">
        <v>7.1</v>
      </c>
      <c r="T526">
        <v>2026</v>
      </c>
      <c r="U526">
        <v>3</v>
      </c>
      <c r="V526">
        <v>0</v>
      </c>
      <c r="W526" t="s">
        <v>47</v>
      </c>
      <c r="X526" t="s">
        <v>64</v>
      </c>
      <c r="Y526" t="s">
        <v>48</v>
      </c>
    </row>
    <row r="527" spans="1:25" x14ac:dyDescent="0.35">
      <c r="A527" t="s">
        <v>1181</v>
      </c>
      <c r="B527" t="s">
        <v>224</v>
      </c>
      <c r="C527" t="s">
        <v>27</v>
      </c>
      <c r="D527" t="s">
        <v>74</v>
      </c>
      <c r="E527">
        <v>9</v>
      </c>
      <c r="F527" t="s">
        <v>41</v>
      </c>
      <c r="G527">
        <v>146000</v>
      </c>
      <c r="H527">
        <v>145000</v>
      </c>
      <c r="I527">
        <v>280000</v>
      </c>
      <c r="J527" t="s">
        <v>113</v>
      </c>
      <c r="K527" t="s">
        <v>114</v>
      </c>
      <c r="L527" t="s">
        <v>53</v>
      </c>
      <c r="M527" t="s">
        <v>54</v>
      </c>
      <c r="N527" t="s">
        <v>83</v>
      </c>
      <c r="O527" t="s">
        <v>1182</v>
      </c>
      <c r="P527">
        <v>8.5</v>
      </c>
      <c r="Q527">
        <v>87</v>
      </c>
      <c r="R527">
        <v>5.9</v>
      </c>
      <c r="S527">
        <v>6.9</v>
      </c>
      <c r="T527">
        <v>2026</v>
      </c>
      <c r="U527">
        <v>2</v>
      </c>
      <c r="V527">
        <v>0</v>
      </c>
      <c r="W527" t="s">
        <v>47</v>
      </c>
      <c r="X527" t="s">
        <v>64</v>
      </c>
      <c r="Y527" t="s">
        <v>95</v>
      </c>
    </row>
    <row r="528" spans="1:25" x14ac:dyDescent="0.35">
      <c r="A528" t="s">
        <v>1183</v>
      </c>
      <c r="B528" t="s">
        <v>203</v>
      </c>
      <c r="C528" t="s">
        <v>169</v>
      </c>
      <c r="D528" t="s">
        <v>74</v>
      </c>
      <c r="E528">
        <v>5</v>
      </c>
      <c r="F528" t="s">
        <v>128</v>
      </c>
      <c r="G528">
        <v>188000</v>
      </c>
      <c r="H528">
        <v>138000</v>
      </c>
      <c r="I528">
        <v>195000</v>
      </c>
      <c r="J528" t="s">
        <v>174</v>
      </c>
      <c r="K528" t="s">
        <v>31</v>
      </c>
      <c r="L528" t="s">
        <v>44</v>
      </c>
      <c r="M528" t="s">
        <v>45</v>
      </c>
      <c r="N528" t="s">
        <v>76</v>
      </c>
      <c r="O528" t="s">
        <v>1184</v>
      </c>
      <c r="P528">
        <v>4.5999999999999996</v>
      </c>
      <c r="Q528">
        <v>92</v>
      </c>
      <c r="R528">
        <v>42.7</v>
      </c>
      <c r="S528">
        <v>8.5</v>
      </c>
      <c r="T528">
        <v>2026</v>
      </c>
      <c r="U528">
        <v>3</v>
      </c>
      <c r="V528">
        <v>0</v>
      </c>
      <c r="W528" t="s">
        <v>47</v>
      </c>
      <c r="X528" t="s">
        <v>64</v>
      </c>
      <c r="Y528" t="s">
        <v>48</v>
      </c>
    </row>
    <row r="529" spans="1:25" x14ac:dyDescent="0.35">
      <c r="A529" t="s">
        <v>1185</v>
      </c>
      <c r="B529" t="s">
        <v>149</v>
      </c>
      <c r="C529" t="s">
        <v>150</v>
      </c>
      <c r="D529" t="s">
        <v>28</v>
      </c>
      <c r="E529">
        <v>9</v>
      </c>
      <c r="F529" t="s">
        <v>41</v>
      </c>
      <c r="G529">
        <v>312000</v>
      </c>
      <c r="H529">
        <v>130000</v>
      </c>
      <c r="I529">
        <v>260000</v>
      </c>
      <c r="J529" t="s">
        <v>296</v>
      </c>
      <c r="K529" t="s">
        <v>31</v>
      </c>
      <c r="L529" t="s">
        <v>53</v>
      </c>
      <c r="M529" t="s">
        <v>54</v>
      </c>
      <c r="N529" t="s">
        <v>76</v>
      </c>
      <c r="O529" t="s">
        <v>1186</v>
      </c>
      <c r="P529">
        <v>17.3</v>
      </c>
      <c r="Q529">
        <v>93</v>
      </c>
      <c r="R529">
        <v>69.900000000000006</v>
      </c>
      <c r="S529">
        <v>9.1</v>
      </c>
      <c r="T529">
        <v>2026</v>
      </c>
      <c r="U529">
        <v>3</v>
      </c>
      <c r="V529">
        <v>1</v>
      </c>
      <c r="W529" t="s">
        <v>47</v>
      </c>
      <c r="X529" t="s">
        <v>64</v>
      </c>
      <c r="Y529" t="s">
        <v>56</v>
      </c>
    </row>
    <row r="530" spans="1:25" x14ac:dyDescent="0.35">
      <c r="A530" t="s">
        <v>1187</v>
      </c>
      <c r="B530" t="s">
        <v>146</v>
      </c>
      <c r="C530" t="s">
        <v>27</v>
      </c>
      <c r="D530" t="s">
        <v>68</v>
      </c>
      <c r="E530">
        <v>7</v>
      </c>
      <c r="F530" t="s">
        <v>69</v>
      </c>
      <c r="G530">
        <v>323000</v>
      </c>
      <c r="H530">
        <v>160000</v>
      </c>
      <c r="I530">
        <v>300000</v>
      </c>
      <c r="J530" t="s">
        <v>129</v>
      </c>
      <c r="K530" t="s">
        <v>130</v>
      </c>
      <c r="L530" t="s">
        <v>53</v>
      </c>
      <c r="M530" t="s">
        <v>54</v>
      </c>
      <c r="N530" t="s">
        <v>110</v>
      </c>
      <c r="O530" t="s">
        <v>1188</v>
      </c>
      <c r="P530">
        <v>17.5</v>
      </c>
      <c r="Q530">
        <v>90</v>
      </c>
      <c r="R530">
        <v>7.1</v>
      </c>
      <c r="S530">
        <v>6.9</v>
      </c>
      <c r="T530">
        <v>2026</v>
      </c>
      <c r="U530">
        <v>2</v>
      </c>
      <c r="V530">
        <v>1</v>
      </c>
      <c r="W530" t="s">
        <v>47</v>
      </c>
      <c r="X530" t="s">
        <v>64</v>
      </c>
      <c r="Y530" t="s">
        <v>56</v>
      </c>
    </row>
    <row r="531" spans="1:25" x14ac:dyDescent="0.35">
      <c r="A531" t="s">
        <v>1189</v>
      </c>
      <c r="B531" t="s">
        <v>153</v>
      </c>
      <c r="C531" t="s">
        <v>154</v>
      </c>
      <c r="D531" t="s">
        <v>28</v>
      </c>
      <c r="E531">
        <v>4</v>
      </c>
      <c r="F531" t="s">
        <v>128</v>
      </c>
      <c r="G531">
        <v>125000</v>
      </c>
      <c r="H531">
        <v>95000</v>
      </c>
      <c r="I531">
        <v>180000</v>
      </c>
      <c r="J531" t="s">
        <v>137</v>
      </c>
      <c r="K531" t="s">
        <v>138</v>
      </c>
      <c r="L531" t="s">
        <v>32</v>
      </c>
      <c r="M531" t="s">
        <v>33</v>
      </c>
      <c r="N531" t="s">
        <v>88</v>
      </c>
      <c r="O531" t="s">
        <v>1190</v>
      </c>
      <c r="P531">
        <v>8.1</v>
      </c>
      <c r="Q531">
        <v>78</v>
      </c>
      <c r="R531">
        <v>5.9</v>
      </c>
      <c r="S531">
        <v>7.4</v>
      </c>
      <c r="T531">
        <v>2026</v>
      </c>
      <c r="U531">
        <v>3</v>
      </c>
      <c r="V531">
        <v>1</v>
      </c>
      <c r="W531" t="s">
        <v>36</v>
      </c>
      <c r="X531" t="s">
        <v>64</v>
      </c>
      <c r="Y531" t="s">
        <v>95</v>
      </c>
    </row>
    <row r="532" spans="1:25" x14ac:dyDescent="0.35">
      <c r="A532" t="s">
        <v>1191</v>
      </c>
      <c r="B532" t="s">
        <v>141</v>
      </c>
      <c r="C532" t="s">
        <v>27</v>
      </c>
      <c r="D532" t="s">
        <v>74</v>
      </c>
      <c r="E532">
        <v>8</v>
      </c>
      <c r="F532" t="s">
        <v>128</v>
      </c>
      <c r="G532">
        <v>141000</v>
      </c>
      <c r="H532">
        <v>141000</v>
      </c>
      <c r="I532">
        <v>270000</v>
      </c>
      <c r="J532" t="s">
        <v>122</v>
      </c>
      <c r="K532" t="s">
        <v>123</v>
      </c>
      <c r="L532" t="s">
        <v>32</v>
      </c>
      <c r="M532" t="s">
        <v>33</v>
      </c>
      <c r="N532" t="s">
        <v>131</v>
      </c>
      <c r="O532" t="s">
        <v>1192</v>
      </c>
      <c r="P532">
        <v>4.2</v>
      </c>
      <c r="Q532">
        <v>89</v>
      </c>
      <c r="R532">
        <v>26.8</v>
      </c>
      <c r="S532">
        <v>8.5</v>
      </c>
      <c r="T532">
        <v>2025</v>
      </c>
      <c r="U532">
        <v>11</v>
      </c>
      <c r="V532">
        <v>0</v>
      </c>
      <c r="W532" t="s">
        <v>36</v>
      </c>
      <c r="X532" t="s">
        <v>64</v>
      </c>
      <c r="Y532" t="s">
        <v>95</v>
      </c>
    </row>
    <row r="533" spans="1:25" x14ac:dyDescent="0.35">
      <c r="A533" t="s">
        <v>1193</v>
      </c>
      <c r="B533" t="s">
        <v>127</v>
      </c>
      <c r="C533" t="s">
        <v>27</v>
      </c>
      <c r="D533" t="s">
        <v>68</v>
      </c>
      <c r="E533">
        <v>6</v>
      </c>
      <c r="F533" t="s">
        <v>51</v>
      </c>
      <c r="G533">
        <v>310000</v>
      </c>
      <c r="H533">
        <v>120000</v>
      </c>
      <c r="I533">
        <v>280000</v>
      </c>
      <c r="J533" t="s">
        <v>75</v>
      </c>
      <c r="K533" t="s">
        <v>31</v>
      </c>
      <c r="L533" t="s">
        <v>53</v>
      </c>
      <c r="M533" t="s">
        <v>54</v>
      </c>
      <c r="N533" t="s">
        <v>155</v>
      </c>
      <c r="O533" t="s">
        <v>1194</v>
      </c>
      <c r="P533">
        <v>14</v>
      </c>
      <c r="Q533">
        <v>97</v>
      </c>
      <c r="R533">
        <v>40.5</v>
      </c>
      <c r="S533">
        <v>6.3</v>
      </c>
      <c r="T533">
        <v>2026</v>
      </c>
      <c r="U533">
        <v>3</v>
      </c>
      <c r="V533">
        <v>1</v>
      </c>
      <c r="W533" t="s">
        <v>47</v>
      </c>
      <c r="X533" t="s">
        <v>64</v>
      </c>
      <c r="Y533" t="s">
        <v>56</v>
      </c>
    </row>
    <row r="534" spans="1:25" x14ac:dyDescent="0.35">
      <c r="A534" t="s">
        <v>1195</v>
      </c>
      <c r="B534" t="s">
        <v>86</v>
      </c>
      <c r="C534" t="s">
        <v>27</v>
      </c>
      <c r="D534" t="s">
        <v>28</v>
      </c>
      <c r="E534">
        <v>11</v>
      </c>
      <c r="F534" t="s">
        <v>51</v>
      </c>
      <c r="G534">
        <v>188000</v>
      </c>
      <c r="H534">
        <v>180000</v>
      </c>
      <c r="I534">
        <v>312000</v>
      </c>
      <c r="J534" t="s">
        <v>42</v>
      </c>
      <c r="K534" t="s">
        <v>43</v>
      </c>
      <c r="L534" t="s">
        <v>44</v>
      </c>
      <c r="M534" t="s">
        <v>61</v>
      </c>
      <c r="N534" t="s">
        <v>83</v>
      </c>
      <c r="O534" t="s">
        <v>1196</v>
      </c>
      <c r="P534">
        <v>11.6</v>
      </c>
      <c r="Q534">
        <v>96</v>
      </c>
      <c r="R534">
        <v>86.2</v>
      </c>
      <c r="S534">
        <v>9.4</v>
      </c>
      <c r="T534">
        <v>2025</v>
      </c>
      <c r="U534">
        <v>5</v>
      </c>
      <c r="V534">
        <v>1</v>
      </c>
      <c r="W534" t="s">
        <v>47</v>
      </c>
      <c r="X534" t="s">
        <v>64</v>
      </c>
      <c r="Y534" t="s">
        <v>48</v>
      </c>
    </row>
    <row r="535" spans="1:25" x14ac:dyDescent="0.35">
      <c r="A535" t="s">
        <v>1197</v>
      </c>
      <c r="B535" t="s">
        <v>158</v>
      </c>
      <c r="C535" t="s">
        <v>27</v>
      </c>
      <c r="D535" t="s">
        <v>28</v>
      </c>
      <c r="E535">
        <v>3</v>
      </c>
      <c r="F535" t="s">
        <v>41</v>
      </c>
      <c r="G535">
        <v>285000</v>
      </c>
      <c r="H535">
        <v>145000</v>
      </c>
      <c r="I535">
        <v>280000</v>
      </c>
      <c r="J535" t="s">
        <v>174</v>
      </c>
      <c r="K535" t="s">
        <v>31</v>
      </c>
      <c r="L535" t="s">
        <v>53</v>
      </c>
      <c r="M535" t="s">
        <v>61</v>
      </c>
      <c r="N535" t="s">
        <v>165</v>
      </c>
      <c r="O535" t="s">
        <v>1198</v>
      </c>
      <c r="P535">
        <v>9.6</v>
      </c>
      <c r="Q535">
        <v>94</v>
      </c>
      <c r="R535">
        <v>42.7</v>
      </c>
      <c r="S535">
        <v>8.1999999999999993</v>
      </c>
      <c r="T535">
        <v>2026</v>
      </c>
      <c r="U535">
        <v>1</v>
      </c>
      <c r="V535">
        <v>1</v>
      </c>
      <c r="W535" t="s">
        <v>47</v>
      </c>
      <c r="X535" t="s">
        <v>37</v>
      </c>
      <c r="Y535" t="s">
        <v>38</v>
      </c>
    </row>
    <row r="536" spans="1:25" x14ac:dyDescent="0.35">
      <c r="A536" t="s">
        <v>1199</v>
      </c>
      <c r="B536" t="s">
        <v>50</v>
      </c>
      <c r="C536" t="s">
        <v>27</v>
      </c>
      <c r="D536" t="s">
        <v>81</v>
      </c>
      <c r="E536">
        <v>6</v>
      </c>
      <c r="F536" t="s">
        <v>51</v>
      </c>
      <c r="G536">
        <v>174000</v>
      </c>
      <c r="H536">
        <v>160000</v>
      </c>
      <c r="I536">
        <v>300000</v>
      </c>
      <c r="J536" t="s">
        <v>52</v>
      </c>
      <c r="K536" t="s">
        <v>31</v>
      </c>
      <c r="L536" t="s">
        <v>44</v>
      </c>
      <c r="M536" t="s">
        <v>33</v>
      </c>
      <c r="N536" t="s">
        <v>165</v>
      </c>
      <c r="O536" t="s">
        <v>1200</v>
      </c>
      <c r="P536">
        <v>4.7</v>
      </c>
      <c r="Q536">
        <v>98</v>
      </c>
      <c r="R536">
        <v>32.700000000000003</v>
      </c>
      <c r="S536">
        <v>8.9</v>
      </c>
      <c r="T536">
        <v>2025</v>
      </c>
      <c r="U536">
        <v>8</v>
      </c>
      <c r="V536">
        <v>0</v>
      </c>
      <c r="W536" t="s">
        <v>47</v>
      </c>
      <c r="X536" t="s">
        <v>37</v>
      </c>
      <c r="Y536" t="s">
        <v>48</v>
      </c>
    </row>
    <row r="537" spans="1:25" x14ac:dyDescent="0.35">
      <c r="A537" t="s">
        <v>1201</v>
      </c>
      <c r="B537" t="s">
        <v>66</v>
      </c>
      <c r="C537" t="s">
        <v>67</v>
      </c>
      <c r="D537" t="s">
        <v>68</v>
      </c>
      <c r="E537">
        <v>6</v>
      </c>
      <c r="F537" t="s">
        <v>69</v>
      </c>
      <c r="G537">
        <v>246000</v>
      </c>
      <c r="H537">
        <v>140000</v>
      </c>
      <c r="I537">
        <v>260000</v>
      </c>
      <c r="J537" t="s">
        <v>30</v>
      </c>
      <c r="K537" t="s">
        <v>31</v>
      </c>
      <c r="L537" t="s">
        <v>53</v>
      </c>
      <c r="M537" t="s">
        <v>61</v>
      </c>
      <c r="N537" t="s">
        <v>165</v>
      </c>
      <c r="O537" t="s">
        <v>1202</v>
      </c>
      <c r="P537">
        <v>17.899999999999999</v>
      </c>
      <c r="Q537">
        <v>85</v>
      </c>
      <c r="R537">
        <v>28.1</v>
      </c>
      <c r="S537">
        <v>6.9</v>
      </c>
      <c r="T537">
        <v>2026</v>
      </c>
      <c r="U537">
        <v>3</v>
      </c>
      <c r="V537">
        <v>1</v>
      </c>
      <c r="W537" t="s">
        <v>47</v>
      </c>
      <c r="X537" t="s">
        <v>64</v>
      </c>
      <c r="Y537" t="s">
        <v>38</v>
      </c>
    </row>
    <row r="538" spans="1:25" x14ac:dyDescent="0.35">
      <c r="A538" t="s">
        <v>1203</v>
      </c>
      <c r="B538" t="s">
        <v>153</v>
      </c>
      <c r="C538" t="s">
        <v>154</v>
      </c>
      <c r="D538" t="s">
        <v>28</v>
      </c>
      <c r="E538">
        <v>2</v>
      </c>
      <c r="F538" t="s">
        <v>128</v>
      </c>
      <c r="G538">
        <v>216000</v>
      </c>
      <c r="H538">
        <v>95000</v>
      </c>
      <c r="I538">
        <v>180000</v>
      </c>
      <c r="J538" t="s">
        <v>191</v>
      </c>
      <c r="K538" t="s">
        <v>31</v>
      </c>
      <c r="L538" t="s">
        <v>44</v>
      </c>
      <c r="M538" t="s">
        <v>54</v>
      </c>
      <c r="N538" t="s">
        <v>88</v>
      </c>
      <c r="O538" t="s">
        <v>1204</v>
      </c>
      <c r="P538">
        <v>15.7</v>
      </c>
      <c r="Q538">
        <v>78</v>
      </c>
      <c r="R538">
        <v>27.5</v>
      </c>
      <c r="S538">
        <v>9.3000000000000007</v>
      </c>
      <c r="T538">
        <v>2025</v>
      </c>
      <c r="U538">
        <v>2</v>
      </c>
      <c r="V538">
        <v>1</v>
      </c>
      <c r="W538" t="s">
        <v>47</v>
      </c>
      <c r="X538" t="s">
        <v>64</v>
      </c>
      <c r="Y538" t="s">
        <v>38</v>
      </c>
    </row>
    <row r="539" spans="1:25" x14ac:dyDescent="0.35">
      <c r="A539" t="s">
        <v>1205</v>
      </c>
      <c r="B539" t="s">
        <v>40</v>
      </c>
      <c r="C539" t="s">
        <v>27</v>
      </c>
      <c r="D539" t="s">
        <v>68</v>
      </c>
      <c r="E539">
        <v>1</v>
      </c>
      <c r="F539" t="s">
        <v>41</v>
      </c>
      <c r="G539">
        <v>195000</v>
      </c>
      <c r="H539">
        <v>90000</v>
      </c>
      <c r="I539">
        <v>200000</v>
      </c>
      <c r="J539" t="s">
        <v>142</v>
      </c>
      <c r="K539" t="s">
        <v>143</v>
      </c>
      <c r="L539" t="s">
        <v>44</v>
      </c>
      <c r="M539" t="s">
        <v>54</v>
      </c>
      <c r="N539" t="s">
        <v>124</v>
      </c>
      <c r="O539" t="s">
        <v>1206</v>
      </c>
      <c r="P539">
        <v>8</v>
      </c>
      <c r="Q539">
        <v>82</v>
      </c>
      <c r="R539">
        <v>8</v>
      </c>
      <c r="S539">
        <v>9.4</v>
      </c>
      <c r="T539">
        <v>2026</v>
      </c>
      <c r="U539">
        <v>3</v>
      </c>
      <c r="V539">
        <v>1</v>
      </c>
      <c r="W539" t="s">
        <v>47</v>
      </c>
      <c r="X539" t="s">
        <v>37</v>
      </c>
      <c r="Y539" t="s">
        <v>48</v>
      </c>
    </row>
    <row r="540" spans="1:25" x14ac:dyDescent="0.35">
      <c r="A540" t="s">
        <v>1207</v>
      </c>
      <c r="B540" t="s">
        <v>158</v>
      </c>
      <c r="C540" t="s">
        <v>27</v>
      </c>
      <c r="D540" t="s">
        <v>74</v>
      </c>
      <c r="E540">
        <v>4</v>
      </c>
      <c r="F540" t="s">
        <v>41</v>
      </c>
      <c r="G540">
        <v>145000</v>
      </c>
      <c r="H540">
        <v>145000</v>
      </c>
      <c r="I540">
        <v>280000</v>
      </c>
      <c r="J540" t="s">
        <v>108</v>
      </c>
      <c r="K540" t="s">
        <v>109</v>
      </c>
      <c r="L540" t="s">
        <v>53</v>
      </c>
      <c r="M540" t="s">
        <v>33</v>
      </c>
      <c r="N540" t="s">
        <v>131</v>
      </c>
      <c r="O540" t="s">
        <v>1208</v>
      </c>
      <c r="P540">
        <v>7.2</v>
      </c>
      <c r="Q540">
        <v>94</v>
      </c>
      <c r="R540">
        <v>42</v>
      </c>
      <c r="S540">
        <v>8.5</v>
      </c>
      <c r="T540">
        <v>2025</v>
      </c>
      <c r="U540">
        <v>8</v>
      </c>
      <c r="V540">
        <v>0</v>
      </c>
      <c r="W540" t="s">
        <v>47</v>
      </c>
      <c r="X540" t="s">
        <v>37</v>
      </c>
      <c r="Y540" t="s">
        <v>95</v>
      </c>
    </row>
    <row r="541" spans="1:25" x14ac:dyDescent="0.35">
      <c r="A541" t="s">
        <v>1209</v>
      </c>
      <c r="B541" t="s">
        <v>609</v>
      </c>
      <c r="C541" t="s">
        <v>124</v>
      </c>
      <c r="D541" t="s">
        <v>28</v>
      </c>
      <c r="E541">
        <v>11</v>
      </c>
      <c r="F541" t="s">
        <v>41</v>
      </c>
      <c r="G541">
        <v>237000</v>
      </c>
      <c r="H541">
        <v>115000</v>
      </c>
      <c r="I541">
        <v>280000</v>
      </c>
      <c r="J541" t="s">
        <v>117</v>
      </c>
      <c r="K541" t="s">
        <v>118</v>
      </c>
      <c r="L541" t="s">
        <v>32</v>
      </c>
      <c r="M541" t="s">
        <v>54</v>
      </c>
      <c r="N541" t="s">
        <v>131</v>
      </c>
      <c r="O541" t="s">
        <v>1210</v>
      </c>
      <c r="P541">
        <v>17.5</v>
      </c>
      <c r="Q541">
        <v>88</v>
      </c>
      <c r="R541">
        <v>27.1</v>
      </c>
      <c r="S541">
        <v>8.8000000000000007</v>
      </c>
      <c r="T541">
        <v>2026</v>
      </c>
      <c r="U541">
        <v>2</v>
      </c>
      <c r="V541">
        <v>1</v>
      </c>
      <c r="W541" t="s">
        <v>36</v>
      </c>
      <c r="X541" t="s">
        <v>64</v>
      </c>
      <c r="Y541" t="s">
        <v>38</v>
      </c>
    </row>
    <row r="542" spans="1:25" x14ac:dyDescent="0.35">
      <c r="A542" t="s">
        <v>1211</v>
      </c>
      <c r="B542" t="s">
        <v>153</v>
      </c>
      <c r="C542" t="s">
        <v>154</v>
      </c>
      <c r="D542" t="s">
        <v>74</v>
      </c>
      <c r="E542">
        <v>2</v>
      </c>
      <c r="F542" t="s">
        <v>128</v>
      </c>
      <c r="G542">
        <v>95000</v>
      </c>
      <c r="H542">
        <v>95000</v>
      </c>
      <c r="I542">
        <v>180000</v>
      </c>
      <c r="J542" t="s">
        <v>108</v>
      </c>
      <c r="K542" t="s">
        <v>109</v>
      </c>
      <c r="L542" t="s">
        <v>53</v>
      </c>
      <c r="M542" t="s">
        <v>82</v>
      </c>
      <c r="N542" t="s">
        <v>110</v>
      </c>
      <c r="O542" t="s">
        <v>1212</v>
      </c>
      <c r="P542">
        <v>15.5</v>
      </c>
      <c r="Q542">
        <v>78</v>
      </c>
      <c r="R542">
        <v>28.1</v>
      </c>
      <c r="S542">
        <v>8.5</v>
      </c>
      <c r="T542">
        <v>2025</v>
      </c>
      <c r="U542">
        <v>4</v>
      </c>
      <c r="V542">
        <v>0</v>
      </c>
      <c r="W542" t="s">
        <v>47</v>
      </c>
      <c r="X542" t="s">
        <v>64</v>
      </c>
      <c r="Y542" t="s">
        <v>98</v>
      </c>
    </row>
    <row r="543" spans="1:25" x14ac:dyDescent="0.35">
      <c r="A543" t="s">
        <v>1213</v>
      </c>
      <c r="B543" t="s">
        <v>163</v>
      </c>
      <c r="C543" t="s">
        <v>164</v>
      </c>
      <c r="D543" t="s">
        <v>74</v>
      </c>
      <c r="E543">
        <v>6</v>
      </c>
      <c r="F543" t="s">
        <v>51</v>
      </c>
      <c r="G543">
        <v>125000</v>
      </c>
      <c r="H543">
        <v>125000</v>
      </c>
      <c r="I543">
        <v>240000</v>
      </c>
      <c r="J543" t="s">
        <v>117</v>
      </c>
      <c r="K543" t="s">
        <v>118</v>
      </c>
      <c r="L543" t="s">
        <v>44</v>
      </c>
      <c r="M543" t="s">
        <v>61</v>
      </c>
      <c r="N543" t="s">
        <v>165</v>
      </c>
      <c r="O543" t="s">
        <v>1214</v>
      </c>
      <c r="P543">
        <v>12.4</v>
      </c>
      <c r="Q543">
        <v>76</v>
      </c>
      <c r="R543">
        <v>8.1999999999999993</v>
      </c>
      <c r="S543">
        <v>7.7</v>
      </c>
      <c r="T543">
        <v>2026</v>
      </c>
      <c r="U543">
        <v>3</v>
      </c>
      <c r="V543">
        <v>0</v>
      </c>
      <c r="W543" t="s">
        <v>47</v>
      </c>
      <c r="X543" t="s">
        <v>64</v>
      </c>
      <c r="Y543" t="s">
        <v>95</v>
      </c>
    </row>
    <row r="544" spans="1:25" x14ac:dyDescent="0.35">
      <c r="A544" t="s">
        <v>1215</v>
      </c>
      <c r="B544" t="s">
        <v>185</v>
      </c>
      <c r="C544" t="s">
        <v>186</v>
      </c>
      <c r="D544" t="s">
        <v>68</v>
      </c>
      <c r="E544">
        <v>9</v>
      </c>
      <c r="F544" t="s">
        <v>69</v>
      </c>
      <c r="G544">
        <v>287000</v>
      </c>
      <c r="H544">
        <v>140000</v>
      </c>
      <c r="I544">
        <v>270000</v>
      </c>
      <c r="J544" t="s">
        <v>30</v>
      </c>
      <c r="K544" t="s">
        <v>31</v>
      </c>
      <c r="L544" t="s">
        <v>44</v>
      </c>
      <c r="M544" t="s">
        <v>45</v>
      </c>
      <c r="N544" t="s">
        <v>131</v>
      </c>
      <c r="O544" t="s">
        <v>1216</v>
      </c>
      <c r="P544">
        <v>10.8</v>
      </c>
      <c r="Q544">
        <v>85</v>
      </c>
      <c r="R544">
        <v>20.8</v>
      </c>
      <c r="S544">
        <v>7.9</v>
      </c>
      <c r="T544">
        <v>2026</v>
      </c>
      <c r="U544">
        <v>3</v>
      </c>
      <c r="V544">
        <v>1</v>
      </c>
      <c r="W544" t="s">
        <v>47</v>
      </c>
      <c r="X544" t="s">
        <v>64</v>
      </c>
      <c r="Y544" t="s">
        <v>38</v>
      </c>
    </row>
    <row r="545" spans="1:25" x14ac:dyDescent="0.35">
      <c r="A545" t="s">
        <v>1217</v>
      </c>
      <c r="B545" t="s">
        <v>185</v>
      </c>
      <c r="C545" t="s">
        <v>186</v>
      </c>
      <c r="D545" t="s">
        <v>68</v>
      </c>
      <c r="E545">
        <v>9</v>
      </c>
      <c r="F545" t="s">
        <v>41</v>
      </c>
      <c r="G545">
        <v>210000</v>
      </c>
      <c r="H545">
        <v>140000</v>
      </c>
      <c r="I545">
        <v>270000</v>
      </c>
      <c r="J545" t="s">
        <v>113</v>
      </c>
      <c r="K545" t="s">
        <v>114</v>
      </c>
      <c r="L545" t="s">
        <v>44</v>
      </c>
      <c r="M545" t="s">
        <v>33</v>
      </c>
      <c r="N545" t="s">
        <v>165</v>
      </c>
      <c r="O545" t="s">
        <v>1218</v>
      </c>
      <c r="P545">
        <v>17.399999999999999</v>
      </c>
      <c r="Q545">
        <v>85</v>
      </c>
      <c r="R545">
        <v>21.8</v>
      </c>
      <c r="S545">
        <v>7</v>
      </c>
      <c r="T545">
        <v>2025</v>
      </c>
      <c r="U545">
        <v>3</v>
      </c>
      <c r="V545">
        <v>1</v>
      </c>
      <c r="W545" t="s">
        <v>47</v>
      </c>
      <c r="X545" t="s">
        <v>64</v>
      </c>
      <c r="Y545" t="s">
        <v>38</v>
      </c>
    </row>
    <row r="546" spans="1:25" x14ac:dyDescent="0.35">
      <c r="A546" t="s">
        <v>1219</v>
      </c>
      <c r="B546" t="s">
        <v>134</v>
      </c>
      <c r="C546" t="s">
        <v>27</v>
      </c>
      <c r="D546" t="s">
        <v>81</v>
      </c>
      <c r="E546">
        <v>2</v>
      </c>
      <c r="F546" t="s">
        <v>29</v>
      </c>
      <c r="G546">
        <v>230000</v>
      </c>
      <c r="H546">
        <v>150000</v>
      </c>
      <c r="I546">
        <v>295000</v>
      </c>
      <c r="J546" t="s">
        <v>47</v>
      </c>
      <c r="K546" t="s">
        <v>87</v>
      </c>
      <c r="L546" t="s">
        <v>44</v>
      </c>
      <c r="M546" t="s">
        <v>82</v>
      </c>
      <c r="N546" t="s">
        <v>62</v>
      </c>
      <c r="O546" t="s">
        <v>1220</v>
      </c>
      <c r="P546">
        <v>10.6</v>
      </c>
      <c r="Q546">
        <v>95</v>
      </c>
      <c r="R546">
        <v>42.8</v>
      </c>
      <c r="S546">
        <v>8.1999999999999993</v>
      </c>
      <c r="T546">
        <v>2026</v>
      </c>
      <c r="U546">
        <v>2</v>
      </c>
      <c r="V546">
        <v>0</v>
      </c>
      <c r="W546" t="s">
        <v>47</v>
      </c>
      <c r="X546" t="s">
        <v>37</v>
      </c>
      <c r="Y546" t="s">
        <v>38</v>
      </c>
    </row>
    <row r="547" spans="1:25" x14ac:dyDescent="0.35">
      <c r="A547" t="s">
        <v>1221</v>
      </c>
      <c r="B547" t="s">
        <v>79</v>
      </c>
      <c r="C547" t="s">
        <v>80</v>
      </c>
      <c r="D547" t="s">
        <v>81</v>
      </c>
      <c r="E547">
        <v>10</v>
      </c>
      <c r="F547" t="s">
        <v>128</v>
      </c>
      <c r="G547">
        <v>210000</v>
      </c>
      <c r="H547">
        <v>140000</v>
      </c>
      <c r="I547">
        <v>260000</v>
      </c>
      <c r="J547" t="s">
        <v>75</v>
      </c>
      <c r="K547" t="s">
        <v>31</v>
      </c>
      <c r="L547" t="s">
        <v>53</v>
      </c>
      <c r="M547" t="s">
        <v>82</v>
      </c>
      <c r="N547" t="s">
        <v>34</v>
      </c>
      <c r="O547" t="s">
        <v>1222</v>
      </c>
      <c r="P547">
        <v>17</v>
      </c>
      <c r="Q547">
        <v>80</v>
      </c>
      <c r="R547">
        <v>24.1</v>
      </c>
      <c r="S547">
        <v>7.6</v>
      </c>
      <c r="T547">
        <v>2026</v>
      </c>
      <c r="U547">
        <v>1</v>
      </c>
      <c r="V547">
        <v>0</v>
      </c>
      <c r="W547" t="s">
        <v>47</v>
      </c>
      <c r="X547" t="s">
        <v>64</v>
      </c>
      <c r="Y547" t="s">
        <v>38</v>
      </c>
    </row>
    <row r="548" spans="1:25" x14ac:dyDescent="0.35">
      <c r="A548" t="s">
        <v>1223</v>
      </c>
      <c r="B548" t="s">
        <v>146</v>
      </c>
      <c r="C548" t="s">
        <v>27</v>
      </c>
      <c r="D548" t="s">
        <v>81</v>
      </c>
      <c r="E548">
        <v>8</v>
      </c>
      <c r="F548" t="s">
        <v>69</v>
      </c>
      <c r="G548">
        <v>160000</v>
      </c>
      <c r="H548">
        <v>160000</v>
      </c>
      <c r="I548">
        <v>300000</v>
      </c>
      <c r="J548" t="s">
        <v>122</v>
      </c>
      <c r="K548" t="s">
        <v>123</v>
      </c>
      <c r="L548" t="s">
        <v>44</v>
      </c>
      <c r="M548" t="s">
        <v>33</v>
      </c>
      <c r="N548" t="s">
        <v>88</v>
      </c>
      <c r="O548" t="s">
        <v>1224</v>
      </c>
      <c r="P548">
        <v>14.9</v>
      </c>
      <c r="Q548">
        <v>90</v>
      </c>
      <c r="R548">
        <v>5.7</v>
      </c>
      <c r="S548">
        <v>7</v>
      </c>
      <c r="T548">
        <v>2025</v>
      </c>
      <c r="U548">
        <v>7</v>
      </c>
      <c r="V548">
        <v>0</v>
      </c>
      <c r="W548" t="s">
        <v>47</v>
      </c>
      <c r="X548" t="s">
        <v>64</v>
      </c>
      <c r="Y548" t="s">
        <v>48</v>
      </c>
    </row>
    <row r="549" spans="1:25" x14ac:dyDescent="0.35">
      <c r="A549" t="s">
        <v>1225</v>
      </c>
      <c r="B549" t="s">
        <v>127</v>
      </c>
      <c r="C549" t="s">
        <v>27</v>
      </c>
      <c r="D549" t="s">
        <v>28</v>
      </c>
      <c r="E549">
        <v>10</v>
      </c>
      <c r="F549" t="s">
        <v>128</v>
      </c>
      <c r="G549">
        <v>207000</v>
      </c>
      <c r="H549">
        <v>120000</v>
      </c>
      <c r="I549">
        <v>280000</v>
      </c>
      <c r="J549" t="s">
        <v>102</v>
      </c>
      <c r="K549" t="s">
        <v>103</v>
      </c>
      <c r="L549" t="s">
        <v>44</v>
      </c>
      <c r="M549" t="s">
        <v>82</v>
      </c>
      <c r="N549" t="s">
        <v>88</v>
      </c>
      <c r="O549" t="s">
        <v>1226</v>
      </c>
      <c r="P549">
        <v>13.7</v>
      </c>
      <c r="Q549">
        <v>97</v>
      </c>
      <c r="R549">
        <v>27.2</v>
      </c>
      <c r="S549">
        <v>6.8</v>
      </c>
      <c r="T549">
        <v>2026</v>
      </c>
      <c r="U549">
        <v>3</v>
      </c>
      <c r="V549">
        <v>1</v>
      </c>
      <c r="W549" t="s">
        <v>47</v>
      </c>
      <c r="X549" t="s">
        <v>64</v>
      </c>
      <c r="Y549" t="s">
        <v>38</v>
      </c>
    </row>
    <row r="550" spans="1:25" x14ac:dyDescent="0.35">
      <c r="A550" t="s">
        <v>1227</v>
      </c>
      <c r="B550" t="s">
        <v>158</v>
      </c>
      <c r="C550" t="s">
        <v>27</v>
      </c>
      <c r="D550" t="s">
        <v>74</v>
      </c>
      <c r="E550">
        <v>2</v>
      </c>
      <c r="F550" t="s">
        <v>41</v>
      </c>
      <c r="G550">
        <v>145000</v>
      </c>
      <c r="H550">
        <v>145000</v>
      </c>
      <c r="I550">
        <v>280000</v>
      </c>
      <c r="J550" t="s">
        <v>113</v>
      </c>
      <c r="K550" t="s">
        <v>114</v>
      </c>
      <c r="L550" t="s">
        <v>53</v>
      </c>
      <c r="M550" t="s">
        <v>61</v>
      </c>
      <c r="N550" t="s">
        <v>131</v>
      </c>
      <c r="O550" t="s">
        <v>1228</v>
      </c>
      <c r="P550">
        <v>5.8</v>
      </c>
      <c r="Q550">
        <v>94</v>
      </c>
      <c r="R550">
        <v>67.400000000000006</v>
      </c>
      <c r="S550">
        <v>7.1</v>
      </c>
      <c r="T550">
        <v>2025</v>
      </c>
      <c r="U550">
        <v>6</v>
      </c>
      <c r="V550">
        <v>0</v>
      </c>
      <c r="W550" t="s">
        <v>47</v>
      </c>
      <c r="X550" t="s">
        <v>37</v>
      </c>
      <c r="Y550" t="s">
        <v>95</v>
      </c>
    </row>
    <row r="551" spans="1:25" x14ac:dyDescent="0.35">
      <c r="A551" t="s">
        <v>1229</v>
      </c>
      <c r="B551" t="s">
        <v>66</v>
      </c>
      <c r="C551" t="s">
        <v>67</v>
      </c>
      <c r="D551" t="s">
        <v>81</v>
      </c>
      <c r="E551">
        <v>4</v>
      </c>
      <c r="F551" t="s">
        <v>41</v>
      </c>
      <c r="G551">
        <v>140000</v>
      </c>
      <c r="H551">
        <v>140000</v>
      </c>
      <c r="I551">
        <v>260000</v>
      </c>
      <c r="J551" t="s">
        <v>122</v>
      </c>
      <c r="K551" t="s">
        <v>123</v>
      </c>
      <c r="L551" t="s">
        <v>44</v>
      </c>
      <c r="M551" t="s">
        <v>61</v>
      </c>
      <c r="N551" t="s">
        <v>71</v>
      </c>
      <c r="O551" t="s">
        <v>1230</v>
      </c>
      <c r="P551">
        <v>14.9</v>
      </c>
      <c r="Q551">
        <v>85</v>
      </c>
      <c r="R551">
        <v>5.8</v>
      </c>
      <c r="S551">
        <v>8.8000000000000007</v>
      </c>
      <c r="T551">
        <v>2026</v>
      </c>
      <c r="U551">
        <v>2</v>
      </c>
      <c r="V551">
        <v>0</v>
      </c>
      <c r="W551" t="s">
        <v>47</v>
      </c>
      <c r="X551" t="s">
        <v>64</v>
      </c>
      <c r="Y551" t="s">
        <v>95</v>
      </c>
    </row>
    <row r="552" spans="1:25" x14ac:dyDescent="0.35">
      <c r="A552" t="s">
        <v>1231</v>
      </c>
      <c r="B552" t="s">
        <v>26</v>
      </c>
      <c r="C552" t="s">
        <v>27</v>
      </c>
      <c r="D552" t="s">
        <v>28</v>
      </c>
      <c r="E552">
        <v>6</v>
      </c>
      <c r="F552" t="s">
        <v>41</v>
      </c>
      <c r="G552">
        <v>178000</v>
      </c>
      <c r="H552">
        <v>155000</v>
      </c>
      <c r="I552">
        <v>290000</v>
      </c>
      <c r="J552" t="s">
        <v>137</v>
      </c>
      <c r="K552" t="s">
        <v>138</v>
      </c>
      <c r="L552" t="s">
        <v>53</v>
      </c>
      <c r="M552" t="s">
        <v>61</v>
      </c>
      <c r="N552" t="s">
        <v>155</v>
      </c>
      <c r="O552" t="s">
        <v>1232</v>
      </c>
      <c r="P552">
        <v>11</v>
      </c>
      <c r="Q552">
        <v>96</v>
      </c>
      <c r="R552">
        <v>48.5</v>
      </c>
      <c r="S552">
        <v>6.4</v>
      </c>
      <c r="T552">
        <v>2026</v>
      </c>
      <c r="U552">
        <v>3</v>
      </c>
      <c r="V552">
        <v>1</v>
      </c>
      <c r="W552" t="s">
        <v>47</v>
      </c>
      <c r="X552" t="s">
        <v>37</v>
      </c>
      <c r="Y552" t="s">
        <v>48</v>
      </c>
    </row>
    <row r="553" spans="1:25" x14ac:dyDescent="0.35">
      <c r="A553" t="s">
        <v>1233</v>
      </c>
      <c r="B553" t="s">
        <v>179</v>
      </c>
      <c r="C553" t="s">
        <v>180</v>
      </c>
      <c r="D553" t="s">
        <v>68</v>
      </c>
      <c r="E553">
        <v>10</v>
      </c>
      <c r="F553" t="s">
        <v>41</v>
      </c>
      <c r="G553">
        <v>172000</v>
      </c>
      <c r="H553">
        <v>110000</v>
      </c>
      <c r="I553">
        <v>210000</v>
      </c>
      <c r="J553" t="s">
        <v>137</v>
      </c>
      <c r="K553" t="s">
        <v>138</v>
      </c>
      <c r="L553" t="s">
        <v>44</v>
      </c>
      <c r="M553" t="s">
        <v>82</v>
      </c>
      <c r="N553" t="s">
        <v>124</v>
      </c>
      <c r="O553" t="s">
        <v>1234</v>
      </c>
      <c r="P553">
        <v>11.7</v>
      </c>
      <c r="Q553">
        <v>72</v>
      </c>
      <c r="R553">
        <v>18.7</v>
      </c>
      <c r="S553">
        <v>6.4</v>
      </c>
      <c r="T553">
        <v>2025</v>
      </c>
      <c r="U553">
        <v>1</v>
      </c>
      <c r="V553">
        <v>1</v>
      </c>
      <c r="W553" t="s">
        <v>47</v>
      </c>
      <c r="X553" t="s">
        <v>64</v>
      </c>
      <c r="Y553" t="s">
        <v>48</v>
      </c>
    </row>
    <row r="554" spans="1:25" x14ac:dyDescent="0.35">
      <c r="A554" t="s">
        <v>1235</v>
      </c>
      <c r="B554" t="s">
        <v>50</v>
      </c>
      <c r="C554" t="s">
        <v>27</v>
      </c>
      <c r="D554" t="s">
        <v>28</v>
      </c>
      <c r="E554">
        <v>7</v>
      </c>
      <c r="F554" t="s">
        <v>69</v>
      </c>
      <c r="G554">
        <v>226000</v>
      </c>
      <c r="H554">
        <v>160000</v>
      </c>
      <c r="I554">
        <v>300000</v>
      </c>
      <c r="J554" t="s">
        <v>42</v>
      </c>
      <c r="K554" t="s">
        <v>43</v>
      </c>
      <c r="L554" t="s">
        <v>32</v>
      </c>
      <c r="M554" t="s">
        <v>45</v>
      </c>
      <c r="N554" t="s">
        <v>165</v>
      </c>
      <c r="O554" t="s">
        <v>1236</v>
      </c>
      <c r="P554">
        <v>4</v>
      </c>
      <c r="Q554">
        <v>98</v>
      </c>
      <c r="R554">
        <v>60</v>
      </c>
      <c r="S554">
        <v>7.8</v>
      </c>
      <c r="T554">
        <v>2026</v>
      </c>
      <c r="U554">
        <v>3</v>
      </c>
      <c r="V554">
        <v>1</v>
      </c>
      <c r="W554" t="s">
        <v>36</v>
      </c>
      <c r="X554" t="s">
        <v>37</v>
      </c>
      <c r="Y554" t="s">
        <v>38</v>
      </c>
    </row>
    <row r="555" spans="1:25" x14ac:dyDescent="0.35">
      <c r="A555" t="s">
        <v>1237</v>
      </c>
      <c r="B555" t="s">
        <v>233</v>
      </c>
      <c r="C555" t="s">
        <v>180</v>
      </c>
      <c r="D555" t="s">
        <v>68</v>
      </c>
      <c r="E555">
        <v>8</v>
      </c>
      <c r="F555" t="s">
        <v>128</v>
      </c>
      <c r="G555">
        <v>173000</v>
      </c>
      <c r="H555">
        <v>100000</v>
      </c>
      <c r="I555">
        <v>200000</v>
      </c>
      <c r="J555" t="s">
        <v>42</v>
      </c>
      <c r="K555" t="s">
        <v>43</v>
      </c>
      <c r="L555" t="s">
        <v>44</v>
      </c>
      <c r="M555" t="s">
        <v>33</v>
      </c>
      <c r="N555" t="s">
        <v>110</v>
      </c>
      <c r="O555" t="s">
        <v>1238</v>
      </c>
      <c r="P555">
        <v>15.6</v>
      </c>
      <c r="Q555">
        <v>68</v>
      </c>
      <c r="R555">
        <v>24.9</v>
      </c>
      <c r="S555">
        <v>8.1</v>
      </c>
      <c r="T555">
        <v>2025</v>
      </c>
      <c r="U555">
        <v>11</v>
      </c>
      <c r="V555">
        <v>1</v>
      </c>
      <c r="W555" t="s">
        <v>47</v>
      </c>
      <c r="X555" t="s">
        <v>64</v>
      </c>
      <c r="Y555" t="s">
        <v>48</v>
      </c>
    </row>
    <row r="556" spans="1:25" x14ac:dyDescent="0.35">
      <c r="A556" t="s">
        <v>1239</v>
      </c>
      <c r="B556" t="s">
        <v>91</v>
      </c>
      <c r="C556" t="s">
        <v>27</v>
      </c>
      <c r="D556" t="s">
        <v>68</v>
      </c>
      <c r="E556">
        <v>4</v>
      </c>
      <c r="F556" t="s">
        <v>51</v>
      </c>
      <c r="G556">
        <v>236000</v>
      </c>
      <c r="H556">
        <v>145000</v>
      </c>
      <c r="I556">
        <v>290000</v>
      </c>
      <c r="J556" t="s">
        <v>113</v>
      </c>
      <c r="K556" t="s">
        <v>114</v>
      </c>
      <c r="L556" t="s">
        <v>44</v>
      </c>
      <c r="M556" t="s">
        <v>45</v>
      </c>
      <c r="N556" t="s">
        <v>131</v>
      </c>
      <c r="O556" t="s">
        <v>1240</v>
      </c>
      <c r="P556">
        <v>3.9</v>
      </c>
      <c r="Q556">
        <v>91</v>
      </c>
      <c r="R556">
        <v>29.4</v>
      </c>
      <c r="S556">
        <v>9.3000000000000007</v>
      </c>
      <c r="T556">
        <v>2025</v>
      </c>
      <c r="U556">
        <v>7</v>
      </c>
      <c r="V556">
        <v>1</v>
      </c>
      <c r="W556" t="s">
        <v>47</v>
      </c>
      <c r="X556" t="s">
        <v>64</v>
      </c>
      <c r="Y556" t="s">
        <v>38</v>
      </c>
    </row>
    <row r="557" spans="1:25" x14ac:dyDescent="0.35">
      <c r="A557" t="s">
        <v>1241</v>
      </c>
      <c r="B557" t="s">
        <v>179</v>
      </c>
      <c r="C557" t="s">
        <v>180</v>
      </c>
      <c r="D557" t="s">
        <v>68</v>
      </c>
      <c r="E557">
        <v>12</v>
      </c>
      <c r="F557" t="s">
        <v>29</v>
      </c>
      <c r="G557">
        <v>252000</v>
      </c>
      <c r="H557">
        <v>110000</v>
      </c>
      <c r="I557">
        <v>210000</v>
      </c>
      <c r="J557" t="s">
        <v>75</v>
      </c>
      <c r="K557" t="s">
        <v>31</v>
      </c>
      <c r="L557" t="s">
        <v>44</v>
      </c>
      <c r="M557" t="s">
        <v>54</v>
      </c>
      <c r="N557" t="s">
        <v>155</v>
      </c>
      <c r="O557" t="s">
        <v>1242</v>
      </c>
      <c r="P557">
        <v>16.899999999999999</v>
      </c>
      <c r="Q557">
        <v>72</v>
      </c>
      <c r="R557">
        <v>19.100000000000001</v>
      </c>
      <c r="S557">
        <v>6.6</v>
      </c>
      <c r="T557">
        <v>2025</v>
      </c>
      <c r="U557">
        <v>11</v>
      </c>
      <c r="V557">
        <v>1</v>
      </c>
      <c r="W557" t="s">
        <v>47</v>
      </c>
      <c r="X557" t="s">
        <v>64</v>
      </c>
      <c r="Y557" t="s">
        <v>38</v>
      </c>
    </row>
    <row r="558" spans="1:25" x14ac:dyDescent="0.35">
      <c r="A558" t="s">
        <v>1243</v>
      </c>
      <c r="B558" t="s">
        <v>141</v>
      </c>
      <c r="C558" t="s">
        <v>27</v>
      </c>
      <c r="D558" t="s">
        <v>28</v>
      </c>
      <c r="E558">
        <v>8</v>
      </c>
      <c r="F558" t="s">
        <v>69</v>
      </c>
      <c r="G558">
        <v>141000</v>
      </c>
      <c r="H558">
        <v>141000</v>
      </c>
      <c r="I558">
        <v>270000</v>
      </c>
      <c r="J558" t="s">
        <v>108</v>
      </c>
      <c r="K558" t="s">
        <v>109</v>
      </c>
      <c r="L558" t="s">
        <v>44</v>
      </c>
      <c r="M558" t="s">
        <v>82</v>
      </c>
      <c r="N558" t="s">
        <v>131</v>
      </c>
      <c r="O558" t="s">
        <v>1244</v>
      </c>
      <c r="P558">
        <v>10</v>
      </c>
      <c r="Q558">
        <v>89</v>
      </c>
      <c r="R558">
        <v>5.0999999999999996</v>
      </c>
      <c r="S558">
        <v>8.6999999999999993</v>
      </c>
      <c r="T558">
        <v>2025</v>
      </c>
      <c r="U558">
        <v>2</v>
      </c>
      <c r="V558">
        <v>1</v>
      </c>
      <c r="W558" t="s">
        <v>47</v>
      </c>
      <c r="X558" t="s">
        <v>64</v>
      </c>
      <c r="Y558" t="s">
        <v>95</v>
      </c>
    </row>
    <row r="559" spans="1:25" x14ac:dyDescent="0.35">
      <c r="A559" t="s">
        <v>1245</v>
      </c>
      <c r="B559" t="s">
        <v>163</v>
      </c>
      <c r="C559" t="s">
        <v>164</v>
      </c>
      <c r="D559" t="s">
        <v>74</v>
      </c>
      <c r="E559">
        <v>5</v>
      </c>
      <c r="F559" t="s">
        <v>41</v>
      </c>
      <c r="G559">
        <v>125000</v>
      </c>
      <c r="H559">
        <v>125000</v>
      </c>
      <c r="I559">
        <v>240000</v>
      </c>
      <c r="J559" t="s">
        <v>170</v>
      </c>
      <c r="K559" t="s">
        <v>171</v>
      </c>
      <c r="L559" t="s">
        <v>44</v>
      </c>
      <c r="M559" t="s">
        <v>82</v>
      </c>
      <c r="N559" t="s">
        <v>110</v>
      </c>
      <c r="O559" t="s">
        <v>1246</v>
      </c>
      <c r="P559">
        <v>17.100000000000001</v>
      </c>
      <c r="Q559">
        <v>76</v>
      </c>
      <c r="R559">
        <v>15.7</v>
      </c>
      <c r="S559">
        <v>8.8000000000000007</v>
      </c>
      <c r="T559">
        <v>2025</v>
      </c>
      <c r="U559">
        <v>7</v>
      </c>
      <c r="V559">
        <v>0</v>
      </c>
      <c r="W559" t="s">
        <v>47</v>
      </c>
      <c r="X559" t="s">
        <v>64</v>
      </c>
      <c r="Y559" t="s">
        <v>95</v>
      </c>
    </row>
    <row r="560" spans="1:25" x14ac:dyDescent="0.35">
      <c r="A560" t="s">
        <v>1247</v>
      </c>
      <c r="B560" t="s">
        <v>224</v>
      </c>
      <c r="C560" t="s">
        <v>27</v>
      </c>
      <c r="D560" t="s">
        <v>81</v>
      </c>
      <c r="E560">
        <v>4</v>
      </c>
      <c r="F560" t="s">
        <v>41</v>
      </c>
      <c r="G560">
        <v>194000</v>
      </c>
      <c r="H560">
        <v>145000</v>
      </c>
      <c r="I560">
        <v>280000</v>
      </c>
      <c r="J560" t="s">
        <v>102</v>
      </c>
      <c r="K560" t="s">
        <v>103</v>
      </c>
      <c r="L560" t="s">
        <v>44</v>
      </c>
      <c r="M560" t="s">
        <v>54</v>
      </c>
      <c r="N560" t="s">
        <v>155</v>
      </c>
      <c r="O560" t="s">
        <v>1248</v>
      </c>
      <c r="P560">
        <v>8.4</v>
      </c>
      <c r="Q560">
        <v>87</v>
      </c>
      <c r="R560">
        <v>13.3</v>
      </c>
      <c r="S560">
        <v>8.9</v>
      </c>
      <c r="T560">
        <v>2026</v>
      </c>
      <c r="U560">
        <v>2</v>
      </c>
      <c r="V560">
        <v>0</v>
      </c>
      <c r="W560" t="s">
        <v>47</v>
      </c>
      <c r="X560" t="s">
        <v>64</v>
      </c>
      <c r="Y560" t="s">
        <v>48</v>
      </c>
    </row>
    <row r="561" spans="1:25" x14ac:dyDescent="0.35">
      <c r="A561" t="s">
        <v>1249</v>
      </c>
      <c r="B561" t="s">
        <v>134</v>
      </c>
      <c r="C561" t="s">
        <v>27</v>
      </c>
      <c r="D561" t="s">
        <v>81</v>
      </c>
      <c r="E561">
        <v>3</v>
      </c>
      <c r="F561" t="s">
        <v>29</v>
      </c>
      <c r="G561">
        <v>150000</v>
      </c>
      <c r="H561">
        <v>150000</v>
      </c>
      <c r="I561">
        <v>295000</v>
      </c>
      <c r="J561" t="s">
        <v>108</v>
      </c>
      <c r="K561" t="s">
        <v>109</v>
      </c>
      <c r="L561" t="s">
        <v>44</v>
      </c>
      <c r="M561" t="s">
        <v>45</v>
      </c>
      <c r="N561" t="s">
        <v>62</v>
      </c>
      <c r="O561" t="s">
        <v>1250</v>
      </c>
      <c r="P561">
        <v>17</v>
      </c>
      <c r="Q561">
        <v>95</v>
      </c>
      <c r="R561">
        <v>18.8</v>
      </c>
      <c r="S561">
        <v>7.9</v>
      </c>
      <c r="T561">
        <v>2026</v>
      </c>
      <c r="U561">
        <v>3</v>
      </c>
      <c r="V561">
        <v>0</v>
      </c>
      <c r="W561" t="s">
        <v>47</v>
      </c>
      <c r="X561" t="s">
        <v>37</v>
      </c>
      <c r="Y561" t="s">
        <v>95</v>
      </c>
    </row>
    <row r="562" spans="1:25" x14ac:dyDescent="0.35">
      <c r="A562" t="s">
        <v>1251</v>
      </c>
      <c r="B562" t="s">
        <v>179</v>
      </c>
      <c r="C562" t="s">
        <v>180</v>
      </c>
      <c r="D562" t="s">
        <v>74</v>
      </c>
      <c r="E562">
        <v>10</v>
      </c>
      <c r="F562" t="s">
        <v>29</v>
      </c>
      <c r="G562">
        <v>110000</v>
      </c>
      <c r="H562">
        <v>110000</v>
      </c>
      <c r="I562">
        <v>210000</v>
      </c>
      <c r="J562" t="s">
        <v>113</v>
      </c>
      <c r="K562" t="s">
        <v>114</v>
      </c>
      <c r="L562" t="s">
        <v>53</v>
      </c>
      <c r="M562" t="s">
        <v>82</v>
      </c>
      <c r="N562" t="s">
        <v>119</v>
      </c>
      <c r="O562" t="s">
        <v>1252</v>
      </c>
      <c r="P562">
        <v>15.1</v>
      </c>
      <c r="Q562">
        <v>72</v>
      </c>
      <c r="R562">
        <v>26</v>
      </c>
      <c r="S562">
        <v>8.1</v>
      </c>
      <c r="T562">
        <v>2026</v>
      </c>
      <c r="U562">
        <v>2</v>
      </c>
      <c r="V562">
        <v>0</v>
      </c>
      <c r="W562" t="s">
        <v>47</v>
      </c>
      <c r="X562" t="s">
        <v>64</v>
      </c>
      <c r="Y562" t="s">
        <v>95</v>
      </c>
    </row>
    <row r="563" spans="1:25" x14ac:dyDescent="0.35">
      <c r="A563" t="s">
        <v>1253</v>
      </c>
      <c r="B563" t="s">
        <v>146</v>
      </c>
      <c r="C563" t="s">
        <v>27</v>
      </c>
      <c r="D563" t="s">
        <v>68</v>
      </c>
      <c r="E563">
        <v>9</v>
      </c>
      <c r="F563" t="s">
        <v>128</v>
      </c>
      <c r="G563">
        <v>360000</v>
      </c>
      <c r="H563">
        <v>160000</v>
      </c>
      <c r="I563">
        <v>300000</v>
      </c>
      <c r="J563" t="s">
        <v>30</v>
      </c>
      <c r="K563" t="s">
        <v>31</v>
      </c>
      <c r="L563" t="s">
        <v>53</v>
      </c>
      <c r="M563" t="s">
        <v>54</v>
      </c>
      <c r="N563" t="s">
        <v>155</v>
      </c>
      <c r="O563" t="s">
        <v>1254</v>
      </c>
      <c r="P563">
        <v>17.2</v>
      </c>
      <c r="Q563">
        <v>90</v>
      </c>
      <c r="R563">
        <v>9.8000000000000007</v>
      </c>
      <c r="S563">
        <v>7.4</v>
      </c>
      <c r="T563">
        <v>2026</v>
      </c>
      <c r="U563">
        <v>1</v>
      </c>
      <c r="V563">
        <v>1</v>
      </c>
      <c r="W563" t="s">
        <v>47</v>
      </c>
      <c r="X563" t="s">
        <v>64</v>
      </c>
      <c r="Y563" t="s">
        <v>56</v>
      </c>
    </row>
    <row r="564" spans="1:25" x14ac:dyDescent="0.35">
      <c r="A564" t="s">
        <v>1255</v>
      </c>
      <c r="B564" t="s">
        <v>141</v>
      </c>
      <c r="C564" t="s">
        <v>27</v>
      </c>
      <c r="D564" t="s">
        <v>81</v>
      </c>
      <c r="E564">
        <v>8</v>
      </c>
      <c r="F564" t="s">
        <v>41</v>
      </c>
      <c r="G564">
        <v>173000</v>
      </c>
      <c r="H564">
        <v>141000</v>
      </c>
      <c r="I564">
        <v>270000</v>
      </c>
      <c r="J564" t="s">
        <v>170</v>
      </c>
      <c r="K564" t="s">
        <v>171</v>
      </c>
      <c r="L564" t="s">
        <v>44</v>
      </c>
      <c r="M564" t="s">
        <v>82</v>
      </c>
      <c r="N564" t="s">
        <v>119</v>
      </c>
      <c r="O564" t="s">
        <v>1256</v>
      </c>
      <c r="P564">
        <v>3.3</v>
      </c>
      <c r="Q564">
        <v>89</v>
      </c>
      <c r="R564">
        <v>22.4</v>
      </c>
      <c r="S564">
        <v>7</v>
      </c>
      <c r="T564">
        <v>2026</v>
      </c>
      <c r="U564">
        <v>3</v>
      </c>
      <c r="V564">
        <v>0</v>
      </c>
      <c r="W564" t="s">
        <v>47</v>
      </c>
      <c r="X564" t="s">
        <v>64</v>
      </c>
      <c r="Y564" t="s">
        <v>48</v>
      </c>
    </row>
    <row r="565" spans="1:25" x14ac:dyDescent="0.35">
      <c r="A565" t="s">
        <v>1257</v>
      </c>
      <c r="B565" t="s">
        <v>196</v>
      </c>
      <c r="C565" t="s">
        <v>27</v>
      </c>
      <c r="D565" t="s">
        <v>68</v>
      </c>
      <c r="E565">
        <v>7</v>
      </c>
      <c r="F565" t="s">
        <v>69</v>
      </c>
      <c r="G565">
        <v>278000</v>
      </c>
      <c r="H565">
        <v>100000</v>
      </c>
      <c r="I565">
        <v>250000</v>
      </c>
      <c r="J565" t="s">
        <v>47</v>
      </c>
      <c r="K565" t="s">
        <v>87</v>
      </c>
      <c r="L565" t="s">
        <v>44</v>
      </c>
      <c r="M565" t="s">
        <v>54</v>
      </c>
      <c r="N565" t="s">
        <v>34</v>
      </c>
      <c r="O565" t="s">
        <v>1258</v>
      </c>
      <c r="P565">
        <v>16.5</v>
      </c>
      <c r="Q565">
        <v>95</v>
      </c>
      <c r="R565">
        <v>19.100000000000001</v>
      </c>
      <c r="S565">
        <v>8.4</v>
      </c>
      <c r="T565">
        <v>2025</v>
      </c>
      <c r="U565">
        <v>2</v>
      </c>
      <c r="V565">
        <v>1</v>
      </c>
      <c r="W565" t="s">
        <v>47</v>
      </c>
      <c r="X565" t="s">
        <v>64</v>
      </c>
      <c r="Y565" t="s">
        <v>38</v>
      </c>
    </row>
    <row r="566" spans="1:25" x14ac:dyDescent="0.35">
      <c r="A566" t="s">
        <v>1259</v>
      </c>
      <c r="B566" t="s">
        <v>163</v>
      </c>
      <c r="C566" t="s">
        <v>164</v>
      </c>
      <c r="D566" t="s">
        <v>74</v>
      </c>
      <c r="E566">
        <v>8</v>
      </c>
      <c r="F566" t="s">
        <v>128</v>
      </c>
      <c r="G566">
        <v>125000</v>
      </c>
      <c r="H566">
        <v>125000</v>
      </c>
      <c r="I566">
        <v>240000</v>
      </c>
      <c r="J566" t="s">
        <v>142</v>
      </c>
      <c r="K566" t="s">
        <v>143</v>
      </c>
      <c r="L566" t="s">
        <v>32</v>
      </c>
      <c r="M566" t="s">
        <v>61</v>
      </c>
      <c r="N566" t="s">
        <v>34</v>
      </c>
      <c r="O566" t="s">
        <v>1260</v>
      </c>
      <c r="P566">
        <v>15.6</v>
      </c>
      <c r="Q566">
        <v>76</v>
      </c>
      <c r="R566">
        <v>8.6999999999999993</v>
      </c>
      <c r="S566">
        <v>7</v>
      </c>
      <c r="T566">
        <v>2025</v>
      </c>
      <c r="U566">
        <v>1</v>
      </c>
      <c r="V566">
        <v>0</v>
      </c>
      <c r="W566" t="s">
        <v>36</v>
      </c>
      <c r="X566" t="s">
        <v>64</v>
      </c>
      <c r="Y566" t="s">
        <v>95</v>
      </c>
    </row>
    <row r="567" spans="1:25" x14ac:dyDescent="0.35">
      <c r="A567" t="s">
        <v>1261</v>
      </c>
      <c r="B567" t="s">
        <v>224</v>
      </c>
      <c r="C567" t="s">
        <v>27</v>
      </c>
      <c r="D567" t="s">
        <v>68</v>
      </c>
      <c r="E567">
        <v>3</v>
      </c>
      <c r="F567" t="s">
        <v>29</v>
      </c>
      <c r="G567">
        <v>145000</v>
      </c>
      <c r="H567">
        <v>145000</v>
      </c>
      <c r="I567">
        <v>280000</v>
      </c>
      <c r="J567" t="s">
        <v>108</v>
      </c>
      <c r="K567" t="s">
        <v>109</v>
      </c>
      <c r="L567" t="s">
        <v>53</v>
      </c>
      <c r="M567" t="s">
        <v>61</v>
      </c>
      <c r="N567" t="s">
        <v>165</v>
      </c>
      <c r="O567" t="s">
        <v>1262</v>
      </c>
      <c r="P567">
        <v>3.6</v>
      </c>
      <c r="Q567">
        <v>87</v>
      </c>
      <c r="R567">
        <v>28</v>
      </c>
      <c r="S567">
        <v>6.7</v>
      </c>
      <c r="T567">
        <v>2025</v>
      </c>
      <c r="U567">
        <v>6</v>
      </c>
      <c r="V567">
        <v>1</v>
      </c>
      <c r="W567" t="s">
        <v>47</v>
      </c>
      <c r="X567" t="s">
        <v>64</v>
      </c>
      <c r="Y567" t="s">
        <v>95</v>
      </c>
    </row>
    <row r="568" spans="1:25" x14ac:dyDescent="0.35">
      <c r="A568" t="s">
        <v>1263</v>
      </c>
      <c r="B568" t="s">
        <v>153</v>
      </c>
      <c r="C568" t="s">
        <v>154</v>
      </c>
      <c r="D568" t="s">
        <v>74</v>
      </c>
      <c r="E568">
        <v>5</v>
      </c>
      <c r="F568" t="s">
        <v>29</v>
      </c>
      <c r="G568">
        <v>131000</v>
      </c>
      <c r="H568">
        <v>95000</v>
      </c>
      <c r="I568">
        <v>180000</v>
      </c>
      <c r="J568" t="s">
        <v>174</v>
      </c>
      <c r="K568" t="s">
        <v>31</v>
      </c>
      <c r="L568" t="s">
        <v>44</v>
      </c>
      <c r="M568" t="s">
        <v>61</v>
      </c>
      <c r="N568" t="s">
        <v>62</v>
      </c>
      <c r="O568" t="s">
        <v>1264</v>
      </c>
      <c r="P568">
        <v>10.9</v>
      </c>
      <c r="Q568">
        <v>78</v>
      </c>
      <c r="R568">
        <v>12</v>
      </c>
      <c r="S568">
        <v>8.1</v>
      </c>
      <c r="T568">
        <v>2026</v>
      </c>
      <c r="U568">
        <v>1</v>
      </c>
      <c r="V568">
        <v>0</v>
      </c>
      <c r="W568" t="s">
        <v>47</v>
      </c>
      <c r="X568" t="s">
        <v>64</v>
      </c>
      <c r="Y568" t="s">
        <v>95</v>
      </c>
    </row>
    <row r="569" spans="1:25" x14ac:dyDescent="0.35">
      <c r="A569" t="s">
        <v>1265</v>
      </c>
      <c r="B569" t="s">
        <v>224</v>
      </c>
      <c r="C569" t="s">
        <v>27</v>
      </c>
      <c r="D569" t="s">
        <v>28</v>
      </c>
      <c r="E569">
        <v>7</v>
      </c>
      <c r="F569" t="s">
        <v>128</v>
      </c>
      <c r="G569">
        <v>286000</v>
      </c>
      <c r="H569">
        <v>145000</v>
      </c>
      <c r="I569">
        <v>280000</v>
      </c>
      <c r="J569" t="s">
        <v>70</v>
      </c>
      <c r="K569" t="s">
        <v>31</v>
      </c>
      <c r="L569" t="s">
        <v>44</v>
      </c>
      <c r="M569" t="s">
        <v>61</v>
      </c>
      <c r="N569" t="s">
        <v>119</v>
      </c>
      <c r="O569" t="s">
        <v>1266</v>
      </c>
      <c r="P569">
        <v>4.2</v>
      </c>
      <c r="Q569">
        <v>87</v>
      </c>
      <c r="R569">
        <v>28.7</v>
      </c>
      <c r="S569">
        <v>8.1999999999999993</v>
      </c>
      <c r="T569">
        <v>2025</v>
      </c>
      <c r="U569">
        <v>10</v>
      </c>
      <c r="V569">
        <v>1</v>
      </c>
      <c r="W569" t="s">
        <v>47</v>
      </c>
      <c r="X569" t="s">
        <v>64</v>
      </c>
      <c r="Y569" t="s">
        <v>38</v>
      </c>
    </row>
    <row r="570" spans="1:25" x14ac:dyDescent="0.35">
      <c r="A570" t="s">
        <v>1267</v>
      </c>
      <c r="B570" t="s">
        <v>141</v>
      </c>
      <c r="C570" t="s">
        <v>27</v>
      </c>
      <c r="D570" t="s">
        <v>28</v>
      </c>
      <c r="E570">
        <v>7</v>
      </c>
      <c r="F570" t="s">
        <v>29</v>
      </c>
      <c r="G570">
        <v>196000</v>
      </c>
      <c r="H570">
        <v>141000</v>
      </c>
      <c r="I570">
        <v>270000</v>
      </c>
      <c r="J570" t="s">
        <v>122</v>
      </c>
      <c r="K570" t="s">
        <v>123</v>
      </c>
      <c r="L570" t="s">
        <v>32</v>
      </c>
      <c r="M570" t="s">
        <v>82</v>
      </c>
      <c r="N570" t="s">
        <v>110</v>
      </c>
      <c r="O570" t="s">
        <v>1268</v>
      </c>
      <c r="P570">
        <v>3.8</v>
      </c>
      <c r="Q570">
        <v>89</v>
      </c>
      <c r="R570">
        <v>21.5</v>
      </c>
      <c r="S570">
        <v>6.7</v>
      </c>
      <c r="T570">
        <v>2025</v>
      </c>
      <c r="U570">
        <v>10</v>
      </c>
      <c r="V570">
        <v>1</v>
      </c>
      <c r="W570" t="s">
        <v>36</v>
      </c>
      <c r="X570" t="s">
        <v>64</v>
      </c>
      <c r="Y570" t="s">
        <v>48</v>
      </c>
    </row>
    <row r="571" spans="1:25" x14ac:dyDescent="0.35">
      <c r="A571" t="s">
        <v>1269</v>
      </c>
      <c r="B571" t="s">
        <v>66</v>
      </c>
      <c r="C571" t="s">
        <v>67</v>
      </c>
      <c r="D571" t="s">
        <v>68</v>
      </c>
      <c r="E571">
        <v>6</v>
      </c>
      <c r="F571" t="s">
        <v>51</v>
      </c>
      <c r="G571">
        <v>312000</v>
      </c>
      <c r="H571">
        <v>140000</v>
      </c>
      <c r="I571">
        <v>260000</v>
      </c>
      <c r="J571" t="s">
        <v>60</v>
      </c>
      <c r="K571" t="s">
        <v>60</v>
      </c>
      <c r="L571" t="s">
        <v>53</v>
      </c>
      <c r="M571" t="s">
        <v>54</v>
      </c>
      <c r="N571" t="s">
        <v>119</v>
      </c>
      <c r="O571" t="s">
        <v>1270</v>
      </c>
      <c r="P571">
        <v>9.9</v>
      </c>
      <c r="Q571">
        <v>85</v>
      </c>
      <c r="R571">
        <v>14</v>
      </c>
      <c r="S571">
        <v>6.6</v>
      </c>
      <c r="T571">
        <v>2026</v>
      </c>
      <c r="U571">
        <v>1</v>
      </c>
      <c r="V571">
        <v>1</v>
      </c>
      <c r="W571" t="s">
        <v>47</v>
      </c>
      <c r="X571" t="s">
        <v>64</v>
      </c>
      <c r="Y571" t="s">
        <v>56</v>
      </c>
    </row>
    <row r="572" spans="1:25" x14ac:dyDescent="0.35">
      <c r="A572" t="s">
        <v>1271</v>
      </c>
      <c r="B572" t="s">
        <v>100</v>
      </c>
      <c r="C572" t="s">
        <v>101</v>
      </c>
      <c r="D572" t="s">
        <v>68</v>
      </c>
      <c r="E572">
        <v>9</v>
      </c>
      <c r="F572" t="s">
        <v>69</v>
      </c>
      <c r="G572">
        <v>180000</v>
      </c>
      <c r="H572">
        <v>180000</v>
      </c>
      <c r="I572">
        <v>320000</v>
      </c>
      <c r="J572" t="s">
        <v>108</v>
      </c>
      <c r="K572" t="s">
        <v>109</v>
      </c>
      <c r="L572" t="s">
        <v>32</v>
      </c>
      <c r="M572" t="s">
        <v>45</v>
      </c>
      <c r="N572" t="s">
        <v>155</v>
      </c>
      <c r="O572" t="s">
        <v>1272</v>
      </c>
      <c r="P572">
        <v>12.3</v>
      </c>
      <c r="Q572">
        <v>84</v>
      </c>
      <c r="R572">
        <v>11.7</v>
      </c>
      <c r="S572">
        <v>8.1999999999999993</v>
      </c>
      <c r="T572">
        <v>2026</v>
      </c>
      <c r="U572">
        <v>1</v>
      </c>
      <c r="V572">
        <v>1</v>
      </c>
      <c r="W572" t="s">
        <v>36</v>
      </c>
      <c r="X572" t="s">
        <v>64</v>
      </c>
      <c r="Y572" t="s">
        <v>48</v>
      </c>
    </row>
    <row r="573" spans="1:25" x14ac:dyDescent="0.35">
      <c r="A573" t="s">
        <v>1273</v>
      </c>
      <c r="B573" t="s">
        <v>79</v>
      </c>
      <c r="C573" t="s">
        <v>80</v>
      </c>
      <c r="D573" t="s">
        <v>81</v>
      </c>
      <c r="E573">
        <v>5</v>
      </c>
      <c r="F573" t="s">
        <v>51</v>
      </c>
      <c r="G573">
        <v>160000</v>
      </c>
      <c r="H573">
        <v>140000</v>
      </c>
      <c r="I573">
        <v>260000</v>
      </c>
      <c r="J573" t="s">
        <v>75</v>
      </c>
      <c r="K573" t="s">
        <v>31</v>
      </c>
      <c r="L573" t="s">
        <v>44</v>
      </c>
      <c r="M573" t="s">
        <v>82</v>
      </c>
      <c r="N573" t="s">
        <v>131</v>
      </c>
      <c r="O573" t="s">
        <v>1274</v>
      </c>
      <c r="P573">
        <v>14.6</v>
      </c>
      <c r="Q573">
        <v>80</v>
      </c>
      <c r="R573">
        <v>10</v>
      </c>
      <c r="S573">
        <v>6.7</v>
      </c>
      <c r="T573">
        <v>2025</v>
      </c>
      <c r="U573">
        <v>3</v>
      </c>
      <c r="V573">
        <v>0</v>
      </c>
      <c r="W573" t="s">
        <v>47</v>
      </c>
      <c r="X573" t="s">
        <v>64</v>
      </c>
      <c r="Y573" t="s">
        <v>48</v>
      </c>
    </row>
    <row r="574" spans="1:25" x14ac:dyDescent="0.35">
      <c r="A574" t="s">
        <v>1275</v>
      </c>
      <c r="B574" t="s">
        <v>91</v>
      </c>
      <c r="C574" t="s">
        <v>27</v>
      </c>
      <c r="D574" t="s">
        <v>74</v>
      </c>
      <c r="E574">
        <v>8</v>
      </c>
      <c r="F574" t="s">
        <v>29</v>
      </c>
      <c r="G574">
        <v>179000</v>
      </c>
      <c r="H574">
        <v>145000</v>
      </c>
      <c r="I574">
        <v>290000</v>
      </c>
      <c r="J574" t="s">
        <v>70</v>
      </c>
      <c r="K574" t="s">
        <v>31</v>
      </c>
      <c r="L574" t="s">
        <v>44</v>
      </c>
      <c r="M574" t="s">
        <v>45</v>
      </c>
      <c r="N574" t="s">
        <v>155</v>
      </c>
      <c r="O574" t="s">
        <v>1276</v>
      </c>
      <c r="P574">
        <v>7.9</v>
      </c>
      <c r="Q574">
        <v>91</v>
      </c>
      <c r="R574">
        <v>81.599999999999994</v>
      </c>
      <c r="S574">
        <v>8.5</v>
      </c>
      <c r="T574">
        <v>2026</v>
      </c>
      <c r="U574">
        <v>3</v>
      </c>
      <c r="V574">
        <v>0</v>
      </c>
      <c r="W574" t="s">
        <v>47</v>
      </c>
      <c r="X574" t="s">
        <v>64</v>
      </c>
      <c r="Y574" t="s">
        <v>48</v>
      </c>
    </row>
    <row r="575" spans="1:25" x14ac:dyDescent="0.35">
      <c r="A575" t="s">
        <v>1277</v>
      </c>
      <c r="B575" t="s">
        <v>91</v>
      </c>
      <c r="C575" t="s">
        <v>27</v>
      </c>
      <c r="D575" t="s">
        <v>81</v>
      </c>
      <c r="E575">
        <v>5</v>
      </c>
      <c r="F575" t="s">
        <v>128</v>
      </c>
      <c r="G575">
        <v>287000</v>
      </c>
      <c r="H575">
        <v>145000</v>
      </c>
      <c r="I575">
        <v>290000</v>
      </c>
      <c r="J575" t="s">
        <v>30</v>
      </c>
      <c r="K575" t="s">
        <v>31</v>
      </c>
      <c r="L575" t="s">
        <v>53</v>
      </c>
      <c r="M575" t="s">
        <v>45</v>
      </c>
      <c r="N575" t="s">
        <v>71</v>
      </c>
      <c r="O575" t="s">
        <v>1278</v>
      </c>
      <c r="P575">
        <v>4.2</v>
      </c>
      <c r="Q575">
        <v>91</v>
      </c>
      <c r="R575">
        <v>32.200000000000003</v>
      </c>
      <c r="S575">
        <v>7.4</v>
      </c>
      <c r="T575">
        <v>2026</v>
      </c>
      <c r="U575">
        <v>1</v>
      </c>
      <c r="V575">
        <v>0</v>
      </c>
      <c r="W575" t="s">
        <v>47</v>
      </c>
      <c r="X575" t="s">
        <v>64</v>
      </c>
      <c r="Y575" t="s">
        <v>38</v>
      </c>
    </row>
    <row r="576" spans="1:25" x14ac:dyDescent="0.35">
      <c r="A576" t="s">
        <v>1279</v>
      </c>
      <c r="B576" t="s">
        <v>158</v>
      </c>
      <c r="C576" t="s">
        <v>27</v>
      </c>
      <c r="D576" t="s">
        <v>74</v>
      </c>
      <c r="E576">
        <v>3</v>
      </c>
      <c r="F576" t="s">
        <v>29</v>
      </c>
      <c r="G576">
        <v>145000</v>
      </c>
      <c r="H576">
        <v>145000</v>
      </c>
      <c r="I576">
        <v>280000</v>
      </c>
      <c r="J576" t="s">
        <v>108</v>
      </c>
      <c r="K576" t="s">
        <v>109</v>
      </c>
      <c r="L576" t="s">
        <v>44</v>
      </c>
      <c r="M576" t="s">
        <v>45</v>
      </c>
      <c r="N576" t="s">
        <v>76</v>
      </c>
      <c r="O576" t="s">
        <v>1280</v>
      </c>
      <c r="P576">
        <v>6</v>
      </c>
      <c r="Q576">
        <v>94</v>
      </c>
      <c r="R576">
        <v>35.799999999999997</v>
      </c>
      <c r="S576">
        <v>7.5</v>
      </c>
      <c r="T576">
        <v>2026</v>
      </c>
      <c r="U576">
        <v>1</v>
      </c>
      <c r="V576">
        <v>0</v>
      </c>
      <c r="W576" t="s">
        <v>47</v>
      </c>
      <c r="X576" t="s">
        <v>37</v>
      </c>
      <c r="Y576" t="s">
        <v>95</v>
      </c>
    </row>
    <row r="577" spans="1:25" x14ac:dyDescent="0.35">
      <c r="A577" t="s">
        <v>1281</v>
      </c>
      <c r="B577" t="s">
        <v>224</v>
      </c>
      <c r="C577" t="s">
        <v>27</v>
      </c>
      <c r="D577" t="s">
        <v>81</v>
      </c>
      <c r="E577">
        <v>4</v>
      </c>
      <c r="F577" t="s">
        <v>69</v>
      </c>
      <c r="G577">
        <v>145000</v>
      </c>
      <c r="H577">
        <v>145000</v>
      </c>
      <c r="I577">
        <v>280000</v>
      </c>
      <c r="J577" t="s">
        <v>122</v>
      </c>
      <c r="K577" t="s">
        <v>123</v>
      </c>
      <c r="L577" t="s">
        <v>44</v>
      </c>
      <c r="M577" t="s">
        <v>61</v>
      </c>
      <c r="N577" t="s">
        <v>131</v>
      </c>
      <c r="O577" t="s">
        <v>1282</v>
      </c>
      <c r="P577">
        <v>5.7</v>
      </c>
      <c r="Q577">
        <v>87</v>
      </c>
      <c r="R577">
        <v>16.399999999999999</v>
      </c>
      <c r="S577">
        <v>7.8</v>
      </c>
      <c r="T577">
        <v>2026</v>
      </c>
      <c r="U577">
        <v>2</v>
      </c>
      <c r="V577">
        <v>0</v>
      </c>
      <c r="W577" t="s">
        <v>47</v>
      </c>
      <c r="X577" t="s">
        <v>64</v>
      </c>
      <c r="Y577" t="s">
        <v>95</v>
      </c>
    </row>
    <row r="578" spans="1:25" x14ac:dyDescent="0.35">
      <c r="A578" t="s">
        <v>1283</v>
      </c>
      <c r="B578" t="s">
        <v>40</v>
      </c>
      <c r="C578" t="s">
        <v>27</v>
      </c>
      <c r="D578" t="s">
        <v>68</v>
      </c>
      <c r="E578">
        <v>1</v>
      </c>
      <c r="F578" t="s">
        <v>128</v>
      </c>
      <c r="G578">
        <v>240000</v>
      </c>
      <c r="H578">
        <v>90000</v>
      </c>
      <c r="I578">
        <v>200000</v>
      </c>
      <c r="J578" t="s">
        <v>296</v>
      </c>
      <c r="K578" t="s">
        <v>31</v>
      </c>
      <c r="L578" t="s">
        <v>44</v>
      </c>
      <c r="M578" t="s">
        <v>82</v>
      </c>
      <c r="N578" t="s">
        <v>76</v>
      </c>
      <c r="O578" t="s">
        <v>1284</v>
      </c>
      <c r="P578">
        <v>5.7</v>
      </c>
      <c r="Q578">
        <v>82</v>
      </c>
      <c r="R578">
        <v>21.9</v>
      </c>
      <c r="S578">
        <v>6.6</v>
      </c>
      <c r="T578">
        <v>2025</v>
      </c>
      <c r="U578">
        <v>12</v>
      </c>
      <c r="V578">
        <v>1</v>
      </c>
      <c r="W578" t="s">
        <v>47</v>
      </c>
      <c r="X578" t="s">
        <v>37</v>
      </c>
      <c r="Y578" t="s">
        <v>38</v>
      </c>
    </row>
    <row r="579" spans="1:25" x14ac:dyDescent="0.35">
      <c r="A579" t="s">
        <v>1285</v>
      </c>
      <c r="B579" t="s">
        <v>153</v>
      </c>
      <c r="C579" t="s">
        <v>154</v>
      </c>
      <c r="D579" t="s">
        <v>68</v>
      </c>
      <c r="E579">
        <v>4</v>
      </c>
      <c r="F579" t="s">
        <v>69</v>
      </c>
      <c r="G579">
        <v>111000</v>
      </c>
      <c r="H579">
        <v>95000</v>
      </c>
      <c r="I579">
        <v>180000</v>
      </c>
      <c r="J579" t="s">
        <v>142</v>
      </c>
      <c r="K579" t="s">
        <v>143</v>
      </c>
      <c r="L579" t="s">
        <v>44</v>
      </c>
      <c r="M579" t="s">
        <v>61</v>
      </c>
      <c r="N579" t="s">
        <v>110</v>
      </c>
      <c r="O579" t="s">
        <v>1286</v>
      </c>
      <c r="P579">
        <v>14.7</v>
      </c>
      <c r="Q579">
        <v>78</v>
      </c>
      <c r="R579">
        <v>24.2</v>
      </c>
      <c r="S579">
        <v>6.1</v>
      </c>
      <c r="T579">
        <v>2025</v>
      </c>
      <c r="U579">
        <v>5</v>
      </c>
      <c r="V579">
        <v>1</v>
      </c>
      <c r="W579" t="s">
        <v>47</v>
      </c>
      <c r="X579" t="s">
        <v>64</v>
      </c>
      <c r="Y579" t="s">
        <v>95</v>
      </c>
    </row>
    <row r="580" spans="1:25" x14ac:dyDescent="0.35">
      <c r="A580" t="s">
        <v>1287</v>
      </c>
      <c r="B580" t="s">
        <v>58</v>
      </c>
      <c r="C580" t="s">
        <v>59</v>
      </c>
      <c r="D580" t="s">
        <v>68</v>
      </c>
      <c r="E580">
        <v>2</v>
      </c>
      <c r="F580" t="s">
        <v>128</v>
      </c>
      <c r="G580">
        <v>183000</v>
      </c>
      <c r="H580">
        <v>130000</v>
      </c>
      <c r="I580">
        <v>220000</v>
      </c>
      <c r="J580" t="s">
        <v>122</v>
      </c>
      <c r="K580" t="s">
        <v>123</v>
      </c>
      <c r="L580" t="s">
        <v>44</v>
      </c>
      <c r="M580" t="s">
        <v>33</v>
      </c>
      <c r="N580" t="s">
        <v>119</v>
      </c>
      <c r="O580" t="s">
        <v>1288</v>
      </c>
      <c r="P580">
        <v>16.899999999999999</v>
      </c>
      <c r="Q580">
        <v>88</v>
      </c>
      <c r="R580">
        <v>13.6</v>
      </c>
      <c r="S580">
        <v>7.7</v>
      </c>
      <c r="T580">
        <v>2026</v>
      </c>
      <c r="U580">
        <v>3</v>
      </c>
      <c r="V580">
        <v>1</v>
      </c>
      <c r="W580" t="s">
        <v>47</v>
      </c>
      <c r="X580" t="s">
        <v>64</v>
      </c>
      <c r="Y580" t="s">
        <v>48</v>
      </c>
    </row>
    <row r="581" spans="1:25" x14ac:dyDescent="0.35">
      <c r="A581" t="s">
        <v>1289</v>
      </c>
      <c r="B581" t="s">
        <v>79</v>
      </c>
      <c r="C581" t="s">
        <v>80</v>
      </c>
      <c r="D581" t="s">
        <v>74</v>
      </c>
      <c r="E581">
        <v>3</v>
      </c>
      <c r="F581" t="s">
        <v>41</v>
      </c>
      <c r="G581">
        <v>140000</v>
      </c>
      <c r="H581">
        <v>140000</v>
      </c>
      <c r="I581">
        <v>260000</v>
      </c>
      <c r="J581" t="s">
        <v>92</v>
      </c>
      <c r="K581" t="s">
        <v>93</v>
      </c>
      <c r="L581" t="s">
        <v>44</v>
      </c>
      <c r="M581" t="s">
        <v>45</v>
      </c>
      <c r="N581" t="s">
        <v>76</v>
      </c>
      <c r="O581" t="s">
        <v>1290</v>
      </c>
      <c r="P581">
        <v>9.8000000000000007</v>
      </c>
      <c r="Q581">
        <v>80</v>
      </c>
      <c r="R581">
        <v>23.7</v>
      </c>
      <c r="S581">
        <v>8.6999999999999993</v>
      </c>
      <c r="T581">
        <v>2026</v>
      </c>
      <c r="U581">
        <v>1</v>
      </c>
      <c r="V581">
        <v>0</v>
      </c>
      <c r="W581" t="s">
        <v>47</v>
      </c>
      <c r="X581" t="s">
        <v>64</v>
      </c>
      <c r="Y581" t="s">
        <v>95</v>
      </c>
    </row>
    <row r="582" spans="1:25" x14ac:dyDescent="0.35">
      <c r="A582" t="s">
        <v>1291</v>
      </c>
      <c r="B582" t="s">
        <v>40</v>
      </c>
      <c r="C582" t="s">
        <v>27</v>
      </c>
      <c r="D582" t="s">
        <v>28</v>
      </c>
      <c r="E582">
        <v>5</v>
      </c>
      <c r="F582" t="s">
        <v>128</v>
      </c>
      <c r="G582">
        <v>205000</v>
      </c>
      <c r="H582">
        <v>90000</v>
      </c>
      <c r="I582">
        <v>200000</v>
      </c>
      <c r="J582" t="s">
        <v>30</v>
      </c>
      <c r="K582" t="s">
        <v>31</v>
      </c>
      <c r="L582" t="s">
        <v>53</v>
      </c>
      <c r="M582" t="s">
        <v>61</v>
      </c>
      <c r="N582" t="s">
        <v>110</v>
      </c>
      <c r="O582" t="s">
        <v>1292</v>
      </c>
      <c r="P582">
        <v>8.4</v>
      </c>
      <c r="Q582">
        <v>82</v>
      </c>
      <c r="R582">
        <v>11.9</v>
      </c>
      <c r="S582">
        <v>8.6</v>
      </c>
      <c r="T582">
        <v>2026</v>
      </c>
      <c r="U582">
        <v>1</v>
      </c>
      <c r="V582">
        <v>1</v>
      </c>
      <c r="W582" t="s">
        <v>47</v>
      </c>
      <c r="X582" t="s">
        <v>37</v>
      </c>
      <c r="Y582" t="s">
        <v>38</v>
      </c>
    </row>
    <row r="583" spans="1:25" x14ac:dyDescent="0.35">
      <c r="A583" t="s">
        <v>1293</v>
      </c>
      <c r="B583" t="s">
        <v>146</v>
      </c>
      <c r="C583" t="s">
        <v>27</v>
      </c>
      <c r="D583" t="s">
        <v>74</v>
      </c>
      <c r="E583">
        <v>9</v>
      </c>
      <c r="F583" t="s">
        <v>69</v>
      </c>
      <c r="G583">
        <v>160000</v>
      </c>
      <c r="H583">
        <v>160000</v>
      </c>
      <c r="I583">
        <v>300000</v>
      </c>
      <c r="J583" t="s">
        <v>129</v>
      </c>
      <c r="K583" t="s">
        <v>130</v>
      </c>
      <c r="L583" t="s">
        <v>32</v>
      </c>
      <c r="M583" t="s">
        <v>82</v>
      </c>
      <c r="N583" t="s">
        <v>71</v>
      </c>
      <c r="O583" t="s">
        <v>1294</v>
      </c>
      <c r="P583">
        <v>11.2</v>
      </c>
      <c r="Q583">
        <v>90</v>
      </c>
      <c r="R583">
        <v>6.6</v>
      </c>
      <c r="S583">
        <v>7.1</v>
      </c>
      <c r="T583">
        <v>2026</v>
      </c>
      <c r="U583">
        <v>2</v>
      </c>
      <c r="V583">
        <v>0</v>
      </c>
      <c r="W583" t="s">
        <v>36</v>
      </c>
      <c r="X583" t="s">
        <v>64</v>
      </c>
      <c r="Y583" t="s">
        <v>48</v>
      </c>
    </row>
    <row r="584" spans="1:25" x14ac:dyDescent="0.35">
      <c r="A584" t="s">
        <v>1295</v>
      </c>
      <c r="B584" t="s">
        <v>153</v>
      </c>
      <c r="C584" t="s">
        <v>154</v>
      </c>
      <c r="D584" t="s">
        <v>28</v>
      </c>
      <c r="E584">
        <v>6</v>
      </c>
      <c r="F584" t="s">
        <v>51</v>
      </c>
      <c r="G584">
        <v>149000</v>
      </c>
      <c r="H584">
        <v>95000</v>
      </c>
      <c r="I584">
        <v>180000</v>
      </c>
      <c r="J584" t="s">
        <v>122</v>
      </c>
      <c r="K584" t="s">
        <v>123</v>
      </c>
      <c r="L584" t="s">
        <v>53</v>
      </c>
      <c r="M584" t="s">
        <v>54</v>
      </c>
      <c r="N584" t="s">
        <v>88</v>
      </c>
      <c r="O584" t="s">
        <v>1296</v>
      </c>
      <c r="P584">
        <v>13</v>
      </c>
      <c r="Q584">
        <v>78</v>
      </c>
      <c r="R584">
        <v>18.3</v>
      </c>
      <c r="S584">
        <v>6.6</v>
      </c>
      <c r="T584">
        <v>2025</v>
      </c>
      <c r="U584">
        <v>7</v>
      </c>
      <c r="V584">
        <v>1</v>
      </c>
      <c r="W584" t="s">
        <v>47</v>
      </c>
      <c r="X584" t="s">
        <v>64</v>
      </c>
      <c r="Y584" t="s">
        <v>95</v>
      </c>
    </row>
    <row r="585" spans="1:25" x14ac:dyDescent="0.35">
      <c r="A585" t="s">
        <v>1297</v>
      </c>
      <c r="B585" t="s">
        <v>127</v>
      </c>
      <c r="C585" t="s">
        <v>27</v>
      </c>
      <c r="D585" t="s">
        <v>68</v>
      </c>
      <c r="E585">
        <v>4</v>
      </c>
      <c r="F585" t="s">
        <v>51</v>
      </c>
      <c r="G585">
        <v>120000</v>
      </c>
      <c r="H585">
        <v>120000</v>
      </c>
      <c r="I585">
        <v>280000</v>
      </c>
      <c r="J585" t="s">
        <v>92</v>
      </c>
      <c r="K585" t="s">
        <v>93</v>
      </c>
      <c r="L585" t="s">
        <v>44</v>
      </c>
      <c r="M585" t="s">
        <v>33</v>
      </c>
      <c r="N585" t="s">
        <v>119</v>
      </c>
      <c r="O585" t="s">
        <v>1298</v>
      </c>
      <c r="P585">
        <v>9.6</v>
      </c>
      <c r="Q585">
        <v>97</v>
      </c>
      <c r="R585">
        <v>57.7</v>
      </c>
      <c r="S585">
        <v>8.4</v>
      </c>
      <c r="T585">
        <v>2026</v>
      </c>
      <c r="U585">
        <v>2</v>
      </c>
      <c r="V585">
        <v>1</v>
      </c>
      <c r="W585" t="s">
        <v>47</v>
      </c>
      <c r="X585" t="s">
        <v>64</v>
      </c>
      <c r="Y585" t="s">
        <v>95</v>
      </c>
    </row>
    <row r="586" spans="1:25" x14ac:dyDescent="0.35">
      <c r="A586" t="s">
        <v>1299</v>
      </c>
      <c r="B586" t="s">
        <v>233</v>
      </c>
      <c r="C586" t="s">
        <v>180</v>
      </c>
      <c r="D586" t="s">
        <v>68</v>
      </c>
      <c r="E586">
        <v>5</v>
      </c>
      <c r="F586" t="s">
        <v>29</v>
      </c>
      <c r="G586">
        <v>240000</v>
      </c>
      <c r="H586">
        <v>100000</v>
      </c>
      <c r="I586">
        <v>200000</v>
      </c>
      <c r="J586" t="s">
        <v>174</v>
      </c>
      <c r="K586" t="s">
        <v>31</v>
      </c>
      <c r="L586" t="s">
        <v>44</v>
      </c>
      <c r="M586" t="s">
        <v>82</v>
      </c>
      <c r="N586" t="s">
        <v>34</v>
      </c>
      <c r="O586" t="s">
        <v>1300</v>
      </c>
      <c r="P586">
        <v>9.8000000000000007</v>
      </c>
      <c r="Q586">
        <v>68</v>
      </c>
      <c r="R586">
        <v>9</v>
      </c>
      <c r="S586">
        <v>9</v>
      </c>
      <c r="T586">
        <v>2026</v>
      </c>
      <c r="U586">
        <v>2</v>
      </c>
      <c r="V586">
        <v>1</v>
      </c>
      <c r="W586" t="s">
        <v>47</v>
      </c>
      <c r="X586" t="s">
        <v>64</v>
      </c>
      <c r="Y586" t="s">
        <v>38</v>
      </c>
    </row>
    <row r="587" spans="1:25" x14ac:dyDescent="0.35">
      <c r="A587" t="s">
        <v>1301</v>
      </c>
      <c r="B587" t="s">
        <v>163</v>
      </c>
      <c r="C587" t="s">
        <v>164</v>
      </c>
      <c r="D587" t="s">
        <v>81</v>
      </c>
      <c r="E587">
        <v>7</v>
      </c>
      <c r="F587" t="s">
        <v>69</v>
      </c>
      <c r="G587">
        <v>132000</v>
      </c>
      <c r="H587">
        <v>125000</v>
      </c>
      <c r="I587">
        <v>240000</v>
      </c>
      <c r="J587" t="s">
        <v>122</v>
      </c>
      <c r="K587" t="s">
        <v>123</v>
      </c>
      <c r="L587" t="s">
        <v>53</v>
      </c>
      <c r="M587" t="s">
        <v>82</v>
      </c>
      <c r="N587" t="s">
        <v>88</v>
      </c>
      <c r="O587" t="s">
        <v>1302</v>
      </c>
      <c r="P587">
        <v>10.9</v>
      </c>
      <c r="Q587">
        <v>76</v>
      </c>
      <c r="R587">
        <v>28.1</v>
      </c>
      <c r="S587">
        <v>6.6</v>
      </c>
      <c r="T587">
        <v>2026</v>
      </c>
      <c r="U587">
        <v>2</v>
      </c>
      <c r="V587">
        <v>0</v>
      </c>
      <c r="W587" t="s">
        <v>47</v>
      </c>
      <c r="X587" t="s">
        <v>64</v>
      </c>
      <c r="Y587" t="s">
        <v>95</v>
      </c>
    </row>
    <row r="588" spans="1:25" x14ac:dyDescent="0.35">
      <c r="A588" t="s">
        <v>1303</v>
      </c>
      <c r="B588" t="s">
        <v>149</v>
      </c>
      <c r="C588" t="s">
        <v>150</v>
      </c>
      <c r="D588" t="s">
        <v>28</v>
      </c>
      <c r="E588">
        <v>8</v>
      </c>
      <c r="F588" t="s">
        <v>69</v>
      </c>
      <c r="G588">
        <v>312000</v>
      </c>
      <c r="H588">
        <v>130000</v>
      </c>
      <c r="I588">
        <v>260000</v>
      </c>
      <c r="J588" t="s">
        <v>174</v>
      </c>
      <c r="K588" t="s">
        <v>31</v>
      </c>
      <c r="L588" t="s">
        <v>32</v>
      </c>
      <c r="M588" t="s">
        <v>54</v>
      </c>
      <c r="N588" t="s">
        <v>119</v>
      </c>
      <c r="O588" t="s">
        <v>1304</v>
      </c>
      <c r="P588">
        <v>10.199999999999999</v>
      </c>
      <c r="Q588">
        <v>93</v>
      </c>
      <c r="R588">
        <v>59.5</v>
      </c>
      <c r="S588">
        <v>7.9</v>
      </c>
      <c r="T588">
        <v>2025</v>
      </c>
      <c r="U588">
        <v>10</v>
      </c>
      <c r="V588">
        <v>1</v>
      </c>
      <c r="W588" t="s">
        <v>36</v>
      </c>
      <c r="X588" t="s">
        <v>64</v>
      </c>
      <c r="Y588" t="s">
        <v>56</v>
      </c>
    </row>
    <row r="589" spans="1:25" x14ac:dyDescent="0.35">
      <c r="A589" t="s">
        <v>1305</v>
      </c>
      <c r="B589" t="s">
        <v>134</v>
      </c>
      <c r="C589" t="s">
        <v>27</v>
      </c>
      <c r="D589" t="s">
        <v>28</v>
      </c>
      <c r="E589">
        <v>6</v>
      </c>
      <c r="F589" t="s">
        <v>51</v>
      </c>
      <c r="G589">
        <v>150000</v>
      </c>
      <c r="H589">
        <v>150000</v>
      </c>
      <c r="I589">
        <v>295000</v>
      </c>
      <c r="J589" t="s">
        <v>122</v>
      </c>
      <c r="K589" t="s">
        <v>123</v>
      </c>
      <c r="L589" t="s">
        <v>53</v>
      </c>
      <c r="M589" t="s">
        <v>33</v>
      </c>
      <c r="N589" t="s">
        <v>83</v>
      </c>
      <c r="O589" t="s">
        <v>1306</v>
      </c>
      <c r="P589">
        <v>10.4</v>
      </c>
      <c r="Q589">
        <v>95</v>
      </c>
      <c r="R589">
        <v>49.5</v>
      </c>
      <c r="S589">
        <v>8.6999999999999993</v>
      </c>
      <c r="T589">
        <v>2025</v>
      </c>
      <c r="U589">
        <v>3</v>
      </c>
      <c r="V589">
        <v>1</v>
      </c>
      <c r="W589" t="s">
        <v>47</v>
      </c>
      <c r="X589" t="s">
        <v>37</v>
      </c>
      <c r="Y589" t="s">
        <v>95</v>
      </c>
    </row>
    <row r="590" spans="1:25" x14ac:dyDescent="0.35">
      <c r="A590" t="s">
        <v>1307</v>
      </c>
      <c r="B590" t="s">
        <v>149</v>
      </c>
      <c r="C590" t="s">
        <v>150</v>
      </c>
      <c r="D590" t="s">
        <v>81</v>
      </c>
      <c r="E590">
        <v>4</v>
      </c>
      <c r="F590" t="s">
        <v>51</v>
      </c>
      <c r="G590">
        <v>142000</v>
      </c>
      <c r="H590">
        <v>130000</v>
      </c>
      <c r="I590">
        <v>260000</v>
      </c>
      <c r="J590" t="s">
        <v>52</v>
      </c>
      <c r="K590" t="s">
        <v>31</v>
      </c>
      <c r="L590" t="s">
        <v>53</v>
      </c>
      <c r="M590" t="s">
        <v>33</v>
      </c>
      <c r="N590" t="s">
        <v>88</v>
      </c>
      <c r="O590" t="s">
        <v>1308</v>
      </c>
      <c r="P590">
        <v>8.6999999999999993</v>
      </c>
      <c r="Q590">
        <v>93</v>
      </c>
      <c r="R590">
        <v>69.599999999999994</v>
      </c>
      <c r="S590">
        <v>8.6</v>
      </c>
      <c r="T590">
        <v>2026</v>
      </c>
      <c r="U590">
        <v>3</v>
      </c>
      <c r="V590">
        <v>0</v>
      </c>
      <c r="W590" t="s">
        <v>47</v>
      </c>
      <c r="X590" t="s">
        <v>64</v>
      </c>
      <c r="Y590" t="s">
        <v>95</v>
      </c>
    </row>
    <row r="591" spans="1:25" x14ac:dyDescent="0.35">
      <c r="A591" t="s">
        <v>1309</v>
      </c>
      <c r="B591" t="s">
        <v>179</v>
      </c>
      <c r="C591" t="s">
        <v>180</v>
      </c>
      <c r="D591" t="s">
        <v>68</v>
      </c>
      <c r="E591">
        <v>12</v>
      </c>
      <c r="F591" t="s">
        <v>128</v>
      </c>
      <c r="G591">
        <v>202000</v>
      </c>
      <c r="H591">
        <v>110000</v>
      </c>
      <c r="I591">
        <v>210000</v>
      </c>
      <c r="J591" t="s">
        <v>137</v>
      </c>
      <c r="K591" t="s">
        <v>138</v>
      </c>
      <c r="L591" t="s">
        <v>53</v>
      </c>
      <c r="M591" t="s">
        <v>33</v>
      </c>
      <c r="N591" t="s">
        <v>76</v>
      </c>
      <c r="O591" t="s">
        <v>1310</v>
      </c>
      <c r="P591">
        <v>15.3</v>
      </c>
      <c r="Q591">
        <v>72</v>
      </c>
      <c r="R591">
        <v>6</v>
      </c>
      <c r="S591">
        <v>7.5</v>
      </c>
      <c r="T591">
        <v>2026</v>
      </c>
      <c r="U591">
        <v>3</v>
      </c>
      <c r="V591">
        <v>1</v>
      </c>
      <c r="W591" t="s">
        <v>47</v>
      </c>
      <c r="X591" t="s">
        <v>64</v>
      </c>
      <c r="Y591" t="s">
        <v>38</v>
      </c>
    </row>
    <row r="592" spans="1:25" x14ac:dyDescent="0.35">
      <c r="A592" t="s">
        <v>1311</v>
      </c>
      <c r="B592" t="s">
        <v>26</v>
      </c>
      <c r="C592" t="s">
        <v>27</v>
      </c>
      <c r="D592" t="s">
        <v>74</v>
      </c>
      <c r="E592">
        <v>4</v>
      </c>
      <c r="F592" t="s">
        <v>41</v>
      </c>
      <c r="G592">
        <v>155000</v>
      </c>
      <c r="H592">
        <v>155000</v>
      </c>
      <c r="I592">
        <v>290000</v>
      </c>
      <c r="J592" t="s">
        <v>170</v>
      </c>
      <c r="K592" t="s">
        <v>171</v>
      </c>
      <c r="L592" t="s">
        <v>53</v>
      </c>
      <c r="M592" t="s">
        <v>45</v>
      </c>
      <c r="N592" t="s">
        <v>71</v>
      </c>
      <c r="O592" t="s">
        <v>1312</v>
      </c>
      <c r="P592">
        <v>10.1</v>
      </c>
      <c r="Q592">
        <v>96</v>
      </c>
      <c r="R592">
        <v>22.1</v>
      </c>
      <c r="S592">
        <v>8.4</v>
      </c>
      <c r="T592">
        <v>2025</v>
      </c>
      <c r="U592">
        <v>12</v>
      </c>
      <c r="V592">
        <v>0</v>
      </c>
      <c r="W592" t="s">
        <v>47</v>
      </c>
      <c r="X592" t="s">
        <v>37</v>
      </c>
      <c r="Y592" t="s">
        <v>48</v>
      </c>
    </row>
    <row r="593" spans="1:25" x14ac:dyDescent="0.35">
      <c r="A593" t="s">
        <v>1313</v>
      </c>
      <c r="B593" t="s">
        <v>179</v>
      </c>
      <c r="C593" t="s">
        <v>180</v>
      </c>
      <c r="D593" t="s">
        <v>28</v>
      </c>
      <c r="E593">
        <v>9</v>
      </c>
      <c r="F593" t="s">
        <v>128</v>
      </c>
      <c r="G593">
        <v>187000</v>
      </c>
      <c r="H593">
        <v>110000</v>
      </c>
      <c r="I593">
        <v>210000</v>
      </c>
      <c r="J593" t="s">
        <v>42</v>
      </c>
      <c r="K593" t="s">
        <v>43</v>
      </c>
      <c r="L593" t="s">
        <v>44</v>
      </c>
      <c r="M593" t="s">
        <v>82</v>
      </c>
      <c r="N593" t="s">
        <v>155</v>
      </c>
      <c r="O593" t="s">
        <v>1314</v>
      </c>
      <c r="P593">
        <v>10.199999999999999</v>
      </c>
      <c r="Q593">
        <v>72</v>
      </c>
      <c r="R593">
        <v>14.3</v>
      </c>
      <c r="S593">
        <v>7.4</v>
      </c>
      <c r="T593">
        <v>2025</v>
      </c>
      <c r="U593">
        <v>12</v>
      </c>
      <c r="V593">
        <v>1</v>
      </c>
      <c r="W593" t="s">
        <v>47</v>
      </c>
      <c r="X593" t="s">
        <v>64</v>
      </c>
      <c r="Y593" t="s">
        <v>48</v>
      </c>
    </row>
    <row r="594" spans="1:25" x14ac:dyDescent="0.35">
      <c r="A594" t="s">
        <v>1315</v>
      </c>
      <c r="B594" t="s">
        <v>609</v>
      </c>
      <c r="C594" t="s">
        <v>124</v>
      </c>
      <c r="D594" t="s">
        <v>68</v>
      </c>
      <c r="E594">
        <v>6</v>
      </c>
      <c r="F594" t="s">
        <v>69</v>
      </c>
      <c r="G594">
        <v>115000</v>
      </c>
      <c r="H594">
        <v>115000</v>
      </c>
      <c r="I594">
        <v>280000</v>
      </c>
      <c r="J594" t="s">
        <v>92</v>
      </c>
      <c r="K594" t="s">
        <v>93</v>
      </c>
      <c r="L594" t="s">
        <v>44</v>
      </c>
      <c r="M594" t="s">
        <v>82</v>
      </c>
      <c r="N594" t="s">
        <v>71</v>
      </c>
      <c r="O594" t="s">
        <v>1316</v>
      </c>
      <c r="P594">
        <v>9.5</v>
      </c>
      <c r="Q594">
        <v>88</v>
      </c>
      <c r="R594">
        <v>5.3</v>
      </c>
      <c r="S594">
        <v>7.4</v>
      </c>
      <c r="T594">
        <v>2026</v>
      </c>
      <c r="U594">
        <v>3</v>
      </c>
      <c r="V594">
        <v>1</v>
      </c>
      <c r="W594" t="s">
        <v>47</v>
      </c>
      <c r="X594" t="s">
        <v>64</v>
      </c>
      <c r="Y594" t="s">
        <v>95</v>
      </c>
    </row>
    <row r="595" spans="1:25" x14ac:dyDescent="0.35">
      <c r="A595" t="s">
        <v>1317</v>
      </c>
      <c r="B595" t="s">
        <v>50</v>
      </c>
      <c r="C595" t="s">
        <v>27</v>
      </c>
      <c r="D595" t="s">
        <v>81</v>
      </c>
      <c r="E595">
        <v>6</v>
      </c>
      <c r="F595" t="s">
        <v>128</v>
      </c>
      <c r="G595">
        <v>350000</v>
      </c>
      <c r="H595">
        <v>160000</v>
      </c>
      <c r="I595">
        <v>300000</v>
      </c>
      <c r="J595" t="s">
        <v>47</v>
      </c>
      <c r="K595" t="s">
        <v>87</v>
      </c>
      <c r="L595" t="s">
        <v>32</v>
      </c>
      <c r="M595" t="s">
        <v>54</v>
      </c>
      <c r="N595" t="s">
        <v>76</v>
      </c>
      <c r="O595" t="s">
        <v>1318</v>
      </c>
      <c r="P595">
        <v>9.6</v>
      </c>
      <c r="Q595">
        <v>98</v>
      </c>
      <c r="R595">
        <v>40</v>
      </c>
      <c r="S595">
        <v>7.2</v>
      </c>
      <c r="T595">
        <v>2025</v>
      </c>
      <c r="U595">
        <v>5</v>
      </c>
      <c r="V595">
        <v>0</v>
      </c>
      <c r="W595" t="s">
        <v>36</v>
      </c>
      <c r="X595" t="s">
        <v>37</v>
      </c>
      <c r="Y595" t="s">
        <v>56</v>
      </c>
    </row>
    <row r="596" spans="1:25" x14ac:dyDescent="0.35">
      <c r="A596" t="s">
        <v>1319</v>
      </c>
      <c r="B596" t="s">
        <v>158</v>
      </c>
      <c r="C596" t="s">
        <v>27</v>
      </c>
      <c r="D596" t="s">
        <v>28</v>
      </c>
      <c r="E596">
        <v>7</v>
      </c>
      <c r="F596" t="s">
        <v>69</v>
      </c>
      <c r="G596">
        <v>223000</v>
      </c>
      <c r="H596">
        <v>145000</v>
      </c>
      <c r="I596">
        <v>280000</v>
      </c>
      <c r="J596" t="s">
        <v>30</v>
      </c>
      <c r="K596" t="s">
        <v>31</v>
      </c>
      <c r="L596" t="s">
        <v>44</v>
      </c>
      <c r="M596" t="s">
        <v>61</v>
      </c>
      <c r="N596" t="s">
        <v>76</v>
      </c>
      <c r="O596" t="s">
        <v>1320</v>
      </c>
      <c r="P596">
        <v>9.6999999999999993</v>
      </c>
      <c r="Q596">
        <v>94</v>
      </c>
      <c r="R596">
        <v>52</v>
      </c>
      <c r="S596">
        <v>7</v>
      </c>
      <c r="T596">
        <v>2026</v>
      </c>
      <c r="U596">
        <v>3</v>
      </c>
      <c r="V596">
        <v>1</v>
      </c>
      <c r="W596" t="s">
        <v>47</v>
      </c>
      <c r="X596" t="s">
        <v>37</v>
      </c>
      <c r="Y596" t="s">
        <v>38</v>
      </c>
    </row>
    <row r="597" spans="1:25" x14ac:dyDescent="0.35">
      <c r="A597" t="s">
        <v>1321</v>
      </c>
      <c r="B597" t="s">
        <v>163</v>
      </c>
      <c r="C597" t="s">
        <v>164</v>
      </c>
      <c r="D597" t="s">
        <v>68</v>
      </c>
      <c r="E597">
        <v>6</v>
      </c>
      <c r="F597" t="s">
        <v>51</v>
      </c>
      <c r="G597">
        <v>212000</v>
      </c>
      <c r="H597">
        <v>125000</v>
      </c>
      <c r="I597">
        <v>240000</v>
      </c>
      <c r="J597" t="s">
        <v>52</v>
      </c>
      <c r="K597" t="s">
        <v>31</v>
      </c>
      <c r="L597" t="s">
        <v>44</v>
      </c>
      <c r="M597" t="s">
        <v>33</v>
      </c>
      <c r="N597" t="s">
        <v>165</v>
      </c>
      <c r="O597" t="s">
        <v>1322</v>
      </c>
      <c r="P597">
        <v>10.8</v>
      </c>
      <c r="Q597">
        <v>76</v>
      </c>
      <c r="R597">
        <v>23.6</v>
      </c>
      <c r="S597">
        <v>8.8000000000000007</v>
      </c>
      <c r="T597">
        <v>2026</v>
      </c>
      <c r="U597">
        <v>1</v>
      </c>
      <c r="V597">
        <v>1</v>
      </c>
      <c r="W597" t="s">
        <v>47</v>
      </c>
      <c r="X597" t="s">
        <v>64</v>
      </c>
      <c r="Y597" t="s">
        <v>38</v>
      </c>
    </row>
    <row r="598" spans="1:25" x14ac:dyDescent="0.35">
      <c r="A598" t="s">
        <v>1323</v>
      </c>
      <c r="B598" t="s">
        <v>79</v>
      </c>
      <c r="C598" t="s">
        <v>80</v>
      </c>
      <c r="D598" t="s">
        <v>81</v>
      </c>
      <c r="E598">
        <v>10</v>
      </c>
      <c r="F598" t="s">
        <v>29</v>
      </c>
      <c r="G598">
        <v>140000</v>
      </c>
      <c r="H598">
        <v>140000</v>
      </c>
      <c r="I598">
        <v>260000</v>
      </c>
      <c r="J598" t="s">
        <v>129</v>
      </c>
      <c r="K598" t="s">
        <v>130</v>
      </c>
      <c r="L598" t="s">
        <v>44</v>
      </c>
      <c r="M598" t="s">
        <v>33</v>
      </c>
      <c r="N598" t="s">
        <v>34</v>
      </c>
      <c r="O598" t="s">
        <v>1324</v>
      </c>
      <c r="P598">
        <v>12.8</v>
      </c>
      <c r="Q598">
        <v>80</v>
      </c>
      <c r="R598">
        <v>7.5</v>
      </c>
      <c r="S598">
        <v>8.1999999999999993</v>
      </c>
      <c r="T598">
        <v>2026</v>
      </c>
      <c r="U598">
        <v>2</v>
      </c>
      <c r="V598">
        <v>0</v>
      </c>
      <c r="W598" t="s">
        <v>47</v>
      </c>
      <c r="X598" t="s">
        <v>64</v>
      </c>
      <c r="Y598" t="s">
        <v>95</v>
      </c>
    </row>
    <row r="599" spans="1:25" x14ac:dyDescent="0.35">
      <c r="A599" t="s">
        <v>1325</v>
      </c>
      <c r="B599" t="s">
        <v>153</v>
      </c>
      <c r="C599" t="s">
        <v>154</v>
      </c>
      <c r="D599" t="s">
        <v>68</v>
      </c>
      <c r="E599">
        <v>5</v>
      </c>
      <c r="F599" t="s">
        <v>41</v>
      </c>
      <c r="G599">
        <v>216000</v>
      </c>
      <c r="H599">
        <v>95000</v>
      </c>
      <c r="I599">
        <v>180000</v>
      </c>
      <c r="J599" t="s">
        <v>174</v>
      </c>
      <c r="K599" t="s">
        <v>31</v>
      </c>
      <c r="L599" t="s">
        <v>44</v>
      </c>
      <c r="M599" t="s">
        <v>54</v>
      </c>
      <c r="N599" t="s">
        <v>83</v>
      </c>
      <c r="O599" t="s">
        <v>1326</v>
      </c>
      <c r="P599">
        <v>13.1</v>
      </c>
      <c r="Q599">
        <v>78</v>
      </c>
      <c r="R599">
        <v>28.8</v>
      </c>
      <c r="S599">
        <v>7.1</v>
      </c>
      <c r="T599">
        <v>2026</v>
      </c>
      <c r="U599">
        <v>1</v>
      </c>
      <c r="V599">
        <v>1</v>
      </c>
      <c r="W599" t="s">
        <v>47</v>
      </c>
      <c r="X599" t="s">
        <v>64</v>
      </c>
      <c r="Y599" t="s">
        <v>38</v>
      </c>
    </row>
    <row r="600" spans="1:25" x14ac:dyDescent="0.35">
      <c r="A600" t="s">
        <v>1327</v>
      </c>
      <c r="B600" t="s">
        <v>66</v>
      </c>
      <c r="C600" t="s">
        <v>67</v>
      </c>
      <c r="D600" t="s">
        <v>28</v>
      </c>
      <c r="E600">
        <v>10</v>
      </c>
      <c r="F600" t="s">
        <v>69</v>
      </c>
      <c r="G600">
        <v>197000</v>
      </c>
      <c r="H600">
        <v>140000</v>
      </c>
      <c r="I600">
        <v>260000</v>
      </c>
      <c r="J600" t="s">
        <v>142</v>
      </c>
      <c r="K600" t="s">
        <v>143</v>
      </c>
      <c r="L600" t="s">
        <v>32</v>
      </c>
      <c r="M600" t="s">
        <v>54</v>
      </c>
      <c r="N600" t="s">
        <v>131</v>
      </c>
      <c r="O600" t="s">
        <v>1328</v>
      </c>
      <c r="P600">
        <v>12.3</v>
      </c>
      <c r="Q600">
        <v>85</v>
      </c>
      <c r="R600">
        <v>12.6</v>
      </c>
      <c r="S600">
        <v>9.5</v>
      </c>
      <c r="T600">
        <v>2026</v>
      </c>
      <c r="U600">
        <v>3</v>
      </c>
      <c r="V600">
        <v>1</v>
      </c>
      <c r="W600" t="s">
        <v>36</v>
      </c>
      <c r="X600" t="s">
        <v>64</v>
      </c>
      <c r="Y600" t="s">
        <v>48</v>
      </c>
    </row>
    <row r="601" spans="1:25" x14ac:dyDescent="0.35">
      <c r="A601" t="s">
        <v>1329</v>
      </c>
      <c r="B601" t="s">
        <v>146</v>
      </c>
      <c r="C601" t="s">
        <v>27</v>
      </c>
      <c r="D601" t="s">
        <v>81</v>
      </c>
      <c r="E601">
        <v>4</v>
      </c>
      <c r="F601" t="s">
        <v>41</v>
      </c>
      <c r="G601">
        <v>161000</v>
      </c>
      <c r="H601">
        <v>160000</v>
      </c>
      <c r="I601">
        <v>300000</v>
      </c>
      <c r="J601" t="s">
        <v>102</v>
      </c>
      <c r="K601" t="s">
        <v>103</v>
      </c>
      <c r="L601" t="s">
        <v>32</v>
      </c>
      <c r="M601" t="s">
        <v>61</v>
      </c>
      <c r="N601" t="s">
        <v>165</v>
      </c>
      <c r="O601" t="s">
        <v>1330</v>
      </c>
      <c r="P601">
        <v>14.7</v>
      </c>
      <c r="Q601">
        <v>90</v>
      </c>
      <c r="R601">
        <v>13.1</v>
      </c>
      <c r="S601">
        <v>6.7</v>
      </c>
      <c r="T601">
        <v>2025</v>
      </c>
      <c r="U601">
        <v>3</v>
      </c>
      <c r="V601">
        <v>0</v>
      </c>
      <c r="W601" t="s">
        <v>36</v>
      </c>
      <c r="X601" t="s">
        <v>64</v>
      </c>
      <c r="Y601" t="s">
        <v>48</v>
      </c>
    </row>
    <row r="602" spans="1:25" x14ac:dyDescent="0.35">
      <c r="A602" t="s">
        <v>1331</v>
      </c>
      <c r="B602" t="s">
        <v>609</v>
      </c>
      <c r="C602" t="s">
        <v>124</v>
      </c>
      <c r="D602" t="s">
        <v>28</v>
      </c>
      <c r="E602">
        <v>10</v>
      </c>
      <c r="F602" t="s">
        <v>51</v>
      </c>
      <c r="G602">
        <v>115000</v>
      </c>
      <c r="H602">
        <v>115000</v>
      </c>
      <c r="I602">
        <v>280000</v>
      </c>
      <c r="J602" t="s">
        <v>108</v>
      </c>
      <c r="K602" t="s">
        <v>109</v>
      </c>
      <c r="L602" t="s">
        <v>53</v>
      </c>
      <c r="M602" t="s">
        <v>61</v>
      </c>
      <c r="N602" t="s">
        <v>83</v>
      </c>
      <c r="O602" t="s">
        <v>1332</v>
      </c>
      <c r="P602">
        <v>16.3</v>
      </c>
      <c r="Q602">
        <v>88</v>
      </c>
      <c r="R602">
        <v>12.9</v>
      </c>
      <c r="S602">
        <v>7.2</v>
      </c>
      <c r="T602">
        <v>2026</v>
      </c>
      <c r="U602">
        <v>2</v>
      </c>
      <c r="V602">
        <v>1</v>
      </c>
      <c r="W602" t="s">
        <v>47</v>
      </c>
      <c r="X602" t="s">
        <v>64</v>
      </c>
      <c r="Y602" t="s">
        <v>95</v>
      </c>
    </row>
    <row r="603" spans="1:25" x14ac:dyDescent="0.35">
      <c r="A603" t="s">
        <v>1333</v>
      </c>
      <c r="B603" t="s">
        <v>196</v>
      </c>
      <c r="C603" t="s">
        <v>27</v>
      </c>
      <c r="D603" t="s">
        <v>68</v>
      </c>
      <c r="E603">
        <v>3</v>
      </c>
      <c r="F603" t="s">
        <v>128</v>
      </c>
      <c r="G603">
        <v>204000</v>
      </c>
      <c r="H603">
        <v>100000</v>
      </c>
      <c r="I603">
        <v>250000</v>
      </c>
      <c r="J603" t="s">
        <v>137</v>
      </c>
      <c r="K603" t="s">
        <v>138</v>
      </c>
      <c r="L603" t="s">
        <v>53</v>
      </c>
      <c r="M603" t="s">
        <v>33</v>
      </c>
      <c r="N603" t="s">
        <v>110</v>
      </c>
      <c r="O603" t="s">
        <v>1334</v>
      </c>
      <c r="P603">
        <v>8.1999999999999993</v>
      </c>
      <c r="Q603">
        <v>95</v>
      </c>
      <c r="R603">
        <v>46.2</v>
      </c>
      <c r="S603">
        <v>7.5</v>
      </c>
      <c r="T603">
        <v>2026</v>
      </c>
      <c r="U603">
        <v>3</v>
      </c>
      <c r="V603">
        <v>1</v>
      </c>
      <c r="W603" t="s">
        <v>47</v>
      </c>
      <c r="X603" t="s">
        <v>64</v>
      </c>
      <c r="Y603" t="s">
        <v>38</v>
      </c>
    </row>
    <row r="604" spans="1:25" x14ac:dyDescent="0.35">
      <c r="A604" t="s">
        <v>1335</v>
      </c>
      <c r="B604" t="s">
        <v>141</v>
      </c>
      <c r="C604" t="s">
        <v>27</v>
      </c>
      <c r="D604" t="s">
        <v>68</v>
      </c>
      <c r="E604">
        <v>6</v>
      </c>
      <c r="F604" t="s">
        <v>128</v>
      </c>
      <c r="G604">
        <v>324000</v>
      </c>
      <c r="H604">
        <v>141000</v>
      </c>
      <c r="I604">
        <v>270000</v>
      </c>
      <c r="J604" t="s">
        <v>70</v>
      </c>
      <c r="K604" t="s">
        <v>31</v>
      </c>
      <c r="L604" t="s">
        <v>53</v>
      </c>
      <c r="M604" t="s">
        <v>54</v>
      </c>
      <c r="N604" t="s">
        <v>110</v>
      </c>
      <c r="O604" t="s">
        <v>1336</v>
      </c>
      <c r="P604">
        <v>7.1</v>
      </c>
      <c r="Q604">
        <v>89</v>
      </c>
      <c r="R604">
        <v>6.5</v>
      </c>
      <c r="S604">
        <v>6.2</v>
      </c>
      <c r="T604">
        <v>2025</v>
      </c>
      <c r="U604">
        <v>9</v>
      </c>
      <c r="V604">
        <v>1</v>
      </c>
      <c r="W604" t="s">
        <v>47</v>
      </c>
      <c r="X604" t="s">
        <v>64</v>
      </c>
      <c r="Y604" t="s">
        <v>56</v>
      </c>
    </row>
    <row r="605" spans="1:25" x14ac:dyDescent="0.35">
      <c r="A605" t="s">
        <v>1337</v>
      </c>
      <c r="B605" t="s">
        <v>58</v>
      </c>
      <c r="C605" t="s">
        <v>59</v>
      </c>
      <c r="D605" t="s">
        <v>74</v>
      </c>
      <c r="E605">
        <v>7</v>
      </c>
      <c r="F605" t="s">
        <v>69</v>
      </c>
      <c r="G605">
        <v>130000</v>
      </c>
      <c r="H605">
        <v>130000</v>
      </c>
      <c r="I605">
        <v>220000</v>
      </c>
      <c r="J605" t="s">
        <v>170</v>
      </c>
      <c r="K605" t="s">
        <v>171</v>
      </c>
      <c r="L605" t="s">
        <v>44</v>
      </c>
      <c r="M605" t="s">
        <v>82</v>
      </c>
      <c r="N605" t="s">
        <v>165</v>
      </c>
      <c r="O605" t="s">
        <v>1338</v>
      </c>
      <c r="P605">
        <v>10</v>
      </c>
      <c r="Q605">
        <v>88</v>
      </c>
      <c r="R605">
        <v>7.2</v>
      </c>
      <c r="S605">
        <v>6.9</v>
      </c>
      <c r="T605">
        <v>2026</v>
      </c>
      <c r="U605">
        <v>3</v>
      </c>
      <c r="V605">
        <v>0</v>
      </c>
      <c r="W605" t="s">
        <v>47</v>
      </c>
      <c r="X605" t="s">
        <v>64</v>
      </c>
      <c r="Y605" t="s">
        <v>95</v>
      </c>
    </row>
    <row r="606" spans="1:25" x14ac:dyDescent="0.35">
      <c r="A606" t="s">
        <v>1339</v>
      </c>
      <c r="B606" t="s">
        <v>224</v>
      </c>
      <c r="C606" t="s">
        <v>27</v>
      </c>
      <c r="D606" t="s">
        <v>28</v>
      </c>
      <c r="E606">
        <v>4</v>
      </c>
      <c r="F606" t="s">
        <v>41</v>
      </c>
      <c r="G606">
        <v>221000</v>
      </c>
      <c r="H606">
        <v>145000</v>
      </c>
      <c r="I606">
        <v>280000</v>
      </c>
      <c r="J606" t="s">
        <v>102</v>
      </c>
      <c r="K606" t="s">
        <v>103</v>
      </c>
      <c r="L606" t="s">
        <v>44</v>
      </c>
      <c r="M606" t="s">
        <v>54</v>
      </c>
      <c r="N606" t="s">
        <v>83</v>
      </c>
      <c r="O606" t="s">
        <v>1340</v>
      </c>
      <c r="P606">
        <v>7.7</v>
      </c>
      <c r="Q606">
        <v>87</v>
      </c>
      <c r="R606">
        <v>22.6</v>
      </c>
      <c r="S606">
        <v>7</v>
      </c>
      <c r="T606">
        <v>2026</v>
      </c>
      <c r="U606">
        <v>1</v>
      </c>
      <c r="V606">
        <v>1</v>
      </c>
      <c r="W606" t="s">
        <v>47</v>
      </c>
      <c r="X606" t="s">
        <v>64</v>
      </c>
      <c r="Y606" t="s">
        <v>38</v>
      </c>
    </row>
    <row r="607" spans="1:25" x14ac:dyDescent="0.35">
      <c r="A607" t="s">
        <v>1341</v>
      </c>
      <c r="B607" t="s">
        <v>168</v>
      </c>
      <c r="C607" t="s">
        <v>169</v>
      </c>
      <c r="D607" t="s">
        <v>68</v>
      </c>
      <c r="E607">
        <v>5</v>
      </c>
      <c r="F607" t="s">
        <v>69</v>
      </c>
      <c r="G607">
        <v>261600</v>
      </c>
      <c r="H607">
        <v>157000</v>
      </c>
      <c r="I607">
        <v>218000</v>
      </c>
      <c r="J607" t="s">
        <v>30</v>
      </c>
      <c r="K607" t="s">
        <v>31</v>
      </c>
      <c r="L607" t="s">
        <v>44</v>
      </c>
      <c r="M607" t="s">
        <v>45</v>
      </c>
      <c r="N607" t="s">
        <v>155</v>
      </c>
      <c r="O607" t="s">
        <v>1342</v>
      </c>
      <c r="P607">
        <v>7</v>
      </c>
      <c r="Q607">
        <v>90</v>
      </c>
      <c r="R607">
        <v>20.9</v>
      </c>
      <c r="S607">
        <v>8.8000000000000007</v>
      </c>
      <c r="T607">
        <v>2026</v>
      </c>
      <c r="U607">
        <v>3</v>
      </c>
      <c r="V607">
        <v>1</v>
      </c>
      <c r="W607" t="s">
        <v>47</v>
      </c>
      <c r="X607" t="s">
        <v>64</v>
      </c>
      <c r="Y607" t="s">
        <v>38</v>
      </c>
    </row>
    <row r="608" spans="1:25" x14ac:dyDescent="0.35">
      <c r="A608" t="s">
        <v>1343</v>
      </c>
      <c r="B608" t="s">
        <v>233</v>
      </c>
      <c r="C608" t="s">
        <v>180</v>
      </c>
      <c r="D608" t="s">
        <v>81</v>
      </c>
      <c r="E608">
        <v>4</v>
      </c>
      <c r="F608" t="s">
        <v>51</v>
      </c>
      <c r="G608">
        <v>189000</v>
      </c>
      <c r="H608">
        <v>100000</v>
      </c>
      <c r="I608">
        <v>200000</v>
      </c>
      <c r="J608" t="s">
        <v>30</v>
      </c>
      <c r="K608" t="s">
        <v>31</v>
      </c>
      <c r="L608" t="s">
        <v>44</v>
      </c>
      <c r="M608" t="s">
        <v>54</v>
      </c>
      <c r="N608" t="s">
        <v>119</v>
      </c>
      <c r="O608" t="s">
        <v>1344</v>
      </c>
      <c r="P608">
        <v>9.8000000000000007</v>
      </c>
      <c r="Q608">
        <v>68</v>
      </c>
      <c r="R608">
        <v>19.399999999999999</v>
      </c>
      <c r="S608">
        <v>7.7</v>
      </c>
      <c r="T608">
        <v>2026</v>
      </c>
      <c r="U608">
        <v>3</v>
      </c>
      <c r="V608">
        <v>0</v>
      </c>
      <c r="W608" t="s">
        <v>47</v>
      </c>
      <c r="X608" t="s">
        <v>64</v>
      </c>
      <c r="Y608" t="s">
        <v>48</v>
      </c>
    </row>
    <row r="609" spans="1:25" x14ac:dyDescent="0.35">
      <c r="A609" t="s">
        <v>1345</v>
      </c>
      <c r="B609" t="s">
        <v>40</v>
      </c>
      <c r="C609" t="s">
        <v>27</v>
      </c>
      <c r="D609" t="s">
        <v>28</v>
      </c>
      <c r="E609">
        <v>4</v>
      </c>
      <c r="F609" t="s">
        <v>41</v>
      </c>
      <c r="G609">
        <v>240000</v>
      </c>
      <c r="H609">
        <v>90000</v>
      </c>
      <c r="I609">
        <v>200000</v>
      </c>
      <c r="J609" t="s">
        <v>174</v>
      </c>
      <c r="K609" t="s">
        <v>31</v>
      </c>
      <c r="L609" t="s">
        <v>44</v>
      </c>
      <c r="M609" t="s">
        <v>45</v>
      </c>
      <c r="N609" t="s">
        <v>71</v>
      </c>
      <c r="O609" t="s">
        <v>1346</v>
      </c>
      <c r="P609">
        <v>8.4</v>
      </c>
      <c r="Q609">
        <v>82</v>
      </c>
      <c r="R609">
        <v>18.3</v>
      </c>
      <c r="S609">
        <v>8.5</v>
      </c>
      <c r="T609">
        <v>2025</v>
      </c>
      <c r="U609">
        <v>10</v>
      </c>
      <c r="V609">
        <v>1</v>
      </c>
      <c r="W609" t="s">
        <v>47</v>
      </c>
      <c r="X609" t="s">
        <v>37</v>
      </c>
      <c r="Y609" t="s">
        <v>38</v>
      </c>
    </row>
    <row r="610" spans="1:25" x14ac:dyDescent="0.35">
      <c r="A610" t="s">
        <v>1347</v>
      </c>
      <c r="B610" t="s">
        <v>58</v>
      </c>
      <c r="C610" t="s">
        <v>59</v>
      </c>
      <c r="D610" t="s">
        <v>81</v>
      </c>
      <c r="E610">
        <v>3</v>
      </c>
      <c r="F610" t="s">
        <v>29</v>
      </c>
      <c r="G610">
        <v>130000</v>
      </c>
      <c r="H610">
        <v>130000</v>
      </c>
      <c r="I610">
        <v>220000</v>
      </c>
      <c r="J610" t="s">
        <v>92</v>
      </c>
      <c r="K610" t="s">
        <v>93</v>
      </c>
      <c r="L610" t="s">
        <v>44</v>
      </c>
      <c r="M610" t="s">
        <v>61</v>
      </c>
      <c r="N610" t="s">
        <v>155</v>
      </c>
      <c r="O610" t="s">
        <v>1348</v>
      </c>
      <c r="P610">
        <v>8.6999999999999993</v>
      </c>
      <c r="Q610">
        <v>88</v>
      </c>
      <c r="R610">
        <v>26.8</v>
      </c>
      <c r="S610">
        <v>9.5</v>
      </c>
      <c r="T610">
        <v>2026</v>
      </c>
      <c r="U610">
        <v>1</v>
      </c>
      <c r="V610">
        <v>0</v>
      </c>
      <c r="W610" t="s">
        <v>47</v>
      </c>
      <c r="X610" t="s">
        <v>64</v>
      </c>
      <c r="Y610" t="s">
        <v>95</v>
      </c>
    </row>
    <row r="611" spans="1:25" x14ac:dyDescent="0.35">
      <c r="A611" t="s">
        <v>1349</v>
      </c>
      <c r="B611" t="s">
        <v>149</v>
      </c>
      <c r="C611" t="s">
        <v>150</v>
      </c>
      <c r="D611" t="s">
        <v>28</v>
      </c>
      <c r="E611">
        <v>4</v>
      </c>
      <c r="F611" t="s">
        <v>29</v>
      </c>
      <c r="G611">
        <v>279000</v>
      </c>
      <c r="H611">
        <v>130000</v>
      </c>
      <c r="I611">
        <v>260000</v>
      </c>
      <c r="J611" t="s">
        <v>75</v>
      </c>
      <c r="K611" t="s">
        <v>31</v>
      </c>
      <c r="L611" t="s">
        <v>53</v>
      </c>
      <c r="M611" t="s">
        <v>45</v>
      </c>
      <c r="N611" t="s">
        <v>124</v>
      </c>
      <c r="O611" t="s">
        <v>1350</v>
      </c>
      <c r="P611">
        <v>10.1</v>
      </c>
      <c r="Q611">
        <v>93</v>
      </c>
      <c r="R611">
        <v>18.600000000000001</v>
      </c>
      <c r="S611">
        <v>7.7</v>
      </c>
      <c r="T611">
        <v>2025</v>
      </c>
      <c r="U611">
        <v>7</v>
      </c>
      <c r="V611">
        <v>1</v>
      </c>
      <c r="W611" t="s">
        <v>47</v>
      </c>
      <c r="X611" t="s">
        <v>64</v>
      </c>
      <c r="Y611" t="s">
        <v>38</v>
      </c>
    </row>
    <row r="612" spans="1:25" x14ac:dyDescent="0.35">
      <c r="A612" t="s">
        <v>1351</v>
      </c>
      <c r="B612" t="s">
        <v>153</v>
      </c>
      <c r="C612" t="s">
        <v>154</v>
      </c>
      <c r="D612" t="s">
        <v>81</v>
      </c>
      <c r="E612">
        <v>7</v>
      </c>
      <c r="F612" t="s">
        <v>51</v>
      </c>
      <c r="G612">
        <v>110000</v>
      </c>
      <c r="H612">
        <v>95000</v>
      </c>
      <c r="I612">
        <v>180000</v>
      </c>
      <c r="J612" t="s">
        <v>30</v>
      </c>
      <c r="K612" t="s">
        <v>31</v>
      </c>
      <c r="L612" t="s">
        <v>32</v>
      </c>
      <c r="M612" t="s">
        <v>33</v>
      </c>
      <c r="N612" t="s">
        <v>76</v>
      </c>
      <c r="O612" t="s">
        <v>1352</v>
      </c>
      <c r="P612">
        <v>17.899999999999999</v>
      </c>
      <c r="Q612">
        <v>78</v>
      </c>
      <c r="R612">
        <v>25</v>
      </c>
      <c r="S612">
        <v>7.4</v>
      </c>
      <c r="T612">
        <v>2025</v>
      </c>
      <c r="U612">
        <v>2</v>
      </c>
      <c r="V612">
        <v>0</v>
      </c>
      <c r="W612" t="s">
        <v>36</v>
      </c>
      <c r="X612" t="s">
        <v>64</v>
      </c>
      <c r="Y612" t="s">
        <v>95</v>
      </c>
    </row>
    <row r="613" spans="1:25" x14ac:dyDescent="0.35">
      <c r="A613" t="s">
        <v>1353</v>
      </c>
      <c r="B613" t="s">
        <v>100</v>
      </c>
      <c r="C613" t="s">
        <v>101</v>
      </c>
      <c r="D613" t="s">
        <v>68</v>
      </c>
      <c r="E613">
        <v>7</v>
      </c>
      <c r="F613" t="s">
        <v>69</v>
      </c>
      <c r="G613">
        <v>353000</v>
      </c>
      <c r="H613">
        <v>180000</v>
      </c>
      <c r="I613">
        <v>320000</v>
      </c>
      <c r="J613" t="s">
        <v>174</v>
      </c>
      <c r="K613" t="s">
        <v>31</v>
      </c>
      <c r="L613" t="s">
        <v>44</v>
      </c>
      <c r="M613" t="s">
        <v>33</v>
      </c>
      <c r="N613" t="s">
        <v>119</v>
      </c>
      <c r="O613" t="s">
        <v>1354</v>
      </c>
      <c r="P613">
        <v>11.9</v>
      </c>
      <c r="Q613">
        <v>84</v>
      </c>
      <c r="R613">
        <v>16.8</v>
      </c>
      <c r="S613">
        <v>9.6</v>
      </c>
      <c r="T613">
        <v>2025</v>
      </c>
      <c r="U613">
        <v>11</v>
      </c>
      <c r="V613">
        <v>1</v>
      </c>
      <c r="W613" t="s">
        <v>47</v>
      </c>
      <c r="X613" t="s">
        <v>64</v>
      </c>
      <c r="Y613" t="s">
        <v>56</v>
      </c>
    </row>
    <row r="614" spans="1:25" x14ac:dyDescent="0.35">
      <c r="A614" t="s">
        <v>1355</v>
      </c>
      <c r="B614" t="s">
        <v>66</v>
      </c>
      <c r="C614" t="s">
        <v>67</v>
      </c>
      <c r="D614" t="s">
        <v>81</v>
      </c>
      <c r="E614">
        <v>5</v>
      </c>
      <c r="F614" t="s">
        <v>29</v>
      </c>
      <c r="G614">
        <v>212000</v>
      </c>
      <c r="H614">
        <v>140000</v>
      </c>
      <c r="I614">
        <v>260000</v>
      </c>
      <c r="J614" t="s">
        <v>296</v>
      </c>
      <c r="K614" t="s">
        <v>31</v>
      </c>
      <c r="L614" t="s">
        <v>53</v>
      </c>
      <c r="M614" t="s">
        <v>61</v>
      </c>
      <c r="N614" t="s">
        <v>71</v>
      </c>
      <c r="O614" t="s">
        <v>1356</v>
      </c>
      <c r="P614">
        <v>14.6</v>
      </c>
      <c r="Q614">
        <v>85</v>
      </c>
      <c r="R614">
        <v>14.3</v>
      </c>
      <c r="S614">
        <v>7.6</v>
      </c>
      <c r="T614">
        <v>2025</v>
      </c>
      <c r="U614">
        <v>3</v>
      </c>
      <c r="V614">
        <v>0</v>
      </c>
      <c r="W614" t="s">
        <v>47</v>
      </c>
      <c r="X614" t="s">
        <v>64</v>
      </c>
      <c r="Y614" t="s">
        <v>38</v>
      </c>
    </row>
    <row r="615" spans="1:25" x14ac:dyDescent="0.35">
      <c r="A615" t="s">
        <v>1357</v>
      </c>
      <c r="B615" t="s">
        <v>609</v>
      </c>
      <c r="C615" t="s">
        <v>124</v>
      </c>
      <c r="D615" t="s">
        <v>81</v>
      </c>
      <c r="E615">
        <v>5</v>
      </c>
      <c r="F615" t="s">
        <v>128</v>
      </c>
      <c r="G615">
        <v>174000</v>
      </c>
      <c r="H615">
        <v>115000</v>
      </c>
      <c r="I615">
        <v>280000</v>
      </c>
      <c r="J615" t="s">
        <v>117</v>
      </c>
      <c r="K615" t="s">
        <v>118</v>
      </c>
      <c r="L615" t="s">
        <v>44</v>
      </c>
      <c r="M615" t="s">
        <v>61</v>
      </c>
      <c r="N615" t="s">
        <v>165</v>
      </c>
      <c r="O615" t="s">
        <v>1358</v>
      </c>
      <c r="P615">
        <v>15.8</v>
      </c>
      <c r="Q615">
        <v>88</v>
      </c>
      <c r="R615">
        <v>13.3</v>
      </c>
      <c r="S615">
        <v>9.4</v>
      </c>
      <c r="T615">
        <v>2025</v>
      </c>
      <c r="U615">
        <v>3</v>
      </c>
      <c r="V615">
        <v>0</v>
      </c>
      <c r="W615" t="s">
        <v>47</v>
      </c>
      <c r="X615" t="s">
        <v>64</v>
      </c>
      <c r="Y615" t="s">
        <v>48</v>
      </c>
    </row>
    <row r="616" spans="1:25" x14ac:dyDescent="0.35">
      <c r="A616" t="s">
        <v>1359</v>
      </c>
      <c r="B616" t="s">
        <v>40</v>
      </c>
      <c r="C616" t="s">
        <v>27</v>
      </c>
      <c r="D616" t="s">
        <v>68</v>
      </c>
      <c r="E616">
        <v>2</v>
      </c>
      <c r="F616" t="s">
        <v>51</v>
      </c>
      <c r="G616">
        <v>240000</v>
      </c>
      <c r="H616">
        <v>90000</v>
      </c>
      <c r="I616">
        <v>200000</v>
      </c>
      <c r="J616" t="s">
        <v>296</v>
      </c>
      <c r="K616" t="s">
        <v>31</v>
      </c>
      <c r="L616" t="s">
        <v>32</v>
      </c>
      <c r="M616" t="s">
        <v>54</v>
      </c>
      <c r="N616" t="s">
        <v>34</v>
      </c>
      <c r="O616" t="s">
        <v>1360</v>
      </c>
      <c r="P616">
        <v>6.3</v>
      </c>
      <c r="Q616">
        <v>82</v>
      </c>
      <c r="R616">
        <v>29.6</v>
      </c>
      <c r="S616">
        <v>9.3000000000000007</v>
      </c>
      <c r="T616">
        <v>2026</v>
      </c>
      <c r="U616">
        <v>1</v>
      </c>
      <c r="V616">
        <v>1</v>
      </c>
      <c r="W616" t="s">
        <v>36</v>
      </c>
      <c r="X616" t="s">
        <v>37</v>
      </c>
      <c r="Y616" t="s">
        <v>38</v>
      </c>
    </row>
    <row r="617" spans="1:25" x14ac:dyDescent="0.35">
      <c r="A617" t="s">
        <v>1361</v>
      </c>
      <c r="B617" t="s">
        <v>158</v>
      </c>
      <c r="C617" t="s">
        <v>27</v>
      </c>
      <c r="D617" t="s">
        <v>68</v>
      </c>
      <c r="E617">
        <v>4</v>
      </c>
      <c r="F617" t="s">
        <v>69</v>
      </c>
      <c r="G617">
        <v>336000</v>
      </c>
      <c r="H617">
        <v>145000</v>
      </c>
      <c r="I617">
        <v>280000</v>
      </c>
      <c r="J617" t="s">
        <v>174</v>
      </c>
      <c r="K617" t="s">
        <v>31</v>
      </c>
      <c r="L617" t="s">
        <v>53</v>
      </c>
      <c r="M617" t="s">
        <v>82</v>
      </c>
      <c r="N617" t="s">
        <v>124</v>
      </c>
      <c r="O617" t="s">
        <v>1362</v>
      </c>
      <c r="P617">
        <v>7</v>
      </c>
      <c r="Q617">
        <v>94</v>
      </c>
      <c r="R617">
        <v>24.2</v>
      </c>
      <c r="S617">
        <v>8</v>
      </c>
      <c r="T617">
        <v>2026</v>
      </c>
      <c r="U617">
        <v>1</v>
      </c>
      <c r="V617">
        <v>1</v>
      </c>
      <c r="W617" t="s">
        <v>47</v>
      </c>
      <c r="X617" t="s">
        <v>37</v>
      </c>
      <c r="Y617" t="s">
        <v>56</v>
      </c>
    </row>
    <row r="618" spans="1:25" x14ac:dyDescent="0.35">
      <c r="A618" t="s">
        <v>1363</v>
      </c>
      <c r="B618" t="s">
        <v>91</v>
      </c>
      <c r="C618" t="s">
        <v>27</v>
      </c>
      <c r="D618" t="s">
        <v>68</v>
      </c>
      <c r="E618">
        <v>4</v>
      </c>
      <c r="F618" t="s">
        <v>128</v>
      </c>
      <c r="G618">
        <v>348000</v>
      </c>
      <c r="H618">
        <v>145000</v>
      </c>
      <c r="I618">
        <v>290000</v>
      </c>
      <c r="J618" t="s">
        <v>52</v>
      </c>
      <c r="K618" t="s">
        <v>31</v>
      </c>
      <c r="L618" t="s">
        <v>44</v>
      </c>
      <c r="M618" t="s">
        <v>33</v>
      </c>
      <c r="N618" t="s">
        <v>119</v>
      </c>
      <c r="O618" t="s">
        <v>1364</v>
      </c>
      <c r="P618">
        <v>6.6</v>
      </c>
      <c r="Q618">
        <v>91</v>
      </c>
      <c r="R618">
        <v>87.1</v>
      </c>
      <c r="S618">
        <v>7</v>
      </c>
      <c r="T618">
        <v>2026</v>
      </c>
      <c r="U618">
        <v>2</v>
      </c>
      <c r="V618">
        <v>1</v>
      </c>
      <c r="W618" t="s">
        <v>47</v>
      </c>
      <c r="X618" t="s">
        <v>64</v>
      </c>
      <c r="Y618" t="s">
        <v>56</v>
      </c>
    </row>
    <row r="619" spans="1:25" x14ac:dyDescent="0.35">
      <c r="A619" t="s">
        <v>1365</v>
      </c>
      <c r="B619" t="s">
        <v>40</v>
      </c>
      <c r="C619" t="s">
        <v>27</v>
      </c>
      <c r="D619" t="s">
        <v>74</v>
      </c>
      <c r="E619">
        <v>2</v>
      </c>
      <c r="F619" t="s">
        <v>69</v>
      </c>
      <c r="G619">
        <v>90000</v>
      </c>
      <c r="H619">
        <v>90000</v>
      </c>
      <c r="I619">
        <v>200000</v>
      </c>
      <c r="J619" t="s">
        <v>60</v>
      </c>
      <c r="K619" t="s">
        <v>60</v>
      </c>
      <c r="L619" t="s">
        <v>32</v>
      </c>
      <c r="M619" t="s">
        <v>61</v>
      </c>
      <c r="N619" t="s">
        <v>83</v>
      </c>
      <c r="O619" t="s">
        <v>1366</v>
      </c>
      <c r="P619">
        <v>6.4</v>
      </c>
      <c r="Q619">
        <v>82</v>
      </c>
      <c r="R619">
        <v>26.4</v>
      </c>
      <c r="S619">
        <v>6.7</v>
      </c>
      <c r="T619">
        <v>2026</v>
      </c>
      <c r="U619">
        <v>3</v>
      </c>
      <c r="V619">
        <v>0</v>
      </c>
      <c r="W619" t="s">
        <v>36</v>
      </c>
      <c r="X619" t="s">
        <v>37</v>
      </c>
      <c r="Y619" t="s">
        <v>98</v>
      </c>
    </row>
    <row r="620" spans="1:25" x14ac:dyDescent="0.35">
      <c r="A620" t="s">
        <v>1367</v>
      </c>
      <c r="B620" t="s">
        <v>50</v>
      </c>
      <c r="C620" t="s">
        <v>27</v>
      </c>
      <c r="D620" t="s">
        <v>68</v>
      </c>
      <c r="E620">
        <v>5</v>
      </c>
      <c r="F620" t="s">
        <v>51</v>
      </c>
      <c r="G620">
        <v>228000</v>
      </c>
      <c r="H620">
        <v>160000</v>
      </c>
      <c r="I620">
        <v>300000</v>
      </c>
      <c r="J620" t="s">
        <v>170</v>
      </c>
      <c r="K620" t="s">
        <v>171</v>
      </c>
      <c r="L620" t="s">
        <v>53</v>
      </c>
      <c r="M620" t="s">
        <v>61</v>
      </c>
      <c r="N620" t="s">
        <v>83</v>
      </c>
      <c r="O620" t="s">
        <v>1368</v>
      </c>
      <c r="P620">
        <v>6.4</v>
      </c>
      <c r="Q620">
        <v>98</v>
      </c>
      <c r="R620">
        <v>55.1</v>
      </c>
      <c r="S620">
        <v>8.5</v>
      </c>
      <c r="T620">
        <v>2026</v>
      </c>
      <c r="U620">
        <v>2</v>
      </c>
      <c r="V620">
        <v>1</v>
      </c>
      <c r="W620" t="s">
        <v>47</v>
      </c>
      <c r="X620" t="s">
        <v>37</v>
      </c>
      <c r="Y620" t="s">
        <v>38</v>
      </c>
    </row>
    <row r="621" spans="1:25" x14ac:dyDescent="0.35">
      <c r="A621" t="s">
        <v>1369</v>
      </c>
      <c r="B621" t="s">
        <v>233</v>
      </c>
      <c r="C621" t="s">
        <v>180</v>
      </c>
      <c r="D621" t="s">
        <v>74</v>
      </c>
      <c r="E621">
        <v>3</v>
      </c>
      <c r="F621" t="s">
        <v>128</v>
      </c>
      <c r="G621">
        <v>106000</v>
      </c>
      <c r="H621">
        <v>100000</v>
      </c>
      <c r="I621">
        <v>200000</v>
      </c>
      <c r="J621" t="s">
        <v>117</v>
      </c>
      <c r="K621" t="s">
        <v>118</v>
      </c>
      <c r="L621" t="s">
        <v>44</v>
      </c>
      <c r="M621" t="s">
        <v>82</v>
      </c>
      <c r="N621" t="s">
        <v>124</v>
      </c>
      <c r="O621" t="s">
        <v>1370</v>
      </c>
      <c r="P621">
        <v>16.7</v>
      </c>
      <c r="Q621">
        <v>68</v>
      </c>
      <c r="R621">
        <v>12.7</v>
      </c>
      <c r="S621">
        <v>7.7</v>
      </c>
      <c r="T621">
        <v>2026</v>
      </c>
      <c r="U621">
        <v>1</v>
      </c>
      <c r="V621">
        <v>0</v>
      </c>
      <c r="W621" t="s">
        <v>47</v>
      </c>
      <c r="X621" t="s">
        <v>64</v>
      </c>
      <c r="Y621" t="s">
        <v>95</v>
      </c>
    </row>
    <row r="622" spans="1:25" x14ac:dyDescent="0.35">
      <c r="A622" t="s">
        <v>1371</v>
      </c>
      <c r="B622" t="s">
        <v>79</v>
      </c>
      <c r="C622" t="s">
        <v>80</v>
      </c>
      <c r="D622" t="s">
        <v>81</v>
      </c>
      <c r="E622">
        <v>6</v>
      </c>
      <c r="F622" t="s">
        <v>29</v>
      </c>
      <c r="G622">
        <v>220000</v>
      </c>
      <c r="H622">
        <v>140000</v>
      </c>
      <c r="I622">
        <v>260000</v>
      </c>
      <c r="J622" t="s">
        <v>75</v>
      </c>
      <c r="K622" t="s">
        <v>31</v>
      </c>
      <c r="L622" t="s">
        <v>44</v>
      </c>
      <c r="M622" t="s">
        <v>45</v>
      </c>
      <c r="N622" t="s">
        <v>155</v>
      </c>
      <c r="O622" t="s">
        <v>1372</v>
      </c>
      <c r="P622">
        <v>10.3</v>
      </c>
      <c r="Q622">
        <v>80</v>
      </c>
      <c r="R622">
        <v>28.7</v>
      </c>
      <c r="S622">
        <v>8</v>
      </c>
      <c r="T622">
        <v>2025</v>
      </c>
      <c r="U622">
        <v>2</v>
      </c>
      <c r="V622">
        <v>0</v>
      </c>
      <c r="W622" t="s">
        <v>47</v>
      </c>
      <c r="X622" t="s">
        <v>64</v>
      </c>
      <c r="Y622" t="s">
        <v>38</v>
      </c>
    </row>
    <row r="623" spans="1:25" x14ac:dyDescent="0.35">
      <c r="A623" t="s">
        <v>1373</v>
      </c>
      <c r="B623" t="s">
        <v>146</v>
      </c>
      <c r="C623" t="s">
        <v>27</v>
      </c>
      <c r="D623" t="s">
        <v>81</v>
      </c>
      <c r="E623">
        <v>7</v>
      </c>
      <c r="F623" t="s">
        <v>29</v>
      </c>
      <c r="G623">
        <v>302000</v>
      </c>
      <c r="H623">
        <v>160000</v>
      </c>
      <c r="I623">
        <v>300000</v>
      </c>
      <c r="J623" t="s">
        <v>75</v>
      </c>
      <c r="K623" t="s">
        <v>31</v>
      </c>
      <c r="L623" t="s">
        <v>53</v>
      </c>
      <c r="M623" t="s">
        <v>54</v>
      </c>
      <c r="N623" t="s">
        <v>76</v>
      </c>
      <c r="O623" t="s">
        <v>1374</v>
      </c>
      <c r="P623">
        <v>12.7</v>
      </c>
      <c r="Q623">
        <v>90</v>
      </c>
      <c r="R623">
        <v>8.4</v>
      </c>
      <c r="S623">
        <v>9.6</v>
      </c>
      <c r="T623">
        <v>2025</v>
      </c>
      <c r="U623">
        <v>5</v>
      </c>
      <c r="V623">
        <v>0</v>
      </c>
      <c r="W623" t="s">
        <v>47</v>
      </c>
      <c r="X623" t="s">
        <v>64</v>
      </c>
      <c r="Y623" t="s">
        <v>56</v>
      </c>
    </row>
    <row r="624" spans="1:25" x14ac:dyDescent="0.35">
      <c r="A624" t="s">
        <v>1375</v>
      </c>
      <c r="B624" t="s">
        <v>185</v>
      </c>
      <c r="C624" t="s">
        <v>186</v>
      </c>
      <c r="D624" t="s">
        <v>81</v>
      </c>
      <c r="E624">
        <v>3</v>
      </c>
      <c r="F624" t="s">
        <v>51</v>
      </c>
      <c r="G624">
        <v>140000</v>
      </c>
      <c r="H624">
        <v>140000</v>
      </c>
      <c r="I624">
        <v>270000</v>
      </c>
      <c r="J624" t="s">
        <v>102</v>
      </c>
      <c r="K624" t="s">
        <v>103</v>
      </c>
      <c r="L624" t="s">
        <v>53</v>
      </c>
      <c r="M624" t="s">
        <v>82</v>
      </c>
      <c r="N624" t="s">
        <v>76</v>
      </c>
      <c r="O624" t="s">
        <v>1376</v>
      </c>
      <c r="P624">
        <v>14.5</v>
      </c>
      <c r="Q624">
        <v>85</v>
      </c>
      <c r="R624">
        <v>14.8</v>
      </c>
      <c r="S624">
        <v>6.7</v>
      </c>
      <c r="T624">
        <v>2026</v>
      </c>
      <c r="U624">
        <v>1</v>
      </c>
      <c r="V624">
        <v>0</v>
      </c>
      <c r="W624" t="s">
        <v>47</v>
      </c>
      <c r="X624" t="s">
        <v>64</v>
      </c>
      <c r="Y624" t="s">
        <v>95</v>
      </c>
    </row>
    <row r="625" spans="1:25" x14ac:dyDescent="0.35">
      <c r="A625" t="s">
        <v>1377</v>
      </c>
      <c r="B625" t="s">
        <v>91</v>
      </c>
      <c r="C625" t="s">
        <v>27</v>
      </c>
      <c r="D625" t="s">
        <v>68</v>
      </c>
      <c r="E625">
        <v>5</v>
      </c>
      <c r="F625" t="s">
        <v>41</v>
      </c>
      <c r="G625">
        <v>222000</v>
      </c>
      <c r="H625">
        <v>145000</v>
      </c>
      <c r="I625">
        <v>290000</v>
      </c>
      <c r="J625" t="s">
        <v>142</v>
      </c>
      <c r="K625" t="s">
        <v>143</v>
      </c>
      <c r="L625" t="s">
        <v>44</v>
      </c>
      <c r="M625" t="s">
        <v>61</v>
      </c>
      <c r="N625" t="s">
        <v>155</v>
      </c>
      <c r="O625" t="s">
        <v>1378</v>
      </c>
      <c r="P625">
        <v>3.7</v>
      </c>
      <c r="Q625">
        <v>91</v>
      </c>
      <c r="R625">
        <v>60.9</v>
      </c>
      <c r="S625">
        <v>7.8</v>
      </c>
      <c r="T625">
        <v>2026</v>
      </c>
      <c r="U625">
        <v>2</v>
      </c>
      <c r="V625">
        <v>1</v>
      </c>
      <c r="W625" t="s">
        <v>47</v>
      </c>
      <c r="X625" t="s">
        <v>64</v>
      </c>
      <c r="Y625" t="s">
        <v>38</v>
      </c>
    </row>
    <row r="626" spans="1:25" x14ac:dyDescent="0.35">
      <c r="A626" t="s">
        <v>1379</v>
      </c>
      <c r="B626" t="s">
        <v>203</v>
      </c>
      <c r="C626" t="s">
        <v>169</v>
      </c>
      <c r="D626" t="s">
        <v>68</v>
      </c>
      <c r="E626">
        <v>8</v>
      </c>
      <c r="F626" t="s">
        <v>29</v>
      </c>
      <c r="G626">
        <v>234000</v>
      </c>
      <c r="H626">
        <v>138000</v>
      </c>
      <c r="I626">
        <v>195000</v>
      </c>
      <c r="J626" t="s">
        <v>102</v>
      </c>
      <c r="K626" t="s">
        <v>103</v>
      </c>
      <c r="L626" t="s">
        <v>44</v>
      </c>
      <c r="M626" t="s">
        <v>54</v>
      </c>
      <c r="N626" t="s">
        <v>124</v>
      </c>
      <c r="O626" t="s">
        <v>1380</v>
      </c>
      <c r="P626">
        <v>8.6</v>
      </c>
      <c r="Q626">
        <v>92</v>
      </c>
      <c r="R626">
        <v>70.400000000000006</v>
      </c>
      <c r="S626">
        <v>6.9</v>
      </c>
      <c r="T626">
        <v>2025</v>
      </c>
      <c r="U626">
        <v>12</v>
      </c>
      <c r="V626">
        <v>1</v>
      </c>
      <c r="W626" t="s">
        <v>47</v>
      </c>
      <c r="X626" t="s">
        <v>64</v>
      </c>
      <c r="Y626" t="s">
        <v>38</v>
      </c>
    </row>
    <row r="627" spans="1:25" x14ac:dyDescent="0.35">
      <c r="A627" t="s">
        <v>1381</v>
      </c>
      <c r="B627" t="s">
        <v>158</v>
      </c>
      <c r="C627" t="s">
        <v>27</v>
      </c>
      <c r="D627" t="s">
        <v>81</v>
      </c>
      <c r="E627">
        <v>5</v>
      </c>
      <c r="F627" t="s">
        <v>69</v>
      </c>
      <c r="G627">
        <v>145000</v>
      </c>
      <c r="H627">
        <v>145000</v>
      </c>
      <c r="I627">
        <v>280000</v>
      </c>
      <c r="J627" t="s">
        <v>108</v>
      </c>
      <c r="K627" t="s">
        <v>109</v>
      </c>
      <c r="L627" t="s">
        <v>53</v>
      </c>
      <c r="M627" t="s">
        <v>82</v>
      </c>
      <c r="N627" t="s">
        <v>119</v>
      </c>
      <c r="O627" t="s">
        <v>1382</v>
      </c>
      <c r="P627">
        <v>9.9</v>
      </c>
      <c r="Q627">
        <v>94</v>
      </c>
      <c r="R627">
        <v>21.1</v>
      </c>
      <c r="S627">
        <v>6.4</v>
      </c>
      <c r="T627">
        <v>2026</v>
      </c>
      <c r="U627">
        <v>1</v>
      </c>
      <c r="V627">
        <v>0</v>
      </c>
      <c r="W627" t="s">
        <v>47</v>
      </c>
      <c r="X627" t="s">
        <v>37</v>
      </c>
      <c r="Y627" t="s">
        <v>95</v>
      </c>
    </row>
    <row r="628" spans="1:25" x14ac:dyDescent="0.35">
      <c r="A628" t="s">
        <v>1383</v>
      </c>
      <c r="B628" t="s">
        <v>153</v>
      </c>
      <c r="C628" t="s">
        <v>154</v>
      </c>
      <c r="D628" t="s">
        <v>68</v>
      </c>
      <c r="E628">
        <v>8</v>
      </c>
      <c r="F628" t="s">
        <v>128</v>
      </c>
      <c r="G628">
        <v>195000</v>
      </c>
      <c r="H628">
        <v>95000</v>
      </c>
      <c r="I628">
        <v>180000</v>
      </c>
      <c r="J628" t="s">
        <v>47</v>
      </c>
      <c r="K628" t="s">
        <v>87</v>
      </c>
      <c r="L628" t="s">
        <v>53</v>
      </c>
      <c r="M628" t="s">
        <v>61</v>
      </c>
      <c r="N628" t="s">
        <v>34</v>
      </c>
      <c r="O628" t="s">
        <v>1384</v>
      </c>
      <c r="P628">
        <v>10.4</v>
      </c>
      <c r="Q628">
        <v>78</v>
      </c>
      <c r="R628">
        <v>19.5</v>
      </c>
      <c r="S628">
        <v>8.6999999999999993</v>
      </c>
      <c r="T628">
        <v>2026</v>
      </c>
      <c r="U628">
        <v>2</v>
      </c>
      <c r="V628">
        <v>1</v>
      </c>
      <c r="W628" t="s">
        <v>47</v>
      </c>
      <c r="X628" t="s">
        <v>64</v>
      </c>
      <c r="Y628" t="s">
        <v>48</v>
      </c>
    </row>
    <row r="629" spans="1:25" x14ac:dyDescent="0.35">
      <c r="A629" t="s">
        <v>1385</v>
      </c>
      <c r="B629" t="s">
        <v>185</v>
      </c>
      <c r="C629" t="s">
        <v>186</v>
      </c>
      <c r="D629" t="s">
        <v>68</v>
      </c>
      <c r="E629">
        <v>7</v>
      </c>
      <c r="F629" t="s">
        <v>69</v>
      </c>
      <c r="G629">
        <v>307000</v>
      </c>
      <c r="H629">
        <v>140000</v>
      </c>
      <c r="I629">
        <v>270000</v>
      </c>
      <c r="J629" t="s">
        <v>296</v>
      </c>
      <c r="K629" t="s">
        <v>31</v>
      </c>
      <c r="L629" t="s">
        <v>32</v>
      </c>
      <c r="M629" t="s">
        <v>82</v>
      </c>
      <c r="N629" t="s">
        <v>131</v>
      </c>
      <c r="O629" t="s">
        <v>1386</v>
      </c>
      <c r="P629">
        <v>17.5</v>
      </c>
      <c r="Q629">
        <v>85</v>
      </c>
      <c r="R629">
        <v>7.5</v>
      </c>
      <c r="S629">
        <v>9.5</v>
      </c>
      <c r="T629">
        <v>2026</v>
      </c>
      <c r="U629">
        <v>3</v>
      </c>
      <c r="V629">
        <v>1</v>
      </c>
      <c r="W629" t="s">
        <v>36</v>
      </c>
      <c r="X629" t="s">
        <v>64</v>
      </c>
      <c r="Y629" t="s">
        <v>56</v>
      </c>
    </row>
    <row r="630" spans="1:25" x14ac:dyDescent="0.35">
      <c r="A630" t="s">
        <v>1387</v>
      </c>
      <c r="B630" t="s">
        <v>100</v>
      </c>
      <c r="C630" t="s">
        <v>101</v>
      </c>
      <c r="D630" t="s">
        <v>28</v>
      </c>
      <c r="E630">
        <v>9</v>
      </c>
      <c r="F630" t="s">
        <v>128</v>
      </c>
      <c r="G630">
        <v>289000</v>
      </c>
      <c r="H630">
        <v>180000</v>
      </c>
      <c r="I630">
        <v>320000</v>
      </c>
      <c r="J630" t="s">
        <v>142</v>
      </c>
      <c r="K630" t="s">
        <v>143</v>
      </c>
      <c r="L630" t="s">
        <v>53</v>
      </c>
      <c r="M630" t="s">
        <v>82</v>
      </c>
      <c r="N630" t="s">
        <v>155</v>
      </c>
      <c r="O630" t="s">
        <v>1388</v>
      </c>
      <c r="P630">
        <v>13.5</v>
      </c>
      <c r="Q630">
        <v>84</v>
      </c>
      <c r="R630">
        <v>13</v>
      </c>
      <c r="S630">
        <v>7.5</v>
      </c>
      <c r="T630">
        <v>2025</v>
      </c>
      <c r="U630">
        <v>3</v>
      </c>
      <c r="V630">
        <v>1</v>
      </c>
      <c r="W630" t="s">
        <v>47</v>
      </c>
      <c r="X630" t="s">
        <v>64</v>
      </c>
      <c r="Y630" t="s">
        <v>38</v>
      </c>
    </row>
    <row r="631" spans="1:25" x14ac:dyDescent="0.35">
      <c r="A631" t="s">
        <v>1389</v>
      </c>
      <c r="B631" t="s">
        <v>179</v>
      </c>
      <c r="C631" t="s">
        <v>180</v>
      </c>
      <c r="D631" t="s">
        <v>28</v>
      </c>
      <c r="E631">
        <v>7</v>
      </c>
      <c r="F631" t="s">
        <v>51</v>
      </c>
      <c r="G631">
        <v>182000</v>
      </c>
      <c r="H631">
        <v>110000</v>
      </c>
      <c r="I631">
        <v>210000</v>
      </c>
      <c r="J631" t="s">
        <v>52</v>
      </c>
      <c r="K631" t="s">
        <v>31</v>
      </c>
      <c r="L631" t="s">
        <v>32</v>
      </c>
      <c r="M631" t="s">
        <v>82</v>
      </c>
      <c r="N631" t="s">
        <v>119</v>
      </c>
      <c r="O631" t="s">
        <v>1390</v>
      </c>
      <c r="P631">
        <v>11.8</v>
      </c>
      <c r="Q631">
        <v>72</v>
      </c>
      <c r="R631">
        <v>11.6</v>
      </c>
      <c r="S631">
        <v>8.6999999999999993</v>
      </c>
      <c r="T631">
        <v>2025</v>
      </c>
      <c r="U631">
        <v>8</v>
      </c>
      <c r="V631">
        <v>1</v>
      </c>
      <c r="W631" t="s">
        <v>36</v>
      </c>
      <c r="X631" t="s">
        <v>64</v>
      </c>
      <c r="Y631" t="s">
        <v>48</v>
      </c>
    </row>
    <row r="632" spans="1:25" x14ac:dyDescent="0.35">
      <c r="A632" t="s">
        <v>1391</v>
      </c>
      <c r="B632" t="s">
        <v>58</v>
      </c>
      <c r="C632" t="s">
        <v>59</v>
      </c>
      <c r="D632" t="s">
        <v>28</v>
      </c>
      <c r="E632">
        <v>6</v>
      </c>
      <c r="F632" t="s">
        <v>41</v>
      </c>
      <c r="G632">
        <v>158000</v>
      </c>
      <c r="H632">
        <v>130000</v>
      </c>
      <c r="I632">
        <v>220000</v>
      </c>
      <c r="J632" t="s">
        <v>75</v>
      </c>
      <c r="K632" t="s">
        <v>31</v>
      </c>
      <c r="L632" t="s">
        <v>32</v>
      </c>
      <c r="M632" t="s">
        <v>61</v>
      </c>
      <c r="N632" t="s">
        <v>71</v>
      </c>
      <c r="O632" t="s">
        <v>1392</v>
      </c>
      <c r="P632">
        <v>15.1</v>
      </c>
      <c r="Q632">
        <v>88</v>
      </c>
      <c r="R632">
        <v>27.9</v>
      </c>
      <c r="S632">
        <v>8.5</v>
      </c>
      <c r="T632">
        <v>2026</v>
      </c>
      <c r="U632">
        <v>1</v>
      </c>
      <c r="V632">
        <v>1</v>
      </c>
      <c r="W632" t="s">
        <v>36</v>
      </c>
      <c r="X632" t="s">
        <v>64</v>
      </c>
      <c r="Y632" t="s">
        <v>48</v>
      </c>
    </row>
    <row r="633" spans="1:25" x14ac:dyDescent="0.35">
      <c r="A633" t="s">
        <v>1393</v>
      </c>
      <c r="B633" t="s">
        <v>185</v>
      </c>
      <c r="C633" t="s">
        <v>186</v>
      </c>
      <c r="D633" t="s">
        <v>28</v>
      </c>
      <c r="E633">
        <v>6</v>
      </c>
      <c r="F633" t="s">
        <v>69</v>
      </c>
      <c r="G633">
        <v>208000</v>
      </c>
      <c r="H633">
        <v>140000</v>
      </c>
      <c r="I633">
        <v>270000</v>
      </c>
      <c r="J633" t="s">
        <v>113</v>
      </c>
      <c r="K633" t="s">
        <v>114</v>
      </c>
      <c r="L633" t="s">
        <v>32</v>
      </c>
      <c r="M633" t="s">
        <v>54</v>
      </c>
      <c r="N633" t="s">
        <v>62</v>
      </c>
      <c r="O633" t="s">
        <v>1394</v>
      </c>
      <c r="P633">
        <v>9.6</v>
      </c>
      <c r="Q633">
        <v>85</v>
      </c>
      <c r="R633">
        <v>29.8</v>
      </c>
      <c r="S633">
        <v>6.1</v>
      </c>
      <c r="T633">
        <v>2025</v>
      </c>
      <c r="U633">
        <v>12</v>
      </c>
      <c r="V633">
        <v>1</v>
      </c>
      <c r="W633" t="s">
        <v>36</v>
      </c>
      <c r="X633" t="s">
        <v>64</v>
      </c>
      <c r="Y633" t="s">
        <v>38</v>
      </c>
    </row>
    <row r="634" spans="1:25" x14ac:dyDescent="0.35">
      <c r="A634" t="s">
        <v>1395</v>
      </c>
      <c r="B634" t="s">
        <v>91</v>
      </c>
      <c r="C634" t="s">
        <v>27</v>
      </c>
      <c r="D634" t="s">
        <v>68</v>
      </c>
      <c r="E634">
        <v>7</v>
      </c>
      <c r="F634" t="s">
        <v>29</v>
      </c>
      <c r="G634">
        <v>227000</v>
      </c>
      <c r="H634">
        <v>145000</v>
      </c>
      <c r="I634">
        <v>290000</v>
      </c>
      <c r="J634" t="s">
        <v>42</v>
      </c>
      <c r="K634" t="s">
        <v>43</v>
      </c>
      <c r="L634" t="s">
        <v>32</v>
      </c>
      <c r="M634" t="s">
        <v>61</v>
      </c>
      <c r="N634" t="s">
        <v>165</v>
      </c>
      <c r="O634" t="s">
        <v>1396</v>
      </c>
      <c r="P634">
        <v>4.3</v>
      </c>
      <c r="Q634">
        <v>91</v>
      </c>
      <c r="R634">
        <v>52.9</v>
      </c>
      <c r="S634">
        <v>7.5</v>
      </c>
      <c r="T634">
        <v>2026</v>
      </c>
      <c r="U634">
        <v>2</v>
      </c>
      <c r="V634">
        <v>1</v>
      </c>
      <c r="W634" t="s">
        <v>36</v>
      </c>
      <c r="X634" t="s">
        <v>64</v>
      </c>
      <c r="Y634" t="s">
        <v>38</v>
      </c>
    </row>
    <row r="635" spans="1:25" x14ac:dyDescent="0.35">
      <c r="A635" t="s">
        <v>1397</v>
      </c>
      <c r="B635" t="s">
        <v>134</v>
      </c>
      <c r="C635" t="s">
        <v>27</v>
      </c>
      <c r="D635" t="s">
        <v>28</v>
      </c>
      <c r="E635">
        <v>3</v>
      </c>
      <c r="F635" t="s">
        <v>69</v>
      </c>
      <c r="G635">
        <v>174000</v>
      </c>
      <c r="H635">
        <v>150000</v>
      </c>
      <c r="I635">
        <v>295000</v>
      </c>
      <c r="J635" t="s">
        <v>142</v>
      </c>
      <c r="K635" t="s">
        <v>143</v>
      </c>
      <c r="L635" t="s">
        <v>32</v>
      </c>
      <c r="M635" t="s">
        <v>82</v>
      </c>
      <c r="N635" t="s">
        <v>165</v>
      </c>
      <c r="O635" t="s">
        <v>1398</v>
      </c>
      <c r="P635">
        <v>17.8</v>
      </c>
      <c r="Q635">
        <v>95</v>
      </c>
      <c r="R635">
        <v>72.2</v>
      </c>
      <c r="S635">
        <v>7.9</v>
      </c>
      <c r="T635">
        <v>2026</v>
      </c>
      <c r="U635">
        <v>2</v>
      </c>
      <c r="V635">
        <v>1</v>
      </c>
      <c r="W635" t="s">
        <v>36</v>
      </c>
      <c r="X635" t="s">
        <v>37</v>
      </c>
      <c r="Y635" t="s">
        <v>48</v>
      </c>
    </row>
    <row r="636" spans="1:25" x14ac:dyDescent="0.35">
      <c r="A636" t="s">
        <v>1399</v>
      </c>
      <c r="B636" t="s">
        <v>203</v>
      </c>
      <c r="C636" t="s">
        <v>169</v>
      </c>
      <c r="D636" t="s">
        <v>28</v>
      </c>
      <c r="E636">
        <v>3</v>
      </c>
      <c r="F636" t="s">
        <v>51</v>
      </c>
      <c r="G636">
        <v>138000</v>
      </c>
      <c r="H636">
        <v>138000</v>
      </c>
      <c r="I636">
        <v>195000</v>
      </c>
      <c r="J636" t="s">
        <v>108</v>
      </c>
      <c r="K636" t="s">
        <v>109</v>
      </c>
      <c r="L636" t="s">
        <v>44</v>
      </c>
      <c r="M636" t="s">
        <v>61</v>
      </c>
      <c r="N636" t="s">
        <v>62</v>
      </c>
      <c r="O636" t="s">
        <v>1400</v>
      </c>
      <c r="P636">
        <v>6.9</v>
      </c>
      <c r="Q636">
        <v>92</v>
      </c>
      <c r="R636">
        <v>19.2</v>
      </c>
      <c r="S636">
        <v>7.3</v>
      </c>
      <c r="T636">
        <v>2026</v>
      </c>
      <c r="U636">
        <v>1</v>
      </c>
      <c r="V636">
        <v>1</v>
      </c>
      <c r="W636" t="s">
        <v>47</v>
      </c>
      <c r="X636" t="s">
        <v>64</v>
      </c>
      <c r="Y636" t="s">
        <v>95</v>
      </c>
    </row>
    <row r="637" spans="1:25" x14ac:dyDescent="0.35">
      <c r="A637" t="s">
        <v>1401</v>
      </c>
      <c r="B637" t="s">
        <v>86</v>
      </c>
      <c r="C637" t="s">
        <v>27</v>
      </c>
      <c r="D637" t="s">
        <v>28</v>
      </c>
      <c r="E637">
        <v>5</v>
      </c>
      <c r="F637" t="s">
        <v>51</v>
      </c>
      <c r="G637">
        <v>180000</v>
      </c>
      <c r="H637">
        <v>180000</v>
      </c>
      <c r="I637">
        <v>312000</v>
      </c>
      <c r="J637" t="s">
        <v>60</v>
      </c>
      <c r="K637" t="s">
        <v>60</v>
      </c>
      <c r="L637" t="s">
        <v>53</v>
      </c>
      <c r="M637" t="s">
        <v>33</v>
      </c>
      <c r="N637" t="s">
        <v>165</v>
      </c>
      <c r="O637" t="s">
        <v>1402</v>
      </c>
      <c r="P637">
        <v>13.1</v>
      </c>
      <c r="Q637">
        <v>96</v>
      </c>
      <c r="R637">
        <v>44.7</v>
      </c>
      <c r="S637">
        <v>8.9</v>
      </c>
      <c r="T637">
        <v>2026</v>
      </c>
      <c r="U637">
        <v>3</v>
      </c>
      <c r="V637">
        <v>1</v>
      </c>
      <c r="W637" t="s">
        <v>47</v>
      </c>
      <c r="X637" t="s">
        <v>64</v>
      </c>
      <c r="Y637" t="s">
        <v>48</v>
      </c>
    </row>
    <row r="638" spans="1:25" x14ac:dyDescent="0.35">
      <c r="A638" t="s">
        <v>1403</v>
      </c>
      <c r="B638" t="s">
        <v>66</v>
      </c>
      <c r="C638" t="s">
        <v>67</v>
      </c>
      <c r="D638" t="s">
        <v>74</v>
      </c>
      <c r="E638">
        <v>10</v>
      </c>
      <c r="F638" t="s">
        <v>128</v>
      </c>
      <c r="G638">
        <v>300000</v>
      </c>
      <c r="H638">
        <v>140000</v>
      </c>
      <c r="I638">
        <v>260000</v>
      </c>
      <c r="J638" t="s">
        <v>174</v>
      </c>
      <c r="K638" t="s">
        <v>31</v>
      </c>
      <c r="L638" t="s">
        <v>53</v>
      </c>
      <c r="M638" t="s">
        <v>54</v>
      </c>
      <c r="N638" t="s">
        <v>71</v>
      </c>
      <c r="O638" t="s">
        <v>1404</v>
      </c>
      <c r="P638">
        <v>15.7</v>
      </c>
      <c r="Q638">
        <v>85</v>
      </c>
      <c r="R638">
        <v>29.7</v>
      </c>
      <c r="S638">
        <v>9.1999999999999993</v>
      </c>
      <c r="T638">
        <v>2025</v>
      </c>
      <c r="U638">
        <v>8</v>
      </c>
      <c r="V638">
        <v>0</v>
      </c>
      <c r="W638" t="s">
        <v>47</v>
      </c>
      <c r="X638" t="s">
        <v>64</v>
      </c>
      <c r="Y638" t="s">
        <v>38</v>
      </c>
    </row>
    <row r="639" spans="1:25" x14ac:dyDescent="0.35">
      <c r="A639" t="s">
        <v>1405</v>
      </c>
      <c r="B639" t="s">
        <v>134</v>
      </c>
      <c r="C639" t="s">
        <v>27</v>
      </c>
      <c r="D639" t="s">
        <v>74</v>
      </c>
      <c r="E639">
        <v>6</v>
      </c>
      <c r="F639" t="s">
        <v>41</v>
      </c>
      <c r="G639">
        <v>186000</v>
      </c>
      <c r="H639">
        <v>150000</v>
      </c>
      <c r="I639">
        <v>295000</v>
      </c>
      <c r="J639" t="s">
        <v>30</v>
      </c>
      <c r="K639" t="s">
        <v>31</v>
      </c>
      <c r="L639" t="s">
        <v>32</v>
      </c>
      <c r="M639" t="s">
        <v>82</v>
      </c>
      <c r="N639" t="s">
        <v>83</v>
      </c>
      <c r="O639" t="s">
        <v>1406</v>
      </c>
      <c r="P639">
        <v>12.3</v>
      </c>
      <c r="Q639">
        <v>95</v>
      </c>
      <c r="R639">
        <v>33.4</v>
      </c>
      <c r="S639">
        <v>6.3</v>
      </c>
      <c r="T639">
        <v>2025</v>
      </c>
      <c r="U639">
        <v>4</v>
      </c>
      <c r="V639">
        <v>0</v>
      </c>
      <c r="W639" t="s">
        <v>36</v>
      </c>
      <c r="X639" t="s">
        <v>37</v>
      </c>
      <c r="Y639" t="s">
        <v>48</v>
      </c>
    </row>
    <row r="640" spans="1:25" x14ac:dyDescent="0.35">
      <c r="A640" t="s">
        <v>1407</v>
      </c>
      <c r="B640" t="s">
        <v>91</v>
      </c>
      <c r="C640" t="s">
        <v>27</v>
      </c>
      <c r="D640" t="s">
        <v>28</v>
      </c>
      <c r="E640">
        <v>7</v>
      </c>
      <c r="F640" t="s">
        <v>69</v>
      </c>
      <c r="G640">
        <v>180000</v>
      </c>
      <c r="H640">
        <v>145000</v>
      </c>
      <c r="I640">
        <v>290000</v>
      </c>
      <c r="J640" t="s">
        <v>60</v>
      </c>
      <c r="K640" t="s">
        <v>60</v>
      </c>
      <c r="L640" t="s">
        <v>53</v>
      </c>
      <c r="M640" t="s">
        <v>33</v>
      </c>
      <c r="N640" t="s">
        <v>62</v>
      </c>
      <c r="O640" t="s">
        <v>1408</v>
      </c>
      <c r="P640">
        <v>6.7</v>
      </c>
      <c r="Q640">
        <v>91</v>
      </c>
      <c r="R640">
        <v>15.3</v>
      </c>
      <c r="S640">
        <v>7.5</v>
      </c>
      <c r="T640">
        <v>2025</v>
      </c>
      <c r="U640">
        <v>10</v>
      </c>
      <c r="V640">
        <v>1</v>
      </c>
      <c r="W640" t="s">
        <v>47</v>
      </c>
      <c r="X640" t="s">
        <v>64</v>
      </c>
      <c r="Y640" t="s">
        <v>48</v>
      </c>
    </row>
    <row r="641" spans="1:25" x14ac:dyDescent="0.35">
      <c r="A641" t="s">
        <v>1409</v>
      </c>
      <c r="B641" t="s">
        <v>153</v>
      </c>
      <c r="C641" t="s">
        <v>154</v>
      </c>
      <c r="D641" t="s">
        <v>81</v>
      </c>
      <c r="E641">
        <v>5</v>
      </c>
      <c r="F641" t="s">
        <v>29</v>
      </c>
      <c r="G641">
        <v>104000</v>
      </c>
      <c r="H641">
        <v>95000</v>
      </c>
      <c r="I641">
        <v>180000</v>
      </c>
      <c r="J641" t="s">
        <v>60</v>
      </c>
      <c r="K641" t="s">
        <v>60</v>
      </c>
      <c r="L641" t="s">
        <v>44</v>
      </c>
      <c r="M641" t="s">
        <v>33</v>
      </c>
      <c r="N641" t="s">
        <v>165</v>
      </c>
      <c r="O641" t="s">
        <v>1410</v>
      </c>
      <c r="P641">
        <v>9.8000000000000007</v>
      </c>
      <c r="Q641">
        <v>78</v>
      </c>
      <c r="R641">
        <v>16</v>
      </c>
      <c r="S641">
        <v>9.1999999999999993</v>
      </c>
      <c r="T641">
        <v>2026</v>
      </c>
      <c r="U641">
        <v>3</v>
      </c>
      <c r="V641">
        <v>0</v>
      </c>
      <c r="W641" t="s">
        <v>47</v>
      </c>
      <c r="X641" t="s">
        <v>64</v>
      </c>
      <c r="Y641" t="s">
        <v>95</v>
      </c>
    </row>
    <row r="642" spans="1:25" x14ac:dyDescent="0.35">
      <c r="A642" t="s">
        <v>1411</v>
      </c>
      <c r="B642" t="s">
        <v>168</v>
      </c>
      <c r="C642" t="s">
        <v>169</v>
      </c>
      <c r="D642" t="s">
        <v>74</v>
      </c>
      <c r="E642">
        <v>6</v>
      </c>
      <c r="F642" t="s">
        <v>51</v>
      </c>
      <c r="G642">
        <v>157000</v>
      </c>
      <c r="H642">
        <v>157000</v>
      </c>
      <c r="I642">
        <v>218000</v>
      </c>
      <c r="J642" t="s">
        <v>170</v>
      </c>
      <c r="K642" t="s">
        <v>171</v>
      </c>
      <c r="L642" t="s">
        <v>32</v>
      </c>
      <c r="M642" t="s">
        <v>33</v>
      </c>
      <c r="N642" t="s">
        <v>88</v>
      </c>
      <c r="O642" t="s">
        <v>1412</v>
      </c>
      <c r="P642">
        <v>4.0999999999999996</v>
      </c>
      <c r="Q642">
        <v>90</v>
      </c>
      <c r="R642">
        <v>20.3</v>
      </c>
      <c r="S642">
        <v>7.3</v>
      </c>
      <c r="T642">
        <v>2026</v>
      </c>
      <c r="U642">
        <v>3</v>
      </c>
      <c r="V642">
        <v>0</v>
      </c>
      <c r="W642" t="s">
        <v>36</v>
      </c>
      <c r="X642" t="s">
        <v>64</v>
      </c>
      <c r="Y642" t="s">
        <v>48</v>
      </c>
    </row>
    <row r="643" spans="1:25" x14ac:dyDescent="0.35">
      <c r="A643" t="s">
        <v>1413</v>
      </c>
      <c r="B643" t="s">
        <v>163</v>
      </c>
      <c r="C643" t="s">
        <v>164</v>
      </c>
      <c r="D643" t="s">
        <v>74</v>
      </c>
      <c r="E643">
        <v>6</v>
      </c>
      <c r="F643" t="s">
        <v>51</v>
      </c>
      <c r="G643">
        <v>125000</v>
      </c>
      <c r="H643">
        <v>125000</v>
      </c>
      <c r="I643">
        <v>240000</v>
      </c>
      <c r="J643" t="s">
        <v>137</v>
      </c>
      <c r="K643" t="s">
        <v>138</v>
      </c>
      <c r="L643" t="s">
        <v>53</v>
      </c>
      <c r="M643" t="s">
        <v>45</v>
      </c>
      <c r="N643" t="s">
        <v>62</v>
      </c>
      <c r="O643" t="s">
        <v>1414</v>
      </c>
      <c r="P643">
        <v>17.2</v>
      </c>
      <c r="Q643">
        <v>76</v>
      </c>
      <c r="R643">
        <v>25.3</v>
      </c>
      <c r="S643">
        <v>9.5</v>
      </c>
      <c r="T643">
        <v>2026</v>
      </c>
      <c r="U643">
        <v>3</v>
      </c>
      <c r="V643">
        <v>0</v>
      </c>
      <c r="W643" t="s">
        <v>47</v>
      </c>
      <c r="X643" t="s">
        <v>64</v>
      </c>
      <c r="Y643" t="s">
        <v>95</v>
      </c>
    </row>
    <row r="644" spans="1:25" x14ac:dyDescent="0.35">
      <c r="A644" t="s">
        <v>1415</v>
      </c>
      <c r="B644" t="s">
        <v>203</v>
      </c>
      <c r="C644" t="s">
        <v>169</v>
      </c>
      <c r="D644" t="s">
        <v>28</v>
      </c>
      <c r="E644">
        <v>7</v>
      </c>
      <c r="F644" t="s">
        <v>51</v>
      </c>
      <c r="G644">
        <v>138000</v>
      </c>
      <c r="H644">
        <v>138000</v>
      </c>
      <c r="I644">
        <v>195000</v>
      </c>
      <c r="J644" t="s">
        <v>117</v>
      </c>
      <c r="K644" t="s">
        <v>118</v>
      </c>
      <c r="L644" t="s">
        <v>44</v>
      </c>
      <c r="M644" t="s">
        <v>33</v>
      </c>
      <c r="N644" t="s">
        <v>119</v>
      </c>
      <c r="O644" t="s">
        <v>1416</v>
      </c>
      <c r="P644">
        <v>6</v>
      </c>
      <c r="Q644">
        <v>92</v>
      </c>
      <c r="R644">
        <v>21</v>
      </c>
      <c r="S644">
        <v>6.1</v>
      </c>
      <c r="T644">
        <v>2025</v>
      </c>
      <c r="U644">
        <v>9</v>
      </c>
      <c r="V644">
        <v>1</v>
      </c>
      <c r="W644" t="s">
        <v>47</v>
      </c>
      <c r="X644" t="s">
        <v>64</v>
      </c>
      <c r="Y644" t="s">
        <v>95</v>
      </c>
    </row>
    <row r="645" spans="1:25" x14ac:dyDescent="0.35">
      <c r="A645" t="s">
        <v>1417</v>
      </c>
      <c r="B645" t="s">
        <v>179</v>
      </c>
      <c r="C645" t="s">
        <v>180</v>
      </c>
      <c r="D645" t="s">
        <v>28</v>
      </c>
      <c r="E645">
        <v>8</v>
      </c>
      <c r="F645" t="s">
        <v>69</v>
      </c>
      <c r="G645">
        <v>110000</v>
      </c>
      <c r="H645">
        <v>110000</v>
      </c>
      <c r="I645">
        <v>210000</v>
      </c>
      <c r="J645" t="s">
        <v>108</v>
      </c>
      <c r="K645" t="s">
        <v>109</v>
      </c>
      <c r="L645" t="s">
        <v>44</v>
      </c>
      <c r="M645" t="s">
        <v>45</v>
      </c>
      <c r="N645" t="s">
        <v>119</v>
      </c>
      <c r="O645" t="s">
        <v>1418</v>
      </c>
      <c r="P645">
        <v>8.5</v>
      </c>
      <c r="Q645">
        <v>72</v>
      </c>
      <c r="R645">
        <v>5.7</v>
      </c>
      <c r="S645">
        <v>9.6999999999999993</v>
      </c>
      <c r="T645">
        <v>2025</v>
      </c>
      <c r="U645">
        <v>6</v>
      </c>
      <c r="V645">
        <v>1</v>
      </c>
      <c r="W645" t="s">
        <v>47</v>
      </c>
      <c r="X645" t="s">
        <v>64</v>
      </c>
      <c r="Y645" t="s">
        <v>95</v>
      </c>
    </row>
    <row r="646" spans="1:25" x14ac:dyDescent="0.35">
      <c r="A646" t="s">
        <v>1419</v>
      </c>
      <c r="B646" t="s">
        <v>163</v>
      </c>
      <c r="C646" t="s">
        <v>164</v>
      </c>
      <c r="D646" t="s">
        <v>81</v>
      </c>
      <c r="E646">
        <v>3</v>
      </c>
      <c r="F646" t="s">
        <v>51</v>
      </c>
      <c r="G646">
        <v>177000</v>
      </c>
      <c r="H646">
        <v>125000</v>
      </c>
      <c r="I646">
        <v>240000</v>
      </c>
      <c r="J646" t="s">
        <v>296</v>
      </c>
      <c r="K646" t="s">
        <v>31</v>
      </c>
      <c r="L646" t="s">
        <v>32</v>
      </c>
      <c r="M646" t="s">
        <v>45</v>
      </c>
      <c r="N646" t="s">
        <v>88</v>
      </c>
      <c r="O646" t="s">
        <v>1420</v>
      </c>
      <c r="P646">
        <v>14.4</v>
      </c>
      <c r="Q646">
        <v>76</v>
      </c>
      <c r="R646">
        <v>5.4</v>
      </c>
      <c r="S646">
        <v>9.5</v>
      </c>
      <c r="T646">
        <v>2025</v>
      </c>
      <c r="U646">
        <v>12</v>
      </c>
      <c r="V646">
        <v>0</v>
      </c>
      <c r="W646" t="s">
        <v>36</v>
      </c>
      <c r="X646" t="s">
        <v>64</v>
      </c>
      <c r="Y646" t="s">
        <v>48</v>
      </c>
    </row>
    <row r="647" spans="1:25" x14ac:dyDescent="0.35">
      <c r="A647" t="s">
        <v>1421</v>
      </c>
      <c r="B647" t="s">
        <v>203</v>
      </c>
      <c r="C647" t="s">
        <v>169</v>
      </c>
      <c r="D647" t="s">
        <v>81</v>
      </c>
      <c r="E647">
        <v>5</v>
      </c>
      <c r="F647" t="s">
        <v>128</v>
      </c>
      <c r="G647">
        <v>138000</v>
      </c>
      <c r="H647">
        <v>138000</v>
      </c>
      <c r="I647">
        <v>195000</v>
      </c>
      <c r="J647" t="s">
        <v>129</v>
      </c>
      <c r="K647" t="s">
        <v>130</v>
      </c>
      <c r="L647" t="s">
        <v>44</v>
      </c>
      <c r="M647" t="s">
        <v>33</v>
      </c>
      <c r="N647" t="s">
        <v>71</v>
      </c>
      <c r="O647" t="s">
        <v>1422</v>
      </c>
      <c r="P647">
        <v>4.8</v>
      </c>
      <c r="Q647">
        <v>92</v>
      </c>
      <c r="R647">
        <v>82.3</v>
      </c>
      <c r="S647">
        <v>8.6</v>
      </c>
      <c r="T647">
        <v>2026</v>
      </c>
      <c r="U647">
        <v>3</v>
      </c>
      <c r="V647">
        <v>0</v>
      </c>
      <c r="W647" t="s">
        <v>47</v>
      </c>
      <c r="X647" t="s">
        <v>64</v>
      </c>
      <c r="Y647" t="s">
        <v>95</v>
      </c>
    </row>
    <row r="648" spans="1:25" x14ac:dyDescent="0.35">
      <c r="A648" t="s">
        <v>1423</v>
      </c>
      <c r="B648" t="s">
        <v>149</v>
      </c>
      <c r="C648" t="s">
        <v>150</v>
      </c>
      <c r="D648" t="s">
        <v>68</v>
      </c>
      <c r="E648">
        <v>6</v>
      </c>
      <c r="F648" t="s">
        <v>41</v>
      </c>
      <c r="G648">
        <v>284000</v>
      </c>
      <c r="H648">
        <v>130000</v>
      </c>
      <c r="I648">
        <v>260000</v>
      </c>
      <c r="J648" t="s">
        <v>70</v>
      </c>
      <c r="K648" t="s">
        <v>31</v>
      </c>
      <c r="L648" t="s">
        <v>44</v>
      </c>
      <c r="M648" t="s">
        <v>82</v>
      </c>
      <c r="N648" t="s">
        <v>131</v>
      </c>
      <c r="O648" t="s">
        <v>1424</v>
      </c>
      <c r="P648">
        <v>10.199999999999999</v>
      </c>
      <c r="Q648">
        <v>93</v>
      </c>
      <c r="R648">
        <v>61.5</v>
      </c>
      <c r="S648">
        <v>6.4</v>
      </c>
      <c r="T648">
        <v>2026</v>
      </c>
      <c r="U648">
        <v>2</v>
      </c>
      <c r="V648">
        <v>1</v>
      </c>
      <c r="W648" t="s">
        <v>47</v>
      </c>
      <c r="X648" t="s">
        <v>64</v>
      </c>
      <c r="Y648" t="s">
        <v>38</v>
      </c>
    </row>
    <row r="649" spans="1:25" x14ac:dyDescent="0.35">
      <c r="A649" t="s">
        <v>1425</v>
      </c>
      <c r="B649" t="s">
        <v>86</v>
      </c>
      <c r="C649" t="s">
        <v>27</v>
      </c>
      <c r="D649" t="s">
        <v>28</v>
      </c>
      <c r="E649">
        <v>9</v>
      </c>
      <c r="F649" t="s">
        <v>29</v>
      </c>
      <c r="G649">
        <v>374400</v>
      </c>
      <c r="H649">
        <v>180000</v>
      </c>
      <c r="I649">
        <v>312000</v>
      </c>
      <c r="J649" t="s">
        <v>75</v>
      </c>
      <c r="K649" t="s">
        <v>31</v>
      </c>
      <c r="L649" t="s">
        <v>53</v>
      </c>
      <c r="M649" t="s">
        <v>54</v>
      </c>
      <c r="N649" t="s">
        <v>71</v>
      </c>
      <c r="O649" t="s">
        <v>1426</v>
      </c>
      <c r="P649">
        <v>13.5</v>
      </c>
      <c r="Q649">
        <v>96</v>
      </c>
      <c r="R649">
        <v>51.4</v>
      </c>
      <c r="S649">
        <v>6.5</v>
      </c>
      <c r="T649">
        <v>2026</v>
      </c>
      <c r="U649">
        <v>2</v>
      </c>
      <c r="V649">
        <v>1</v>
      </c>
      <c r="W649" t="s">
        <v>47</v>
      </c>
      <c r="X649" t="s">
        <v>64</v>
      </c>
      <c r="Y649" t="s">
        <v>56</v>
      </c>
    </row>
    <row r="650" spans="1:25" x14ac:dyDescent="0.35">
      <c r="A650" t="s">
        <v>1427</v>
      </c>
      <c r="B650" t="s">
        <v>179</v>
      </c>
      <c r="C650" t="s">
        <v>180</v>
      </c>
      <c r="D650" t="s">
        <v>81</v>
      </c>
      <c r="E650">
        <v>6</v>
      </c>
      <c r="F650" t="s">
        <v>41</v>
      </c>
      <c r="G650">
        <v>141000</v>
      </c>
      <c r="H650">
        <v>110000</v>
      </c>
      <c r="I650">
        <v>210000</v>
      </c>
      <c r="J650" t="s">
        <v>30</v>
      </c>
      <c r="K650" t="s">
        <v>31</v>
      </c>
      <c r="L650" t="s">
        <v>44</v>
      </c>
      <c r="M650" t="s">
        <v>33</v>
      </c>
      <c r="N650" t="s">
        <v>88</v>
      </c>
      <c r="O650" t="s">
        <v>1428</v>
      </c>
      <c r="P650">
        <v>8.4</v>
      </c>
      <c r="Q650">
        <v>72</v>
      </c>
      <c r="R650">
        <v>28.3</v>
      </c>
      <c r="S650">
        <v>8.9</v>
      </c>
      <c r="T650">
        <v>2025</v>
      </c>
      <c r="U650">
        <v>4</v>
      </c>
      <c r="V650">
        <v>0</v>
      </c>
      <c r="W650" t="s">
        <v>47</v>
      </c>
      <c r="X650" t="s">
        <v>64</v>
      </c>
      <c r="Y650" t="s">
        <v>95</v>
      </c>
    </row>
    <row r="651" spans="1:25" x14ac:dyDescent="0.35">
      <c r="A651" t="s">
        <v>1429</v>
      </c>
      <c r="B651" t="s">
        <v>134</v>
      </c>
      <c r="C651" t="s">
        <v>27</v>
      </c>
      <c r="D651" t="s">
        <v>74</v>
      </c>
      <c r="E651">
        <v>4</v>
      </c>
      <c r="F651" t="s">
        <v>29</v>
      </c>
      <c r="G651">
        <v>150000</v>
      </c>
      <c r="H651">
        <v>150000</v>
      </c>
      <c r="I651">
        <v>295000</v>
      </c>
      <c r="J651" t="s">
        <v>113</v>
      </c>
      <c r="K651" t="s">
        <v>114</v>
      </c>
      <c r="L651" t="s">
        <v>32</v>
      </c>
      <c r="M651" t="s">
        <v>33</v>
      </c>
      <c r="N651" t="s">
        <v>76</v>
      </c>
      <c r="O651" t="s">
        <v>1430</v>
      </c>
      <c r="P651">
        <v>10.9</v>
      </c>
      <c r="Q651">
        <v>95</v>
      </c>
      <c r="R651">
        <v>19.600000000000001</v>
      </c>
      <c r="S651">
        <v>6.7</v>
      </c>
      <c r="T651">
        <v>2025</v>
      </c>
      <c r="U651">
        <v>11</v>
      </c>
      <c r="V651">
        <v>0</v>
      </c>
      <c r="W651" t="s">
        <v>36</v>
      </c>
      <c r="X651" t="s">
        <v>37</v>
      </c>
      <c r="Y651" t="s">
        <v>95</v>
      </c>
    </row>
    <row r="652" spans="1:25" x14ac:dyDescent="0.35">
      <c r="A652" t="s">
        <v>1431</v>
      </c>
      <c r="B652" t="s">
        <v>134</v>
      </c>
      <c r="C652" t="s">
        <v>27</v>
      </c>
      <c r="D652" t="s">
        <v>68</v>
      </c>
      <c r="E652">
        <v>6</v>
      </c>
      <c r="F652" t="s">
        <v>41</v>
      </c>
      <c r="G652">
        <v>267000</v>
      </c>
      <c r="H652">
        <v>150000</v>
      </c>
      <c r="I652">
        <v>295000</v>
      </c>
      <c r="J652" t="s">
        <v>170</v>
      </c>
      <c r="K652" t="s">
        <v>171</v>
      </c>
      <c r="L652" t="s">
        <v>32</v>
      </c>
      <c r="M652" t="s">
        <v>33</v>
      </c>
      <c r="N652" t="s">
        <v>119</v>
      </c>
      <c r="O652" t="s">
        <v>1432</v>
      </c>
      <c r="P652">
        <v>13.2</v>
      </c>
      <c r="Q652">
        <v>95</v>
      </c>
      <c r="R652">
        <v>16.3</v>
      </c>
      <c r="S652">
        <v>8.6999999999999993</v>
      </c>
      <c r="T652">
        <v>2026</v>
      </c>
      <c r="U652">
        <v>2</v>
      </c>
      <c r="V652">
        <v>1</v>
      </c>
      <c r="W652" t="s">
        <v>36</v>
      </c>
      <c r="X652" t="s">
        <v>37</v>
      </c>
      <c r="Y652" t="s">
        <v>38</v>
      </c>
    </row>
    <row r="653" spans="1:25" x14ac:dyDescent="0.35">
      <c r="A653" t="s">
        <v>1433</v>
      </c>
      <c r="B653" t="s">
        <v>58</v>
      </c>
      <c r="C653" t="s">
        <v>59</v>
      </c>
      <c r="D653" t="s">
        <v>74</v>
      </c>
      <c r="E653">
        <v>2</v>
      </c>
      <c r="F653" t="s">
        <v>29</v>
      </c>
      <c r="G653">
        <v>130000</v>
      </c>
      <c r="H653">
        <v>130000</v>
      </c>
      <c r="I653">
        <v>220000</v>
      </c>
      <c r="J653" t="s">
        <v>296</v>
      </c>
      <c r="K653" t="s">
        <v>31</v>
      </c>
      <c r="L653" t="s">
        <v>44</v>
      </c>
      <c r="M653" t="s">
        <v>61</v>
      </c>
      <c r="N653" t="s">
        <v>165</v>
      </c>
      <c r="O653" t="s">
        <v>1434</v>
      </c>
      <c r="P653">
        <v>10.8</v>
      </c>
      <c r="Q653">
        <v>88</v>
      </c>
      <c r="R653">
        <v>20.399999999999999</v>
      </c>
      <c r="S653">
        <v>7.7</v>
      </c>
      <c r="T653">
        <v>2026</v>
      </c>
      <c r="U653">
        <v>3</v>
      </c>
      <c r="V653">
        <v>0</v>
      </c>
      <c r="W653" t="s">
        <v>47</v>
      </c>
      <c r="X653" t="s">
        <v>64</v>
      </c>
      <c r="Y653" t="s">
        <v>95</v>
      </c>
    </row>
    <row r="654" spans="1:25" x14ac:dyDescent="0.35">
      <c r="A654" t="s">
        <v>1435</v>
      </c>
      <c r="B654" t="s">
        <v>179</v>
      </c>
      <c r="C654" t="s">
        <v>180</v>
      </c>
      <c r="D654" t="s">
        <v>28</v>
      </c>
      <c r="E654">
        <v>6</v>
      </c>
      <c r="F654" t="s">
        <v>69</v>
      </c>
      <c r="G654">
        <v>110000</v>
      </c>
      <c r="H654">
        <v>110000</v>
      </c>
      <c r="I654">
        <v>210000</v>
      </c>
      <c r="J654" t="s">
        <v>108</v>
      </c>
      <c r="K654" t="s">
        <v>109</v>
      </c>
      <c r="L654" t="s">
        <v>53</v>
      </c>
      <c r="M654" t="s">
        <v>82</v>
      </c>
      <c r="N654" t="s">
        <v>110</v>
      </c>
      <c r="O654" t="s">
        <v>1436</v>
      </c>
      <c r="P654">
        <v>11.7</v>
      </c>
      <c r="Q654">
        <v>72</v>
      </c>
      <c r="R654">
        <v>5.5</v>
      </c>
      <c r="S654">
        <v>9.1</v>
      </c>
      <c r="T654">
        <v>2025</v>
      </c>
      <c r="U654">
        <v>8</v>
      </c>
      <c r="V654">
        <v>1</v>
      </c>
      <c r="W654" t="s">
        <v>47</v>
      </c>
      <c r="X654" t="s">
        <v>64</v>
      </c>
      <c r="Y654" t="s">
        <v>95</v>
      </c>
    </row>
    <row r="655" spans="1:25" x14ac:dyDescent="0.35">
      <c r="A655" t="s">
        <v>1437</v>
      </c>
      <c r="B655" t="s">
        <v>40</v>
      </c>
      <c r="C655" t="s">
        <v>27</v>
      </c>
      <c r="D655" t="s">
        <v>68</v>
      </c>
      <c r="E655">
        <v>3</v>
      </c>
      <c r="F655" t="s">
        <v>29</v>
      </c>
      <c r="G655">
        <v>175000</v>
      </c>
      <c r="H655">
        <v>90000</v>
      </c>
      <c r="I655">
        <v>200000</v>
      </c>
      <c r="J655" t="s">
        <v>102</v>
      </c>
      <c r="K655" t="s">
        <v>103</v>
      </c>
      <c r="L655" t="s">
        <v>44</v>
      </c>
      <c r="M655" t="s">
        <v>61</v>
      </c>
      <c r="N655" t="s">
        <v>88</v>
      </c>
      <c r="O655" t="s">
        <v>1438</v>
      </c>
      <c r="P655">
        <v>5.3</v>
      </c>
      <c r="Q655">
        <v>82</v>
      </c>
      <c r="R655">
        <v>15</v>
      </c>
      <c r="S655">
        <v>8.6999999999999993</v>
      </c>
      <c r="T655">
        <v>2025</v>
      </c>
      <c r="U655">
        <v>4</v>
      </c>
      <c r="V655">
        <v>1</v>
      </c>
      <c r="W655" t="s">
        <v>47</v>
      </c>
      <c r="X655" t="s">
        <v>37</v>
      </c>
      <c r="Y655" t="s">
        <v>48</v>
      </c>
    </row>
    <row r="656" spans="1:25" x14ac:dyDescent="0.35">
      <c r="A656" t="s">
        <v>1439</v>
      </c>
      <c r="B656" t="s">
        <v>185</v>
      </c>
      <c r="C656" t="s">
        <v>186</v>
      </c>
      <c r="D656" t="s">
        <v>81</v>
      </c>
      <c r="E656">
        <v>6</v>
      </c>
      <c r="F656" t="s">
        <v>51</v>
      </c>
      <c r="G656">
        <v>226000</v>
      </c>
      <c r="H656">
        <v>140000</v>
      </c>
      <c r="I656">
        <v>270000</v>
      </c>
      <c r="J656" t="s">
        <v>70</v>
      </c>
      <c r="K656" t="s">
        <v>31</v>
      </c>
      <c r="L656" t="s">
        <v>44</v>
      </c>
      <c r="M656" t="s">
        <v>54</v>
      </c>
      <c r="N656" t="s">
        <v>119</v>
      </c>
      <c r="O656" t="s">
        <v>1440</v>
      </c>
      <c r="P656">
        <v>17</v>
      </c>
      <c r="Q656">
        <v>85</v>
      </c>
      <c r="R656">
        <v>28.9</v>
      </c>
      <c r="S656">
        <v>9.3000000000000007</v>
      </c>
      <c r="T656">
        <v>2026</v>
      </c>
      <c r="U656">
        <v>1</v>
      </c>
      <c r="V656">
        <v>0</v>
      </c>
      <c r="W656" t="s">
        <v>47</v>
      </c>
      <c r="X656" t="s">
        <v>64</v>
      </c>
      <c r="Y656" t="s">
        <v>38</v>
      </c>
    </row>
    <row r="657" spans="1:25" x14ac:dyDescent="0.35">
      <c r="A657" t="s">
        <v>1441</v>
      </c>
      <c r="B657" t="s">
        <v>141</v>
      </c>
      <c r="C657" t="s">
        <v>27</v>
      </c>
      <c r="D657" t="s">
        <v>81</v>
      </c>
      <c r="E657">
        <v>9</v>
      </c>
      <c r="F657" t="s">
        <v>69</v>
      </c>
      <c r="G657">
        <v>201000</v>
      </c>
      <c r="H657">
        <v>141000</v>
      </c>
      <c r="I657">
        <v>270000</v>
      </c>
      <c r="J657" t="s">
        <v>113</v>
      </c>
      <c r="K657" t="s">
        <v>114</v>
      </c>
      <c r="L657" t="s">
        <v>44</v>
      </c>
      <c r="M657" t="s">
        <v>54</v>
      </c>
      <c r="N657" t="s">
        <v>119</v>
      </c>
      <c r="O657" t="s">
        <v>1442</v>
      </c>
      <c r="P657">
        <v>8.5</v>
      </c>
      <c r="Q657">
        <v>89</v>
      </c>
      <c r="R657">
        <v>9.9</v>
      </c>
      <c r="S657">
        <v>7.6</v>
      </c>
      <c r="T657">
        <v>2026</v>
      </c>
      <c r="U657">
        <v>3</v>
      </c>
      <c r="V657">
        <v>0</v>
      </c>
      <c r="W657" t="s">
        <v>47</v>
      </c>
      <c r="X657" t="s">
        <v>64</v>
      </c>
      <c r="Y657" t="s">
        <v>38</v>
      </c>
    </row>
    <row r="658" spans="1:25" x14ac:dyDescent="0.35">
      <c r="A658" t="s">
        <v>1443</v>
      </c>
      <c r="B658" t="s">
        <v>168</v>
      </c>
      <c r="C658" t="s">
        <v>169</v>
      </c>
      <c r="D658" t="s">
        <v>74</v>
      </c>
      <c r="E658">
        <v>6</v>
      </c>
      <c r="F658" t="s">
        <v>41</v>
      </c>
      <c r="G658">
        <v>157000</v>
      </c>
      <c r="H658">
        <v>157000</v>
      </c>
      <c r="I658">
        <v>218000</v>
      </c>
      <c r="J658" t="s">
        <v>47</v>
      </c>
      <c r="K658" t="s">
        <v>87</v>
      </c>
      <c r="L658" t="s">
        <v>32</v>
      </c>
      <c r="M658" t="s">
        <v>82</v>
      </c>
      <c r="N658" t="s">
        <v>83</v>
      </c>
      <c r="O658" t="s">
        <v>1444</v>
      </c>
      <c r="P658">
        <v>4.0999999999999996</v>
      </c>
      <c r="Q658">
        <v>90</v>
      </c>
      <c r="R658">
        <v>10.3</v>
      </c>
      <c r="S658">
        <v>9.1999999999999993</v>
      </c>
      <c r="T658">
        <v>2025</v>
      </c>
      <c r="U658">
        <v>6</v>
      </c>
      <c r="V658">
        <v>0</v>
      </c>
      <c r="W658" t="s">
        <v>36</v>
      </c>
      <c r="X658" t="s">
        <v>64</v>
      </c>
      <c r="Y658" t="s">
        <v>48</v>
      </c>
    </row>
    <row r="659" spans="1:25" x14ac:dyDescent="0.35">
      <c r="A659" t="s">
        <v>1445</v>
      </c>
      <c r="B659" t="s">
        <v>153</v>
      </c>
      <c r="C659" t="s">
        <v>154</v>
      </c>
      <c r="D659" t="s">
        <v>28</v>
      </c>
      <c r="E659">
        <v>2</v>
      </c>
      <c r="F659" t="s">
        <v>29</v>
      </c>
      <c r="G659">
        <v>166000</v>
      </c>
      <c r="H659">
        <v>95000</v>
      </c>
      <c r="I659">
        <v>180000</v>
      </c>
      <c r="J659" t="s">
        <v>170</v>
      </c>
      <c r="K659" t="s">
        <v>171</v>
      </c>
      <c r="L659" t="s">
        <v>44</v>
      </c>
      <c r="M659" t="s">
        <v>45</v>
      </c>
      <c r="N659" t="s">
        <v>155</v>
      </c>
      <c r="O659" t="s">
        <v>1446</v>
      </c>
      <c r="P659">
        <v>12.7</v>
      </c>
      <c r="Q659">
        <v>78</v>
      </c>
      <c r="R659">
        <v>29.6</v>
      </c>
      <c r="S659">
        <v>8.6</v>
      </c>
      <c r="T659">
        <v>2026</v>
      </c>
      <c r="U659">
        <v>1</v>
      </c>
      <c r="V659">
        <v>1</v>
      </c>
      <c r="W659" t="s">
        <v>47</v>
      </c>
      <c r="X659" t="s">
        <v>64</v>
      </c>
      <c r="Y659" t="s">
        <v>48</v>
      </c>
    </row>
    <row r="660" spans="1:25" x14ac:dyDescent="0.35">
      <c r="A660" t="s">
        <v>1447</v>
      </c>
      <c r="B660" t="s">
        <v>146</v>
      </c>
      <c r="C660" t="s">
        <v>27</v>
      </c>
      <c r="D660" t="s">
        <v>74</v>
      </c>
      <c r="E660">
        <v>6</v>
      </c>
      <c r="F660" t="s">
        <v>41</v>
      </c>
      <c r="G660">
        <v>168000</v>
      </c>
      <c r="H660">
        <v>160000</v>
      </c>
      <c r="I660">
        <v>300000</v>
      </c>
      <c r="J660" t="s">
        <v>191</v>
      </c>
      <c r="K660" t="s">
        <v>31</v>
      </c>
      <c r="L660" t="s">
        <v>53</v>
      </c>
      <c r="M660" t="s">
        <v>45</v>
      </c>
      <c r="N660" t="s">
        <v>88</v>
      </c>
      <c r="O660" t="s">
        <v>1448</v>
      </c>
      <c r="P660">
        <v>17.7</v>
      </c>
      <c r="Q660">
        <v>90</v>
      </c>
      <c r="R660">
        <v>28.7</v>
      </c>
      <c r="S660">
        <v>8.1999999999999993</v>
      </c>
      <c r="T660">
        <v>2026</v>
      </c>
      <c r="U660">
        <v>1</v>
      </c>
      <c r="V660">
        <v>0</v>
      </c>
      <c r="W660" t="s">
        <v>47</v>
      </c>
      <c r="X660" t="s">
        <v>64</v>
      </c>
      <c r="Y660" t="s">
        <v>48</v>
      </c>
    </row>
    <row r="661" spans="1:25" x14ac:dyDescent="0.35">
      <c r="A661" t="s">
        <v>1449</v>
      </c>
      <c r="B661" t="s">
        <v>58</v>
      </c>
      <c r="C661" t="s">
        <v>59</v>
      </c>
      <c r="D661" t="s">
        <v>81</v>
      </c>
      <c r="E661">
        <v>5</v>
      </c>
      <c r="F661" t="s">
        <v>51</v>
      </c>
      <c r="G661">
        <v>132000</v>
      </c>
      <c r="H661">
        <v>130000</v>
      </c>
      <c r="I661">
        <v>220000</v>
      </c>
      <c r="J661" t="s">
        <v>52</v>
      </c>
      <c r="K661" t="s">
        <v>31</v>
      </c>
      <c r="L661" t="s">
        <v>53</v>
      </c>
      <c r="M661" t="s">
        <v>61</v>
      </c>
      <c r="N661" t="s">
        <v>165</v>
      </c>
      <c r="O661" t="s">
        <v>1450</v>
      </c>
      <c r="P661">
        <v>12.9</v>
      </c>
      <c r="Q661">
        <v>88</v>
      </c>
      <c r="R661">
        <v>20.5</v>
      </c>
      <c r="S661">
        <v>8.1999999999999993</v>
      </c>
      <c r="T661">
        <v>2026</v>
      </c>
      <c r="U661">
        <v>2</v>
      </c>
      <c r="V661">
        <v>0</v>
      </c>
      <c r="W661" t="s">
        <v>47</v>
      </c>
      <c r="X661" t="s">
        <v>64</v>
      </c>
      <c r="Y661" t="s">
        <v>95</v>
      </c>
    </row>
    <row r="662" spans="1:25" x14ac:dyDescent="0.35">
      <c r="A662" t="s">
        <v>1451</v>
      </c>
      <c r="B662" t="s">
        <v>224</v>
      </c>
      <c r="C662" t="s">
        <v>27</v>
      </c>
      <c r="D662" t="s">
        <v>28</v>
      </c>
      <c r="E662">
        <v>3</v>
      </c>
      <c r="F662" t="s">
        <v>51</v>
      </c>
      <c r="G662">
        <v>327000</v>
      </c>
      <c r="H662">
        <v>145000</v>
      </c>
      <c r="I662">
        <v>280000</v>
      </c>
      <c r="J662" t="s">
        <v>70</v>
      </c>
      <c r="K662" t="s">
        <v>31</v>
      </c>
      <c r="L662" t="s">
        <v>32</v>
      </c>
      <c r="M662" t="s">
        <v>54</v>
      </c>
      <c r="N662" t="s">
        <v>83</v>
      </c>
      <c r="O662" t="s">
        <v>1452</v>
      </c>
      <c r="P662">
        <v>8.1999999999999993</v>
      </c>
      <c r="Q662">
        <v>87</v>
      </c>
      <c r="R662">
        <v>24</v>
      </c>
      <c r="S662">
        <v>7.7</v>
      </c>
      <c r="T662">
        <v>2025</v>
      </c>
      <c r="U662">
        <v>9</v>
      </c>
      <c r="V662">
        <v>1</v>
      </c>
      <c r="W662" t="s">
        <v>36</v>
      </c>
      <c r="X662" t="s">
        <v>64</v>
      </c>
      <c r="Y662" t="s">
        <v>56</v>
      </c>
    </row>
    <row r="663" spans="1:25" x14ac:dyDescent="0.35">
      <c r="A663" t="s">
        <v>1453</v>
      </c>
      <c r="B663" t="s">
        <v>127</v>
      </c>
      <c r="C663" t="s">
        <v>27</v>
      </c>
      <c r="D663" t="s">
        <v>74</v>
      </c>
      <c r="E663">
        <v>9</v>
      </c>
      <c r="F663" t="s">
        <v>51</v>
      </c>
      <c r="G663">
        <v>151000</v>
      </c>
      <c r="H663">
        <v>120000</v>
      </c>
      <c r="I663">
        <v>280000</v>
      </c>
      <c r="J663" t="s">
        <v>191</v>
      </c>
      <c r="K663" t="s">
        <v>31</v>
      </c>
      <c r="L663" t="s">
        <v>53</v>
      </c>
      <c r="M663" t="s">
        <v>54</v>
      </c>
      <c r="N663" t="s">
        <v>83</v>
      </c>
      <c r="O663" t="s">
        <v>1454</v>
      </c>
      <c r="P663">
        <v>16.5</v>
      </c>
      <c r="Q663">
        <v>97</v>
      </c>
      <c r="R663">
        <v>72.2</v>
      </c>
      <c r="S663">
        <v>7.5</v>
      </c>
      <c r="T663">
        <v>2025</v>
      </c>
      <c r="U663">
        <v>6</v>
      </c>
      <c r="V663">
        <v>0</v>
      </c>
      <c r="W663" t="s">
        <v>47</v>
      </c>
      <c r="X663" t="s">
        <v>64</v>
      </c>
      <c r="Y663" t="s">
        <v>48</v>
      </c>
    </row>
    <row r="664" spans="1:25" x14ac:dyDescent="0.35">
      <c r="A664" t="s">
        <v>1455</v>
      </c>
      <c r="B664" t="s">
        <v>134</v>
      </c>
      <c r="C664" t="s">
        <v>27</v>
      </c>
      <c r="D664" t="s">
        <v>81</v>
      </c>
      <c r="E664">
        <v>2</v>
      </c>
      <c r="F664" t="s">
        <v>69</v>
      </c>
      <c r="G664">
        <v>180000</v>
      </c>
      <c r="H664">
        <v>150000</v>
      </c>
      <c r="I664">
        <v>295000</v>
      </c>
      <c r="J664" t="s">
        <v>142</v>
      </c>
      <c r="K664" t="s">
        <v>143</v>
      </c>
      <c r="L664" t="s">
        <v>32</v>
      </c>
      <c r="M664" t="s">
        <v>54</v>
      </c>
      <c r="N664" t="s">
        <v>71</v>
      </c>
      <c r="O664" t="s">
        <v>1456</v>
      </c>
      <c r="P664">
        <v>11.7</v>
      </c>
      <c r="Q664">
        <v>95</v>
      </c>
      <c r="R664">
        <v>26.2</v>
      </c>
      <c r="S664">
        <v>9</v>
      </c>
      <c r="T664">
        <v>2026</v>
      </c>
      <c r="U664">
        <v>1</v>
      </c>
      <c r="V664">
        <v>0</v>
      </c>
      <c r="W664" t="s">
        <v>36</v>
      </c>
      <c r="X664" t="s">
        <v>37</v>
      </c>
      <c r="Y664" t="s">
        <v>48</v>
      </c>
    </row>
    <row r="665" spans="1:25" x14ac:dyDescent="0.35">
      <c r="A665" t="s">
        <v>1457</v>
      </c>
      <c r="B665" t="s">
        <v>196</v>
      </c>
      <c r="C665" t="s">
        <v>27</v>
      </c>
      <c r="D665" t="s">
        <v>74</v>
      </c>
      <c r="E665">
        <v>8</v>
      </c>
      <c r="F665" t="s">
        <v>29</v>
      </c>
      <c r="G665">
        <v>172000</v>
      </c>
      <c r="H665">
        <v>100000</v>
      </c>
      <c r="I665">
        <v>250000</v>
      </c>
      <c r="J665" t="s">
        <v>174</v>
      </c>
      <c r="K665" t="s">
        <v>31</v>
      </c>
      <c r="L665" t="s">
        <v>53</v>
      </c>
      <c r="M665" t="s">
        <v>82</v>
      </c>
      <c r="N665" t="s">
        <v>71</v>
      </c>
      <c r="O665" t="s">
        <v>1458</v>
      </c>
      <c r="P665">
        <v>17.3</v>
      </c>
      <c r="Q665">
        <v>95</v>
      </c>
      <c r="R665">
        <v>28.5</v>
      </c>
      <c r="S665">
        <v>8.6999999999999993</v>
      </c>
      <c r="T665">
        <v>2025</v>
      </c>
      <c r="U665">
        <v>7</v>
      </c>
      <c r="V665">
        <v>0</v>
      </c>
      <c r="W665" t="s">
        <v>47</v>
      </c>
      <c r="X665" t="s">
        <v>64</v>
      </c>
      <c r="Y665" t="s">
        <v>48</v>
      </c>
    </row>
    <row r="666" spans="1:25" x14ac:dyDescent="0.35">
      <c r="A666" t="s">
        <v>1459</v>
      </c>
      <c r="B666" t="s">
        <v>146</v>
      </c>
      <c r="C666" t="s">
        <v>27</v>
      </c>
      <c r="D666" t="s">
        <v>74</v>
      </c>
      <c r="E666">
        <v>8</v>
      </c>
      <c r="F666" t="s">
        <v>41</v>
      </c>
      <c r="G666">
        <v>160000</v>
      </c>
      <c r="H666">
        <v>160000</v>
      </c>
      <c r="I666">
        <v>300000</v>
      </c>
      <c r="J666" t="s">
        <v>42</v>
      </c>
      <c r="K666" t="s">
        <v>43</v>
      </c>
      <c r="L666" t="s">
        <v>32</v>
      </c>
      <c r="M666" t="s">
        <v>61</v>
      </c>
      <c r="N666" t="s">
        <v>88</v>
      </c>
      <c r="O666" t="s">
        <v>1460</v>
      </c>
      <c r="P666">
        <v>8.1</v>
      </c>
      <c r="Q666">
        <v>90</v>
      </c>
      <c r="R666">
        <v>9.4</v>
      </c>
      <c r="S666">
        <v>6.8</v>
      </c>
      <c r="T666">
        <v>2025</v>
      </c>
      <c r="U666">
        <v>9</v>
      </c>
      <c r="V666">
        <v>0</v>
      </c>
      <c r="W666" t="s">
        <v>36</v>
      </c>
      <c r="X666" t="s">
        <v>64</v>
      </c>
      <c r="Y666" t="s">
        <v>48</v>
      </c>
    </row>
    <row r="667" spans="1:25" x14ac:dyDescent="0.35">
      <c r="A667" t="s">
        <v>1461</v>
      </c>
      <c r="B667" t="s">
        <v>153</v>
      </c>
      <c r="C667" t="s">
        <v>154</v>
      </c>
      <c r="D667" t="s">
        <v>74</v>
      </c>
      <c r="E667">
        <v>4</v>
      </c>
      <c r="F667" t="s">
        <v>29</v>
      </c>
      <c r="G667">
        <v>95000</v>
      </c>
      <c r="H667">
        <v>95000</v>
      </c>
      <c r="I667">
        <v>180000</v>
      </c>
      <c r="J667" t="s">
        <v>70</v>
      </c>
      <c r="K667" t="s">
        <v>31</v>
      </c>
      <c r="L667" t="s">
        <v>44</v>
      </c>
      <c r="M667" t="s">
        <v>33</v>
      </c>
      <c r="N667" t="s">
        <v>71</v>
      </c>
      <c r="O667" t="s">
        <v>1462</v>
      </c>
      <c r="P667">
        <v>16.2</v>
      </c>
      <c r="Q667">
        <v>78</v>
      </c>
      <c r="R667">
        <v>23.4</v>
      </c>
      <c r="S667">
        <v>8</v>
      </c>
      <c r="T667">
        <v>2026</v>
      </c>
      <c r="U667">
        <v>3</v>
      </c>
      <c r="V667">
        <v>0</v>
      </c>
      <c r="W667" t="s">
        <v>47</v>
      </c>
      <c r="X667" t="s">
        <v>64</v>
      </c>
      <c r="Y667" t="s">
        <v>98</v>
      </c>
    </row>
    <row r="668" spans="1:25" x14ac:dyDescent="0.35">
      <c r="A668" t="s">
        <v>1463</v>
      </c>
      <c r="B668" t="s">
        <v>224</v>
      </c>
      <c r="C668" t="s">
        <v>27</v>
      </c>
      <c r="D668" t="s">
        <v>74</v>
      </c>
      <c r="E668">
        <v>8</v>
      </c>
      <c r="F668" t="s">
        <v>41</v>
      </c>
      <c r="G668">
        <v>145000</v>
      </c>
      <c r="H668">
        <v>145000</v>
      </c>
      <c r="I668">
        <v>280000</v>
      </c>
      <c r="J668" t="s">
        <v>129</v>
      </c>
      <c r="K668" t="s">
        <v>130</v>
      </c>
      <c r="L668" t="s">
        <v>44</v>
      </c>
      <c r="M668" t="s">
        <v>61</v>
      </c>
      <c r="N668" t="s">
        <v>83</v>
      </c>
      <c r="O668" t="s">
        <v>1464</v>
      </c>
      <c r="P668">
        <v>9.4</v>
      </c>
      <c r="Q668">
        <v>87</v>
      </c>
      <c r="R668">
        <v>14</v>
      </c>
      <c r="S668">
        <v>8.6</v>
      </c>
      <c r="T668">
        <v>2026</v>
      </c>
      <c r="U668">
        <v>1</v>
      </c>
      <c r="V668">
        <v>0</v>
      </c>
      <c r="W668" t="s">
        <v>47</v>
      </c>
      <c r="X668" t="s">
        <v>64</v>
      </c>
      <c r="Y668" t="s">
        <v>95</v>
      </c>
    </row>
    <row r="669" spans="1:25" x14ac:dyDescent="0.35">
      <c r="A669" t="s">
        <v>1465</v>
      </c>
      <c r="B669" t="s">
        <v>153</v>
      </c>
      <c r="C669" t="s">
        <v>154</v>
      </c>
      <c r="D669" t="s">
        <v>68</v>
      </c>
      <c r="E669">
        <v>5</v>
      </c>
      <c r="F669" t="s">
        <v>128</v>
      </c>
      <c r="G669">
        <v>184000</v>
      </c>
      <c r="H669">
        <v>95000</v>
      </c>
      <c r="I669">
        <v>180000</v>
      </c>
      <c r="J669" t="s">
        <v>142</v>
      </c>
      <c r="K669" t="s">
        <v>143</v>
      </c>
      <c r="L669" t="s">
        <v>44</v>
      </c>
      <c r="M669" t="s">
        <v>82</v>
      </c>
      <c r="N669" t="s">
        <v>62</v>
      </c>
      <c r="O669" t="s">
        <v>1466</v>
      </c>
      <c r="P669">
        <v>12.1</v>
      </c>
      <c r="Q669">
        <v>78</v>
      </c>
      <c r="R669">
        <v>27</v>
      </c>
      <c r="S669">
        <v>7.2</v>
      </c>
      <c r="T669">
        <v>2026</v>
      </c>
      <c r="U669">
        <v>2</v>
      </c>
      <c r="V669">
        <v>1</v>
      </c>
      <c r="W669" t="s">
        <v>47</v>
      </c>
      <c r="X669" t="s">
        <v>64</v>
      </c>
      <c r="Y669" t="s">
        <v>48</v>
      </c>
    </row>
    <row r="670" spans="1:25" x14ac:dyDescent="0.35">
      <c r="A670" t="s">
        <v>1467</v>
      </c>
      <c r="B670" t="s">
        <v>100</v>
      </c>
      <c r="C670" t="s">
        <v>101</v>
      </c>
      <c r="D670" t="s">
        <v>81</v>
      </c>
      <c r="E670">
        <v>12</v>
      </c>
      <c r="F670" t="s">
        <v>29</v>
      </c>
      <c r="G670">
        <v>263000</v>
      </c>
      <c r="H670">
        <v>180000</v>
      </c>
      <c r="I670">
        <v>320000</v>
      </c>
      <c r="J670" t="s">
        <v>170</v>
      </c>
      <c r="K670" t="s">
        <v>171</v>
      </c>
      <c r="L670" t="s">
        <v>53</v>
      </c>
      <c r="M670" t="s">
        <v>45</v>
      </c>
      <c r="N670" t="s">
        <v>119</v>
      </c>
      <c r="O670" t="s">
        <v>1468</v>
      </c>
      <c r="P670">
        <v>9.5</v>
      </c>
      <c r="Q670">
        <v>84</v>
      </c>
      <c r="R670">
        <v>28.7</v>
      </c>
      <c r="S670">
        <v>6.8</v>
      </c>
      <c r="T670">
        <v>2025</v>
      </c>
      <c r="U670">
        <v>8</v>
      </c>
      <c r="V670">
        <v>0</v>
      </c>
      <c r="W670" t="s">
        <v>47</v>
      </c>
      <c r="X670" t="s">
        <v>64</v>
      </c>
      <c r="Y670" t="s">
        <v>38</v>
      </c>
    </row>
    <row r="671" spans="1:25" x14ac:dyDescent="0.35">
      <c r="A671" t="s">
        <v>1469</v>
      </c>
      <c r="B671" t="s">
        <v>168</v>
      </c>
      <c r="C671" t="s">
        <v>169</v>
      </c>
      <c r="D671" t="s">
        <v>81</v>
      </c>
      <c r="E671">
        <v>7</v>
      </c>
      <c r="F671" t="s">
        <v>41</v>
      </c>
      <c r="G671">
        <v>157000</v>
      </c>
      <c r="H671">
        <v>157000</v>
      </c>
      <c r="I671">
        <v>218000</v>
      </c>
      <c r="J671" t="s">
        <v>142</v>
      </c>
      <c r="K671" t="s">
        <v>143</v>
      </c>
      <c r="L671" t="s">
        <v>44</v>
      </c>
      <c r="M671" t="s">
        <v>82</v>
      </c>
      <c r="N671" t="s">
        <v>131</v>
      </c>
      <c r="O671" t="s">
        <v>1470</v>
      </c>
      <c r="P671">
        <v>7.7</v>
      </c>
      <c r="Q671">
        <v>90</v>
      </c>
      <c r="R671">
        <v>13.8</v>
      </c>
      <c r="S671">
        <v>6.4</v>
      </c>
      <c r="T671">
        <v>2026</v>
      </c>
      <c r="U671">
        <v>3</v>
      </c>
      <c r="V671">
        <v>0</v>
      </c>
      <c r="W671" t="s">
        <v>47</v>
      </c>
      <c r="X671" t="s">
        <v>64</v>
      </c>
      <c r="Y671" t="s">
        <v>48</v>
      </c>
    </row>
    <row r="672" spans="1:25" x14ac:dyDescent="0.35">
      <c r="A672" t="s">
        <v>1471</v>
      </c>
      <c r="B672" t="s">
        <v>179</v>
      </c>
      <c r="C672" t="s">
        <v>180</v>
      </c>
      <c r="D672" t="s">
        <v>81</v>
      </c>
      <c r="E672">
        <v>11</v>
      </c>
      <c r="F672" t="s">
        <v>29</v>
      </c>
      <c r="G672">
        <v>110000</v>
      </c>
      <c r="H672">
        <v>110000</v>
      </c>
      <c r="I672">
        <v>210000</v>
      </c>
      <c r="J672" t="s">
        <v>108</v>
      </c>
      <c r="K672" t="s">
        <v>109</v>
      </c>
      <c r="L672" t="s">
        <v>44</v>
      </c>
      <c r="M672" t="s">
        <v>82</v>
      </c>
      <c r="N672" t="s">
        <v>119</v>
      </c>
      <c r="O672" t="s">
        <v>1472</v>
      </c>
      <c r="P672">
        <v>14.2</v>
      </c>
      <c r="Q672">
        <v>72</v>
      </c>
      <c r="R672">
        <v>20.3</v>
      </c>
      <c r="S672">
        <v>8.3000000000000007</v>
      </c>
      <c r="T672">
        <v>2026</v>
      </c>
      <c r="U672">
        <v>2</v>
      </c>
      <c r="V672">
        <v>0</v>
      </c>
      <c r="W672" t="s">
        <v>47</v>
      </c>
      <c r="X672" t="s">
        <v>64</v>
      </c>
      <c r="Y672" t="s">
        <v>95</v>
      </c>
    </row>
    <row r="673" spans="1:25" x14ac:dyDescent="0.35">
      <c r="A673" t="s">
        <v>1473</v>
      </c>
      <c r="B673" t="s">
        <v>134</v>
      </c>
      <c r="C673" t="s">
        <v>27</v>
      </c>
      <c r="D673" t="s">
        <v>28</v>
      </c>
      <c r="E673">
        <v>2</v>
      </c>
      <c r="F673" t="s">
        <v>51</v>
      </c>
      <c r="G673">
        <v>203000</v>
      </c>
      <c r="H673">
        <v>150000</v>
      </c>
      <c r="I673">
        <v>295000</v>
      </c>
      <c r="J673" t="s">
        <v>60</v>
      </c>
      <c r="K673" t="s">
        <v>60</v>
      </c>
      <c r="L673" t="s">
        <v>44</v>
      </c>
      <c r="M673" t="s">
        <v>61</v>
      </c>
      <c r="N673" t="s">
        <v>83</v>
      </c>
      <c r="O673" t="s">
        <v>1474</v>
      </c>
      <c r="P673">
        <v>17.100000000000001</v>
      </c>
      <c r="Q673">
        <v>95</v>
      </c>
      <c r="R673">
        <v>80.900000000000006</v>
      </c>
      <c r="S673">
        <v>8.4</v>
      </c>
      <c r="T673">
        <v>2026</v>
      </c>
      <c r="U673">
        <v>2</v>
      </c>
      <c r="V673">
        <v>1</v>
      </c>
      <c r="W673" t="s">
        <v>47</v>
      </c>
      <c r="X673" t="s">
        <v>37</v>
      </c>
      <c r="Y673" t="s">
        <v>38</v>
      </c>
    </row>
    <row r="674" spans="1:25" x14ac:dyDescent="0.35">
      <c r="A674" t="s">
        <v>1475</v>
      </c>
      <c r="B674" t="s">
        <v>224</v>
      </c>
      <c r="C674" t="s">
        <v>27</v>
      </c>
      <c r="D674" t="s">
        <v>28</v>
      </c>
      <c r="E674">
        <v>8</v>
      </c>
      <c r="F674" t="s">
        <v>29</v>
      </c>
      <c r="G674">
        <v>212000</v>
      </c>
      <c r="H674">
        <v>145000</v>
      </c>
      <c r="I674">
        <v>280000</v>
      </c>
      <c r="J674" t="s">
        <v>102</v>
      </c>
      <c r="K674" t="s">
        <v>103</v>
      </c>
      <c r="L674" t="s">
        <v>44</v>
      </c>
      <c r="M674" t="s">
        <v>82</v>
      </c>
      <c r="N674" t="s">
        <v>62</v>
      </c>
      <c r="O674" t="s">
        <v>1476</v>
      </c>
      <c r="P674">
        <v>9.1999999999999993</v>
      </c>
      <c r="Q674">
        <v>87</v>
      </c>
      <c r="R674">
        <v>14.6</v>
      </c>
      <c r="S674">
        <v>6.6</v>
      </c>
      <c r="T674">
        <v>2025</v>
      </c>
      <c r="U674">
        <v>9</v>
      </c>
      <c r="V674">
        <v>1</v>
      </c>
      <c r="W674" t="s">
        <v>47</v>
      </c>
      <c r="X674" t="s">
        <v>64</v>
      </c>
      <c r="Y674" t="s">
        <v>38</v>
      </c>
    </row>
    <row r="675" spans="1:25" x14ac:dyDescent="0.35">
      <c r="A675" t="s">
        <v>1477</v>
      </c>
      <c r="B675" t="s">
        <v>179</v>
      </c>
      <c r="C675" t="s">
        <v>180</v>
      </c>
      <c r="D675" t="s">
        <v>28</v>
      </c>
      <c r="E675">
        <v>7</v>
      </c>
      <c r="F675" t="s">
        <v>41</v>
      </c>
      <c r="G675">
        <v>226000</v>
      </c>
      <c r="H675">
        <v>110000</v>
      </c>
      <c r="I675">
        <v>210000</v>
      </c>
      <c r="J675" t="s">
        <v>170</v>
      </c>
      <c r="K675" t="s">
        <v>171</v>
      </c>
      <c r="L675" t="s">
        <v>32</v>
      </c>
      <c r="M675" t="s">
        <v>54</v>
      </c>
      <c r="N675" t="s">
        <v>119</v>
      </c>
      <c r="O675" t="s">
        <v>1478</v>
      </c>
      <c r="P675">
        <v>11.6</v>
      </c>
      <c r="Q675">
        <v>72</v>
      </c>
      <c r="R675">
        <v>20.5</v>
      </c>
      <c r="S675">
        <v>8.1</v>
      </c>
      <c r="T675">
        <v>2026</v>
      </c>
      <c r="U675">
        <v>2</v>
      </c>
      <c r="V675">
        <v>1</v>
      </c>
      <c r="W675" t="s">
        <v>36</v>
      </c>
      <c r="X675" t="s">
        <v>64</v>
      </c>
      <c r="Y675" t="s">
        <v>38</v>
      </c>
    </row>
    <row r="676" spans="1:25" x14ac:dyDescent="0.35">
      <c r="A676" t="s">
        <v>1479</v>
      </c>
      <c r="B676" t="s">
        <v>179</v>
      </c>
      <c r="C676" t="s">
        <v>180</v>
      </c>
      <c r="D676" t="s">
        <v>81</v>
      </c>
      <c r="E676">
        <v>5</v>
      </c>
      <c r="F676" t="s">
        <v>29</v>
      </c>
      <c r="G676">
        <v>185000</v>
      </c>
      <c r="H676">
        <v>110000</v>
      </c>
      <c r="I676">
        <v>210000</v>
      </c>
      <c r="J676" t="s">
        <v>113</v>
      </c>
      <c r="K676" t="s">
        <v>114</v>
      </c>
      <c r="L676" t="s">
        <v>53</v>
      </c>
      <c r="M676" t="s">
        <v>54</v>
      </c>
      <c r="N676" t="s">
        <v>76</v>
      </c>
      <c r="O676" t="s">
        <v>1480</v>
      </c>
      <c r="P676">
        <v>16.5</v>
      </c>
      <c r="Q676">
        <v>72</v>
      </c>
      <c r="R676">
        <v>12.5</v>
      </c>
      <c r="S676">
        <v>6.8</v>
      </c>
      <c r="T676">
        <v>2025</v>
      </c>
      <c r="U676">
        <v>1</v>
      </c>
      <c r="V676">
        <v>0</v>
      </c>
      <c r="W676" t="s">
        <v>47</v>
      </c>
      <c r="X676" t="s">
        <v>64</v>
      </c>
      <c r="Y676" t="s">
        <v>48</v>
      </c>
    </row>
    <row r="677" spans="1:25" x14ac:dyDescent="0.35">
      <c r="A677" t="s">
        <v>1481</v>
      </c>
      <c r="B677" t="s">
        <v>26</v>
      </c>
      <c r="C677" t="s">
        <v>27</v>
      </c>
      <c r="D677" t="s">
        <v>28</v>
      </c>
      <c r="E677">
        <v>3</v>
      </c>
      <c r="F677" t="s">
        <v>69</v>
      </c>
      <c r="G677">
        <v>175000</v>
      </c>
      <c r="H677">
        <v>155000</v>
      </c>
      <c r="I677">
        <v>290000</v>
      </c>
      <c r="J677" t="s">
        <v>122</v>
      </c>
      <c r="K677" t="s">
        <v>123</v>
      </c>
      <c r="L677" t="s">
        <v>44</v>
      </c>
      <c r="M677" t="s">
        <v>33</v>
      </c>
      <c r="N677" t="s">
        <v>88</v>
      </c>
      <c r="O677" t="s">
        <v>1482</v>
      </c>
      <c r="P677">
        <v>15.1</v>
      </c>
      <c r="Q677">
        <v>96</v>
      </c>
      <c r="R677">
        <v>48.1</v>
      </c>
      <c r="S677">
        <v>6.6</v>
      </c>
      <c r="T677">
        <v>2025</v>
      </c>
      <c r="U677">
        <v>1</v>
      </c>
      <c r="V677">
        <v>1</v>
      </c>
      <c r="W677" t="s">
        <v>47</v>
      </c>
      <c r="X677" t="s">
        <v>37</v>
      </c>
      <c r="Y677" t="s">
        <v>48</v>
      </c>
    </row>
    <row r="678" spans="1:25" x14ac:dyDescent="0.35">
      <c r="A678" t="s">
        <v>1483</v>
      </c>
      <c r="B678" t="s">
        <v>203</v>
      </c>
      <c r="C678" t="s">
        <v>169</v>
      </c>
      <c r="D678" t="s">
        <v>68</v>
      </c>
      <c r="E678">
        <v>8</v>
      </c>
      <c r="F678" t="s">
        <v>128</v>
      </c>
      <c r="G678">
        <v>234000</v>
      </c>
      <c r="H678">
        <v>138000</v>
      </c>
      <c r="I678">
        <v>195000</v>
      </c>
      <c r="J678" t="s">
        <v>296</v>
      </c>
      <c r="K678" t="s">
        <v>31</v>
      </c>
      <c r="L678" t="s">
        <v>53</v>
      </c>
      <c r="M678" t="s">
        <v>82</v>
      </c>
      <c r="N678" t="s">
        <v>165</v>
      </c>
      <c r="O678" t="s">
        <v>1484</v>
      </c>
      <c r="P678">
        <v>3.2</v>
      </c>
      <c r="Q678">
        <v>92</v>
      </c>
      <c r="R678">
        <v>35.700000000000003</v>
      </c>
      <c r="S678">
        <v>8.1</v>
      </c>
      <c r="T678">
        <v>2026</v>
      </c>
      <c r="U678">
        <v>3</v>
      </c>
      <c r="V678">
        <v>1</v>
      </c>
      <c r="W678" t="s">
        <v>47</v>
      </c>
      <c r="X678" t="s">
        <v>64</v>
      </c>
      <c r="Y678" t="s">
        <v>38</v>
      </c>
    </row>
    <row r="679" spans="1:25" x14ac:dyDescent="0.35">
      <c r="A679" t="s">
        <v>1485</v>
      </c>
      <c r="B679" t="s">
        <v>127</v>
      </c>
      <c r="C679" t="s">
        <v>27</v>
      </c>
      <c r="D679" t="s">
        <v>74</v>
      </c>
      <c r="E679">
        <v>4</v>
      </c>
      <c r="F679" t="s">
        <v>41</v>
      </c>
      <c r="G679">
        <v>144000</v>
      </c>
      <c r="H679">
        <v>120000</v>
      </c>
      <c r="I679">
        <v>280000</v>
      </c>
      <c r="J679" t="s">
        <v>191</v>
      </c>
      <c r="K679" t="s">
        <v>31</v>
      </c>
      <c r="L679" t="s">
        <v>44</v>
      </c>
      <c r="M679" t="s">
        <v>45</v>
      </c>
      <c r="N679" t="s">
        <v>76</v>
      </c>
      <c r="O679" t="s">
        <v>1486</v>
      </c>
      <c r="P679">
        <v>8.6999999999999993</v>
      </c>
      <c r="Q679">
        <v>97</v>
      </c>
      <c r="R679">
        <v>44.2</v>
      </c>
      <c r="S679">
        <v>6.2</v>
      </c>
      <c r="T679">
        <v>2026</v>
      </c>
      <c r="U679">
        <v>2</v>
      </c>
      <c r="V679">
        <v>0</v>
      </c>
      <c r="W679" t="s">
        <v>47</v>
      </c>
      <c r="X679" t="s">
        <v>64</v>
      </c>
      <c r="Y679" t="s">
        <v>95</v>
      </c>
    </row>
    <row r="680" spans="1:25" x14ac:dyDescent="0.35">
      <c r="A680" t="s">
        <v>1487</v>
      </c>
      <c r="B680" t="s">
        <v>185</v>
      </c>
      <c r="C680" t="s">
        <v>186</v>
      </c>
      <c r="D680" t="s">
        <v>74</v>
      </c>
      <c r="E680">
        <v>3</v>
      </c>
      <c r="F680" t="s">
        <v>29</v>
      </c>
      <c r="G680">
        <v>206000</v>
      </c>
      <c r="H680">
        <v>140000</v>
      </c>
      <c r="I680">
        <v>270000</v>
      </c>
      <c r="J680" t="s">
        <v>191</v>
      </c>
      <c r="K680" t="s">
        <v>31</v>
      </c>
      <c r="L680" t="s">
        <v>32</v>
      </c>
      <c r="M680" t="s">
        <v>54</v>
      </c>
      <c r="N680" t="s">
        <v>88</v>
      </c>
      <c r="O680" t="s">
        <v>1488</v>
      </c>
      <c r="P680">
        <v>10.199999999999999</v>
      </c>
      <c r="Q680">
        <v>85</v>
      </c>
      <c r="R680">
        <v>10.8</v>
      </c>
      <c r="S680">
        <v>6.6</v>
      </c>
      <c r="T680">
        <v>2026</v>
      </c>
      <c r="U680">
        <v>3</v>
      </c>
      <c r="V680">
        <v>0</v>
      </c>
      <c r="W680" t="s">
        <v>36</v>
      </c>
      <c r="X680" t="s">
        <v>64</v>
      </c>
      <c r="Y680" t="s">
        <v>38</v>
      </c>
    </row>
    <row r="681" spans="1:25" x14ac:dyDescent="0.35">
      <c r="A681" t="s">
        <v>1489</v>
      </c>
      <c r="B681" t="s">
        <v>66</v>
      </c>
      <c r="C681" t="s">
        <v>67</v>
      </c>
      <c r="D681" t="s">
        <v>68</v>
      </c>
      <c r="E681">
        <v>6</v>
      </c>
      <c r="F681" t="s">
        <v>41</v>
      </c>
      <c r="G681">
        <v>247000</v>
      </c>
      <c r="H681">
        <v>140000</v>
      </c>
      <c r="I681">
        <v>260000</v>
      </c>
      <c r="J681" t="s">
        <v>113</v>
      </c>
      <c r="K681" t="s">
        <v>114</v>
      </c>
      <c r="L681" t="s">
        <v>32</v>
      </c>
      <c r="M681" t="s">
        <v>45</v>
      </c>
      <c r="N681" t="s">
        <v>165</v>
      </c>
      <c r="O681" t="s">
        <v>1490</v>
      </c>
      <c r="P681">
        <v>10.3</v>
      </c>
      <c r="Q681">
        <v>85</v>
      </c>
      <c r="R681">
        <v>17.3</v>
      </c>
      <c r="S681">
        <v>7.3</v>
      </c>
      <c r="T681">
        <v>2025</v>
      </c>
      <c r="U681">
        <v>6</v>
      </c>
      <c r="V681">
        <v>1</v>
      </c>
      <c r="W681" t="s">
        <v>36</v>
      </c>
      <c r="X681" t="s">
        <v>64</v>
      </c>
      <c r="Y681" t="s">
        <v>38</v>
      </c>
    </row>
    <row r="682" spans="1:25" x14ac:dyDescent="0.35">
      <c r="A682" t="s">
        <v>1491</v>
      </c>
      <c r="B682" t="s">
        <v>79</v>
      </c>
      <c r="C682" t="s">
        <v>80</v>
      </c>
      <c r="D682" t="s">
        <v>81</v>
      </c>
      <c r="E682">
        <v>7</v>
      </c>
      <c r="F682" t="s">
        <v>29</v>
      </c>
      <c r="G682">
        <v>205000</v>
      </c>
      <c r="H682">
        <v>140000</v>
      </c>
      <c r="I682">
        <v>260000</v>
      </c>
      <c r="J682" t="s">
        <v>75</v>
      </c>
      <c r="K682" t="s">
        <v>31</v>
      </c>
      <c r="L682" t="s">
        <v>44</v>
      </c>
      <c r="M682" t="s">
        <v>45</v>
      </c>
      <c r="N682" t="s">
        <v>165</v>
      </c>
      <c r="O682" t="s">
        <v>1492</v>
      </c>
      <c r="P682">
        <v>10</v>
      </c>
      <c r="Q682">
        <v>80</v>
      </c>
      <c r="R682">
        <v>27.4</v>
      </c>
      <c r="S682">
        <v>7.5</v>
      </c>
      <c r="T682">
        <v>2026</v>
      </c>
      <c r="U682">
        <v>2</v>
      </c>
      <c r="V682">
        <v>0</v>
      </c>
      <c r="W682" t="s">
        <v>47</v>
      </c>
      <c r="X682" t="s">
        <v>64</v>
      </c>
      <c r="Y682" t="s">
        <v>38</v>
      </c>
    </row>
    <row r="683" spans="1:25" x14ac:dyDescent="0.35">
      <c r="A683" t="s">
        <v>1493</v>
      </c>
      <c r="B683" t="s">
        <v>196</v>
      </c>
      <c r="C683" t="s">
        <v>27</v>
      </c>
      <c r="D683" t="s">
        <v>68</v>
      </c>
      <c r="E683">
        <v>2</v>
      </c>
      <c r="F683" t="s">
        <v>29</v>
      </c>
      <c r="G683">
        <v>296000</v>
      </c>
      <c r="H683">
        <v>100000</v>
      </c>
      <c r="I683">
        <v>250000</v>
      </c>
      <c r="J683" t="s">
        <v>170</v>
      </c>
      <c r="K683" t="s">
        <v>171</v>
      </c>
      <c r="L683" t="s">
        <v>32</v>
      </c>
      <c r="M683" t="s">
        <v>54</v>
      </c>
      <c r="N683" t="s">
        <v>88</v>
      </c>
      <c r="O683" t="s">
        <v>1494</v>
      </c>
      <c r="P683">
        <v>14.3</v>
      </c>
      <c r="Q683">
        <v>95</v>
      </c>
      <c r="R683">
        <v>56.4</v>
      </c>
      <c r="S683">
        <v>9.4</v>
      </c>
      <c r="T683">
        <v>2025</v>
      </c>
      <c r="U683">
        <v>9</v>
      </c>
      <c r="V683">
        <v>1</v>
      </c>
      <c r="W683" t="s">
        <v>36</v>
      </c>
      <c r="X683" t="s">
        <v>64</v>
      </c>
      <c r="Y683" t="s">
        <v>38</v>
      </c>
    </row>
    <row r="684" spans="1:25" x14ac:dyDescent="0.35">
      <c r="A684" t="s">
        <v>1495</v>
      </c>
      <c r="B684" t="s">
        <v>196</v>
      </c>
      <c r="C684" t="s">
        <v>27</v>
      </c>
      <c r="D684" t="s">
        <v>81</v>
      </c>
      <c r="E684">
        <v>3</v>
      </c>
      <c r="F684" t="s">
        <v>29</v>
      </c>
      <c r="G684">
        <v>118000</v>
      </c>
      <c r="H684">
        <v>100000</v>
      </c>
      <c r="I684">
        <v>250000</v>
      </c>
      <c r="J684" t="s">
        <v>129</v>
      </c>
      <c r="K684" t="s">
        <v>130</v>
      </c>
      <c r="L684" t="s">
        <v>44</v>
      </c>
      <c r="M684" t="s">
        <v>33</v>
      </c>
      <c r="N684" t="s">
        <v>155</v>
      </c>
      <c r="O684" t="s">
        <v>1496</v>
      </c>
      <c r="P684">
        <v>16</v>
      </c>
      <c r="Q684">
        <v>95</v>
      </c>
      <c r="R684">
        <v>63.7</v>
      </c>
      <c r="S684">
        <v>9.6</v>
      </c>
      <c r="T684">
        <v>2025</v>
      </c>
      <c r="U684">
        <v>2</v>
      </c>
      <c r="V684">
        <v>0</v>
      </c>
      <c r="W684" t="s">
        <v>47</v>
      </c>
      <c r="X684" t="s">
        <v>64</v>
      </c>
      <c r="Y684" t="s">
        <v>95</v>
      </c>
    </row>
    <row r="685" spans="1:25" x14ac:dyDescent="0.35">
      <c r="A685" t="s">
        <v>1497</v>
      </c>
      <c r="B685" t="s">
        <v>196</v>
      </c>
      <c r="C685" t="s">
        <v>27</v>
      </c>
      <c r="D685" t="s">
        <v>74</v>
      </c>
      <c r="E685">
        <v>2</v>
      </c>
      <c r="F685" t="s">
        <v>41</v>
      </c>
      <c r="G685">
        <v>233000</v>
      </c>
      <c r="H685">
        <v>100000</v>
      </c>
      <c r="I685">
        <v>250000</v>
      </c>
      <c r="J685" t="s">
        <v>174</v>
      </c>
      <c r="K685" t="s">
        <v>31</v>
      </c>
      <c r="L685" t="s">
        <v>32</v>
      </c>
      <c r="M685" t="s">
        <v>54</v>
      </c>
      <c r="N685" t="s">
        <v>83</v>
      </c>
      <c r="O685" t="s">
        <v>1498</v>
      </c>
      <c r="P685">
        <v>9.9</v>
      </c>
      <c r="Q685">
        <v>95</v>
      </c>
      <c r="R685">
        <v>45.9</v>
      </c>
      <c r="S685">
        <v>9.3000000000000007</v>
      </c>
      <c r="T685">
        <v>2025</v>
      </c>
      <c r="U685">
        <v>7</v>
      </c>
      <c r="V685">
        <v>0</v>
      </c>
      <c r="W685" t="s">
        <v>36</v>
      </c>
      <c r="X685" t="s">
        <v>64</v>
      </c>
      <c r="Y685" t="s">
        <v>38</v>
      </c>
    </row>
    <row r="686" spans="1:25" x14ac:dyDescent="0.35">
      <c r="A686" t="s">
        <v>1499</v>
      </c>
      <c r="B686" t="s">
        <v>26</v>
      </c>
      <c r="C686" t="s">
        <v>27</v>
      </c>
      <c r="D686" t="s">
        <v>74</v>
      </c>
      <c r="E686">
        <v>4</v>
      </c>
      <c r="F686" t="s">
        <v>41</v>
      </c>
      <c r="G686">
        <v>198000</v>
      </c>
      <c r="H686">
        <v>155000</v>
      </c>
      <c r="I686">
        <v>290000</v>
      </c>
      <c r="J686" t="s">
        <v>174</v>
      </c>
      <c r="K686" t="s">
        <v>31</v>
      </c>
      <c r="L686" t="s">
        <v>32</v>
      </c>
      <c r="M686" t="s">
        <v>82</v>
      </c>
      <c r="N686" t="s">
        <v>124</v>
      </c>
      <c r="O686" t="s">
        <v>1500</v>
      </c>
      <c r="P686">
        <v>16.7</v>
      </c>
      <c r="Q686">
        <v>96</v>
      </c>
      <c r="R686">
        <v>57.3</v>
      </c>
      <c r="S686">
        <v>8.1</v>
      </c>
      <c r="T686">
        <v>2025</v>
      </c>
      <c r="U686">
        <v>12</v>
      </c>
      <c r="V686">
        <v>0</v>
      </c>
      <c r="W686" t="s">
        <v>36</v>
      </c>
      <c r="X686" t="s">
        <v>37</v>
      </c>
      <c r="Y686" t="s">
        <v>48</v>
      </c>
    </row>
    <row r="687" spans="1:25" x14ac:dyDescent="0.35">
      <c r="A687" t="s">
        <v>1501</v>
      </c>
      <c r="B687" t="s">
        <v>153</v>
      </c>
      <c r="C687" t="s">
        <v>154</v>
      </c>
      <c r="D687" t="s">
        <v>81</v>
      </c>
      <c r="E687">
        <v>7</v>
      </c>
      <c r="F687" t="s">
        <v>29</v>
      </c>
      <c r="G687">
        <v>105000</v>
      </c>
      <c r="H687">
        <v>95000</v>
      </c>
      <c r="I687">
        <v>180000</v>
      </c>
      <c r="J687" t="s">
        <v>47</v>
      </c>
      <c r="K687" t="s">
        <v>87</v>
      </c>
      <c r="L687" t="s">
        <v>44</v>
      </c>
      <c r="M687" t="s">
        <v>33</v>
      </c>
      <c r="N687" t="s">
        <v>62</v>
      </c>
      <c r="O687" t="s">
        <v>1502</v>
      </c>
      <c r="P687">
        <v>8.4</v>
      </c>
      <c r="Q687">
        <v>78</v>
      </c>
      <c r="R687">
        <v>6.6</v>
      </c>
      <c r="S687">
        <v>8.9</v>
      </c>
      <c r="T687">
        <v>2025</v>
      </c>
      <c r="U687">
        <v>5</v>
      </c>
      <c r="V687">
        <v>0</v>
      </c>
      <c r="W687" t="s">
        <v>47</v>
      </c>
      <c r="X687" t="s">
        <v>64</v>
      </c>
      <c r="Y687" t="s">
        <v>95</v>
      </c>
    </row>
    <row r="688" spans="1:25" x14ac:dyDescent="0.35">
      <c r="A688" t="s">
        <v>1503</v>
      </c>
      <c r="B688" t="s">
        <v>134</v>
      </c>
      <c r="C688" t="s">
        <v>27</v>
      </c>
      <c r="D688" t="s">
        <v>28</v>
      </c>
      <c r="E688">
        <v>8</v>
      </c>
      <c r="F688" t="s">
        <v>41</v>
      </c>
      <c r="G688">
        <v>252000</v>
      </c>
      <c r="H688">
        <v>150000</v>
      </c>
      <c r="I688">
        <v>295000</v>
      </c>
      <c r="J688" t="s">
        <v>47</v>
      </c>
      <c r="K688" t="s">
        <v>87</v>
      </c>
      <c r="L688" t="s">
        <v>44</v>
      </c>
      <c r="M688" t="s">
        <v>61</v>
      </c>
      <c r="N688" t="s">
        <v>76</v>
      </c>
      <c r="O688" t="s">
        <v>1504</v>
      </c>
      <c r="P688">
        <v>15</v>
      </c>
      <c r="Q688">
        <v>95</v>
      </c>
      <c r="R688">
        <v>72.8</v>
      </c>
      <c r="S688">
        <v>8.6999999999999993</v>
      </c>
      <c r="T688">
        <v>2026</v>
      </c>
      <c r="U688">
        <v>2</v>
      </c>
      <c r="V688">
        <v>1</v>
      </c>
      <c r="W688" t="s">
        <v>47</v>
      </c>
      <c r="X688" t="s">
        <v>37</v>
      </c>
      <c r="Y688" t="s">
        <v>38</v>
      </c>
    </row>
    <row r="689" spans="1:25" x14ac:dyDescent="0.35">
      <c r="A689" t="s">
        <v>1505</v>
      </c>
      <c r="B689" t="s">
        <v>58</v>
      </c>
      <c r="C689" t="s">
        <v>59</v>
      </c>
      <c r="D689" t="s">
        <v>28</v>
      </c>
      <c r="E689">
        <v>6</v>
      </c>
      <c r="F689" t="s">
        <v>69</v>
      </c>
      <c r="G689">
        <v>264000</v>
      </c>
      <c r="H689">
        <v>130000</v>
      </c>
      <c r="I689">
        <v>220000</v>
      </c>
      <c r="J689" t="s">
        <v>52</v>
      </c>
      <c r="K689" t="s">
        <v>31</v>
      </c>
      <c r="L689" t="s">
        <v>44</v>
      </c>
      <c r="M689" t="s">
        <v>54</v>
      </c>
      <c r="N689" t="s">
        <v>131</v>
      </c>
      <c r="O689" t="s">
        <v>1506</v>
      </c>
      <c r="P689">
        <v>11.7</v>
      </c>
      <c r="Q689">
        <v>88</v>
      </c>
      <c r="R689">
        <v>29.6</v>
      </c>
      <c r="S689">
        <v>8.9</v>
      </c>
      <c r="T689">
        <v>2025</v>
      </c>
      <c r="U689">
        <v>11</v>
      </c>
      <c r="V689">
        <v>1</v>
      </c>
      <c r="W689" t="s">
        <v>47</v>
      </c>
      <c r="X689" t="s">
        <v>64</v>
      </c>
      <c r="Y689" t="s">
        <v>38</v>
      </c>
    </row>
    <row r="690" spans="1:25" x14ac:dyDescent="0.35">
      <c r="A690" t="s">
        <v>1507</v>
      </c>
      <c r="B690" t="s">
        <v>233</v>
      </c>
      <c r="C690" t="s">
        <v>180</v>
      </c>
      <c r="D690" t="s">
        <v>68</v>
      </c>
      <c r="E690">
        <v>4</v>
      </c>
      <c r="F690" t="s">
        <v>128</v>
      </c>
      <c r="G690">
        <v>240000</v>
      </c>
      <c r="H690">
        <v>100000</v>
      </c>
      <c r="I690">
        <v>200000</v>
      </c>
      <c r="J690" t="s">
        <v>47</v>
      </c>
      <c r="K690" t="s">
        <v>87</v>
      </c>
      <c r="L690" t="s">
        <v>44</v>
      </c>
      <c r="M690" t="s">
        <v>54</v>
      </c>
      <c r="N690" t="s">
        <v>62</v>
      </c>
      <c r="O690" t="s">
        <v>1508</v>
      </c>
      <c r="P690">
        <v>17.2</v>
      </c>
      <c r="Q690">
        <v>68</v>
      </c>
      <c r="R690">
        <v>29.6</v>
      </c>
      <c r="S690">
        <v>6.6</v>
      </c>
      <c r="T690">
        <v>2025</v>
      </c>
      <c r="U690">
        <v>11</v>
      </c>
      <c r="V690">
        <v>1</v>
      </c>
      <c r="W690" t="s">
        <v>47</v>
      </c>
      <c r="X690" t="s">
        <v>64</v>
      </c>
      <c r="Y690" t="s">
        <v>38</v>
      </c>
    </row>
    <row r="691" spans="1:25" x14ac:dyDescent="0.35">
      <c r="A691" t="s">
        <v>1509</v>
      </c>
      <c r="B691" t="s">
        <v>134</v>
      </c>
      <c r="C691" t="s">
        <v>27</v>
      </c>
      <c r="D691" t="s">
        <v>81</v>
      </c>
      <c r="E691">
        <v>5</v>
      </c>
      <c r="F691" t="s">
        <v>29</v>
      </c>
      <c r="G691">
        <v>308000</v>
      </c>
      <c r="H691">
        <v>150000</v>
      </c>
      <c r="I691">
        <v>295000</v>
      </c>
      <c r="J691" t="s">
        <v>75</v>
      </c>
      <c r="K691" t="s">
        <v>31</v>
      </c>
      <c r="L691" t="s">
        <v>44</v>
      </c>
      <c r="M691" t="s">
        <v>54</v>
      </c>
      <c r="N691" t="s">
        <v>155</v>
      </c>
      <c r="O691" t="s">
        <v>1510</v>
      </c>
      <c r="P691">
        <v>9.6</v>
      </c>
      <c r="Q691">
        <v>95</v>
      </c>
      <c r="R691">
        <v>31.6</v>
      </c>
      <c r="S691">
        <v>8.6999999999999993</v>
      </c>
      <c r="T691">
        <v>2025</v>
      </c>
      <c r="U691">
        <v>2</v>
      </c>
      <c r="V691">
        <v>0</v>
      </c>
      <c r="W691" t="s">
        <v>47</v>
      </c>
      <c r="X691" t="s">
        <v>37</v>
      </c>
      <c r="Y691" t="s">
        <v>56</v>
      </c>
    </row>
    <row r="692" spans="1:25" x14ac:dyDescent="0.35">
      <c r="A692" t="s">
        <v>1511</v>
      </c>
      <c r="B692" t="s">
        <v>66</v>
      </c>
      <c r="C692" t="s">
        <v>67</v>
      </c>
      <c r="D692" t="s">
        <v>68</v>
      </c>
      <c r="E692">
        <v>7</v>
      </c>
      <c r="F692" t="s">
        <v>51</v>
      </c>
      <c r="G692">
        <v>303000</v>
      </c>
      <c r="H692">
        <v>140000</v>
      </c>
      <c r="I692">
        <v>260000</v>
      </c>
      <c r="J692" t="s">
        <v>60</v>
      </c>
      <c r="K692" t="s">
        <v>60</v>
      </c>
      <c r="L692" t="s">
        <v>44</v>
      </c>
      <c r="M692" t="s">
        <v>54</v>
      </c>
      <c r="N692" t="s">
        <v>119</v>
      </c>
      <c r="O692" t="s">
        <v>1512</v>
      </c>
      <c r="P692">
        <v>9.6</v>
      </c>
      <c r="Q692">
        <v>85</v>
      </c>
      <c r="R692">
        <v>22.3</v>
      </c>
      <c r="S692">
        <v>8.9</v>
      </c>
      <c r="T692">
        <v>2026</v>
      </c>
      <c r="U692">
        <v>3</v>
      </c>
      <c r="V692">
        <v>1</v>
      </c>
      <c r="W692" t="s">
        <v>47</v>
      </c>
      <c r="X692" t="s">
        <v>64</v>
      </c>
      <c r="Y692" t="s">
        <v>56</v>
      </c>
    </row>
    <row r="693" spans="1:25" x14ac:dyDescent="0.35">
      <c r="A693" t="s">
        <v>1513</v>
      </c>
      <c r="B693" t="s">
        <v>203</v>
      </c>
      <c r="C693" t="s">
        <v>169</v>
      </c>
      <c r="D693" t="s">
        <v>74</v>
      </c>
      <c r="E693">
        <v>5</v>
      </c>
      <c r="F693" t="s">
        <v>128</v>
      </c>
      <c r="G693">
        <v>138000</v>
      </c>
      <c r="H693">
        <v>138000</v>
      </c>
      <c r="I693">
        <v>195000</v>
      </c>
      <c r="J693" t="s">
        <v>47</v>
      </c>
      <c r="K693" t="s">
        <v>87</v>
      </c>
      <c r="L693" t="s">
        <v>32</v>
      </c>
      <c r="M693" t="s">
        <v>61</v>
      </c>
      <c r="N693" t="s">
        <v>110</v>
      </c>
      <c r="O693" t="s">
        <v>1514</v>
      </c>
      <c r="P693">
        <v>4.3</v>
      </c>
      <c r="Q693">
        <v>92</v>
      </c>
      <c r="R693">
        <v>71.7</v>
      </c>
      <c r="S693">
        <v>6.3</v>
      </c>
      <c r="T693">
        <v>2025</v>
      </c>
      <c r="U693">
        <v>2</v>
      </c>
      <c r="V693">
        <v>0</v>
      </c>
      <c r="W693" t="s">
        <v>36</v>
      </c>
      <c r="X693" t="s">
        <v>64</v>
      </c>
      <c r="Y693" t="s">
        <v>95</v>
      </c>
    </row>
    <row r="694" spans="1:25" x14ac:dyDescent="0.35">
      <c r="A694" t="s">
        <v>1515</v>
      </c>
      <c r="B694" t="s">
        <v>40</v>
      </c>
      <c r="C694" t="s">
        <v>27</v>
      </c>
      <c r="D694" t="s">
        <v>74</v>
      </c>
      <c r="E694">
        <v>4</v>
      </c>
      <c r="F694" t="s">
        <v>51</v>
      </c>
      <c r="G694">
        <v>90000</v>
      </c>
      <c r="H694">
        <v>90000</v>
      </c>
      <c r="I694">
        <v>200000</v>
      </c>
      <c r="J694" t="s">
        <v>60</v>
      </c>
      <c r="K694" t="s">
        <v>60</v>
      </c>
      <c r="L694" t="s">
        <v>44</v>
      </c>
      <c r="M694" t="s">
        <v>45</v>
      </c>
      <c r="N694" t="s">
        <v>62</v>
      </c>
      <c r="O694" t="s">
        <v>1516</v>
      </c>
      <c r="P694">
        <v>5.5</v>
      </c>
      <c r="Q694">
        <v>82</v>
      </c>
      <c r="R694">
        <v>11.4</v>
      </c>
      <c r="S694">
        <v>7.8</v>
      </c>
      <c r="T694">
        <v>2026</v>
      </c>
      <c r="U694">
        <v>3</v>
      </c>
      <c r="V694">
        <v>0</v>
      </c>
      <c r="W694" t="s">
        <v>47</v>
      </c>
      <c r="X694" t="s">
        <v>37</v>
      </c>
      <c r="Y694" t="s">
        <v>98</v>
      </c>
    </row>
    <row r="695" spans="1:25" x14ac:dyDescent="0.35">
      <c r="A695" t="s">
        <v>1517</v>
      </c>
      <c r="B695" t="s">
        <v>233</v>
      </c>
      <c r="C695" t="s">
        <v>180</v>
      </c>
      <c r="D695" t="s">
        <v>28</v>
      </c>
      <c r="E695">
        <v>9</v>
      </c>
      <c r="F695" t="s">
        <v>69</v>
      </c>
      <c r="G695">
        <v>212000</v>
      </c>
      <c r="H695">
        <v>100000</v>
      </c>
      <c r="I695">
        <v>200000</v>
      </c>
      <c r="J695" t="s">
        <v>30</v>
      </c>
      <c r="K695" t="s">
        <v>31</v>
      </c>
      <c r="L695" t="s">
        <v>32</v>
      </c>
      <c r="M695" t="s">
        <v>45</v>
      </c>
      <c r="N695" t="s">
        <v>34</v>
      </c>
      <c r="O695" t="s">
        <v>1518</v>
      </c>
      <c r="P695">
        <v>16.3</v>
      </c>
      <c r="Q695">
        <v>68</v>
      </c>
      <c r="R695">
        <v>20.8</v>
      </c>
      <c r="S695">
        <v>6.4</v>
      </c>
      <c r="T695">
        <v>2025</v>
      </c>
      <c r="U695">
        <v>6</v>
      </c>
      <c r="V695">
        <v>1</v>
      </c>
      <c r="W695" t="s">
        <v>36</v>
      </c>
      <c r="X695" t="s">
        <v>64</v>
      </c>
      <c r="Y695" t="s">
        <v>38</v>
      </c>
    </row>
    <row r="696" spans="1:25" x14ac:dyDescent="0.35">
      <c r="A696" t="s">
        <v>1519</v>
      </c>
      <c r="B696" t="s">
        <v>91</v>
      </c>
      <c r="C696" t="s">
        <v>27</v>
      </c>
      <c r="D696" t="s">
        <v>74</v>
      </c>
      <c r="E696">
        <v>10</v>
      </c>
      <c r="F696" t="s">
        <v>128</v>
      </c>
      <c r="G696">
        <v>145000</v>
      </c>
      <c r="H696">
        <v>145000</v>
      </c>
      <c r="I696">
        <v>290000</v>
      </c>
      <c r="J696" t="s">
        <v>108</v>
      </c>
      <c r="K696" t="s">
        <v>109</v>
      </c>
      <c r="L696" t="s">
        <v>44</v>
      </c>
      <c r="M696" t="s">
        <v>45</v>
      </c>
      <c r="N696" t="s">
        <v>34</v>
      </c>
      <c r="O696" t="s">
        <v>1520</v>
      </c>
      <c r="P696">
        <v>6.2</v>
      </c>
      <c r="Q696">
        <v>91</v>
      </c>
      <c r="R696">
        <v>65.900000000000006</v>
      </c>
      <c r="S696">
        <v>7.5</v>
      </c>
      <c r="T696">
        <v>2026</v>
      </c>
      <c r="U696">
        <v>3</v>
      </c>
      <c r="V696">
        <v>0</v>
      </c>
      <c r="W696" t="s">
        <v>47</v>
      </c>
      <c r="X696" t="s">
        <v>64</v>
      </c>
      <c r="Y696" t="s">
        <v>95</v>
      </c>
    </row>
    <row r="697" spans="1:25" x14ac:dyDescent="0.35">
      <c r="A697" t="s">
        <v>1521</v>
      </c>
      <c r="B697" t="s">
        <v>134</v>
      </c>
      <c r="C697" t="s">
        <v>27</v>
      </c>
      <c r="D697" t="s">
        <v>74</v>
      </c>
      <c r="E697">
        <v>5</v>
      </c>
      <c r="F697" t="s">
        <v>51</v>
      </c>
      <c r="G697">
        <v>161000</v>
      </c>
      <c r="H697">
        <v>150000</v>
      </c>
      <c r="I697">
        <v>295000</v>
      </c>
      <c r="J697" t="s">
        <v>296</v>
      </c>
      <c r="K697" t="s">
        <v>31</v>
      </c>
      <c r="L697" t="s">
        <v>32</v>
      </c>
      <c r="M697" t="s">
        <v>82</v>
      </c>
      <c r="N697" t="s">
        <v>34</v>
      </c>
      <c r="O697" t="s">
        <v>1522</v>
      </c>
      <c r="P697">
        <v>12.9</v>
      </c>
      <c r="Q697">
        <v>95</v>
      </c>
      <c r="R697">
        <v>15.4</v>
      </c>
      <c r="S697">
        <v>8.9</v>
      </c>
      <c r="T697">
        <v>2026</v>
      </c>
      <c r="U697">
        <v>1</v>
      </c>
      <c r="V697">
        <v>0</v>
      </c>
      <c r="W697" t="s">
        <v>36</v>
      </c>
      <c r="X697" t="s">
        <v>37</v>
      </c>
      <c r="Y697" t="s">
        <v>48</v>
      </c>
    </row>
    <row r="698" spans="1:25" x14ac:dyDescent="0.35">
      <c r="A698" t="s">
        <v>1523</v>
      </c>
      <c r="B698" t="s">
        <v>233</v>
      </c>
      <c r="C698" t="s">
        <v>180</v>
      </c>
      <c r="D698" t="s">
        <v>28</v>
      </c>
      <c r="E698">
        <v>10</v>
      </c>
      <c r="F698" t="s">
        <v>29</v>
      </c>
      <c r="G698">
        <v>124000</v>
      </c>
      <c r="H698">
        <v>100000</v>
      </c>
      <c r="I698">
        <v>200000</v>
      </c>
      <c r="J698" t="s">
        <v>137</v>
      </c>
      <c r="K698" t="s">
        <v>138</v>
      </c>
      <c r="L698" t="s">
        <v>53</v>
      </c>
      <c r="M698" t="s">
        <v>33</v>
      </c>
      <c r="N698" t="s">
        <v>131</v>
      </c>
      <c r="O698" t="s">
        <v>1524</v>
      </c>
      <c r="P698">
        <v>17.5</v>
      </c>
      <c r="Q698">
        <v>68</v>
      </c>
      <c r="R698">
        <v>19.100000000000001</v>
      </c>
      <c r="S698">
        <v>7.7</v>
      </c>
      <c r="T698">
        <v>2025</v>
      </c>
      <c r="U698">
        <v>12</v>
      </c>
      <c r="V698">
        <v>1</v>
      </c>
      <c r="W698" t="s">
        <v>47</v>
      </c>
      <c r="X698" t="s">
        <v>64</v>
      </c>
      <c r="Y698" t="s">
        <v>95</v>
      </c>
    </row>
    <row r="699" spans="1:25" x14ac:dyDescent="0.35">
      <c r="A699" t="s">
        <v>1525</v>
      </c>
      <c r="B699" t="s">
        <v>40</v>
      </c>
      <c r="C699" t="s">
        <v>27</v>
      </c>
      <c r="D699" t="s">
        <v>28</v>
      </c>
      <c r="E699">
        <v>4</v>
      </c>
      <c r="F699" t="s">
        <v>51</v>
      </c>
      <c r="G699">
        <v>240000</v>
      </c>
      <c r="H699">
        <v>90000</v>
      </c>
      <c r="I699">
        <v>200000</v>
      </c>
      <c r="J699" t="s">
        <v>174</v>
      </c>
      <c r="K699" t="s">
        <v>31</v>
      </c>
      <c r="L699" t="s">
        <v>44</v>
      </c>
      <c r="M699" t="s">
        <v>54</v>
      </c>
      <c r="N699" t="s">
        <v>34</v>
      </c>
      <c r="O699" t="s">
        <v>1526</v>
      </c>
      <c r="P699">
        <v>9.6</v>
      </c>
      <c r="Q699">
        <v>82</v>
      </c>
      <c r="R699">
        <v>13.9</v>
      </c>
      <c r="S699">
        <v>7.5</v>
      </c>
      <c r="T699">
        <v>2026</v>
      </c>
      <c r="U699">
        <v>1</v>
      </c>
      <c r="V699">
        <v>1</v>
      </c>
      <c r="W699" t="s">
        <v>47</v>
      </c>
      <c r="X699" t="s">
        <v>37</v>
      </c>
      <c r="Y699" t="s">
        <v>38</v>
      </c>
    </row>
    <row r="700" spans="1:25" x14ac:dyDescent="0.35">
      <c r="A700" t="s">
        <v>1527</v>
      </c>
      <c r="B700" t="s">
        <v>203</v>
      </c>
      <c r="C700" t="s">
        <v>169</v>
      </c>
      <c r="D700" t="s">
        <v>74</v>
      </c>
      <c r="E700">
        <v>3</v>
      </c>
      <c r="F700" t="s">
        <v>51</v>
      </c>
      <c r="G700">
        <v>138000</v>
      </c>
      <c r="H700">
        <v>138000</v>
      </c>
      <c r="I700">
        <v>195000</v>
      </c>
      <c r="J700" t="s">
        <v>174</v>
      </c>
      <c r="K700" t="s">
        <v>31</v>
      </c>
      <c r="L700" t="s">
        <v>44</v>
      </c>
      <c r="M700" t="s">
        <v>61</v>
      </c>
      <c r="N700" t="s">
        <v>165</v>
      </c>
      <c r="O700" t="s">
        <v>1528</v>
      </c>
      <c r="P700">
        <v>6.9</v>
      </c>
      <c r="Q700">
        <v>92</v>
      </c>
      <c r="R700">
        <v>32</v>
      </c>
      <c r="S700">
        <v>6.6</v>
      </c>
      <c r="T700">
        <v>2025</v>
      </c>
      <c r="U700">
        <v>12</v>
      </c>
      <c r="V700">
        <v>0</v>
      </c>
      <c r="W700" t="s">
        <v>47</v>
      </c>
      <c r="X700" t="s">
        <v>64</v>
      </c>
      <c r="Y700" t="s">
        <v>95</v>
      </c>
    </row>
    <row r="701" spans="1:25" x14ac:dyDescent="0.35">
      <c r="A701" t="s">
        <v>1529</v>
      </c>
      <c r="B701" t="s">
        <v>50</v>
      </c>
      <c r="C701" t="s">
        <v>27</v>
      </c>
      <c r="D701" t="s">
        <v>74</v>
      </c>
      <c r="E701">
        <v>2</v>
      </c>
      <c r="F701" t="s">
        <v>51</v>
      </c>
      <c r="G701">
        <v>200000</v>
      </c>
      <c r="H701">
        <v>160000</v>
      </c>
      <c r="I701">
        <v>300000</v>
      </c>
      <c r="J701" t="s">
        <v>174</v>
      </c>
      <c r="K701" t="s">
        <v>31</v>
      </c>
      <c r="L701" t="s">
        <v>32</v>
      </c>
      <c r="M701" t="s">
        <v>82</v>
      </c>
      <c r="N701" t="s">
        <v>71</v>
      </c>
      <c r="O701" t="s">
        <v>1530</v>
      </c>
      <c r="P701">
        <v>6.3</v>
      </c>
      <c r="Q701">
        <v>98</v>
      </c>
      <c r="R701">
        <v>49.9</v>
      </c>
      <c r="S701">
        <v>6.4</v>
      </c>
      <c r="T701">
        <v>2025</v>
      </c>
      <c r="U701">
        <v>11</v>
      </c>
      <c r="V701">
        <v>0</v>
      </c>
      <c r="W701" t="s">
        <v>36</v>
      </c>
      <c r="X701" t="s">
        <v>37</v>
      </c>
      <c r="Y701" t="s">
        <v>48</v>
      </c>
    </row>
    <row r="702" spans="1:25" x14ac:dyDescent="0.35">
      <c r="A702" t="s">
        <v>1531</v>
      </c>
      <c r="B702" t="s">
        <v>26</v>
      </c>
      <c r="C702" t="s">
        <v>27</v>
      </c>
      <c r="D702" t="s">
        <v>81</v>
      </c>
      <c r="E702">
        <v>3</v>
      </c>
      <c r="F702" t="s">
        <v>29</v>
      </c>
      <c r="G702">
        <v>158000</v>
      </c>
      <c r="H702">
        <v>155000</v>
      </c>
      <c r="I702">
        <v>290000</v>
      </c>
      <c r="J702" t="s">
        <v>102</v>
      </c>
      <c r="K702" t="s">
        <v>103</v>
      </c>
      <c r="L702" t="s">
        <v>44</v>
      </c>
      <c r="M702" t="s">
        <v>33</v>
      </c>
      <c r="N702" t="s">
        <v>119</v>
      </c>
      <c r="O702" t="s">
        <v>1532</v>
      </c>
      <c r="P702">
        <v>10.3</v>
      </c>
      <c r="Q702">
        <v>96</v>
      </c>
      <c r="R702">
        <v>34.200000000000003</v>
      </c>
      <c r="S702">
        <v>6.2</v>
      </c>
      <c r="T702">
        <v>2026</v>
      </c>
      <c r="U702">
        <v>2</v>
      </c>
      <c r="V702">
        <v>0</v>
      </c>
      <c r="W702" t="s">
        <v>47</v>
      </c>
      <c r="X702" t="s">
        <v>37</v>
      </c>
      <c r="Y702" t="s">
        <v>48</v>
      </c>
    </row>
    <row r="703" spans="1:25" x14ac:dyDescent="0.35">
      <c r="A703" t="s">
        <v>1533</v>
      </c>
      <c r="B703" t="s">
        <v>233</v>
      </c>
      <c r="C703" t="s">
        <v>180</v>
      </c>
      <c r="D703" t="s">
        <v>81</v>
      </c>
      <c r="E703">
        <v>6</v>
      </c>
      <c r="F703" t="s">
        <v>128</v>
      </c>
      <c r="G703">
        <v>111000</v>
      </c>
      <c r="H703">
        <v>100000</v>
      </c>
      <c r="I703">
        <v>200000</v>
      </c>
      <c r="J703" t="s">
        <v>137</v>
      </c>
      <c r="K703" t="s">
        <v>138</v>
      </c>
      <c r="L703" t="s">
        <v>44</v>
      </c>
      <c r="M703" t="s">
        <v>33</v>
      </c>
      <c r="N703" t="s">
        <v>155</v>
      </c>
      <c r="O703" t="s">
        <v>1534</v>
      </c>
      <c r="P703">
        <v>15.7</v>
      </c>
      <c r="Q703">
        <v>68</v>
      </c>
      <c r="R703">
        <v>15.8</v>
      </c>
      <c r="S703">
        <v>6.1</v>
      </c>
      <c r="T703">
        <v>2025</v>
      </c>
      <c r="U703">
        <v>2</v>
      </c>
      <c r="V703">
        <v>0</v>
      </c>
      <c r="W703" t="s">
        <v>47</v>
      </c>
      <c r="X703" t="s">
        <v>64</v>
      </c>
      <c r="Y703" t="s">
        <v>95</v>
      </c>
    </row>
    <row r="704" spans="1:25" x14ac:dyDescent="0.35">
      <c r="A704" t="s">
        <v>1535</v>
      </c>
      <c r="B704" t="s">
        <v>185</v>
      </c>
      <c r="C704" t="s">
        <v>186</v>
      </c>
      <c r="D704" t="s">
        <v>28</v>
      </c>
      <c r="E704">
        <v>6</v>
      </c>
      <c r="F704" t="s">
        <v>128</v>
      </c>
      <c r="G704">
        <v>230000</v>
      </c>
      <c r="H704">
        <v>140000</v>
      </c>
      <c r="I704">
        <v>270000</v>
      </c>
      <c r="J704" t="s">
        <v>191</v>
      </c>
      <c r="K704" t="s">
        <v>31</v>
      </c>
      <c r="L704" t="s">
        <v>44</v>
      </c>
      <c r="M704" t="s">
        <v>33</v>
      </c>
      <c r="N704" t="s">
        <v>88</v>
      </c>
      <c r="O704" t="s">
        <v>1536</v>
      </c>
      <c r="P704">
        <v>14.9</v>
      </c>
      <c r="Q704">
        <v>85</v>
      </c>
      <c r="R704">
        <v>29.4</v>
      </c>
      <c r="S704">
        <v>8</v>
      </c>
      <c r="T704">
        <v>2026</v>
      </c>
      <c r="U704">
        <v>1</v>
      </c>
      <c r="V704">
        <v>1</v>
      </c>
      <c r="W704" t="s">
        <v>47</v>
      </c>
      <c r="X704" t="s">
        <v>64</v>
      </c>
      <c r="Y704" t="s">
        <v>38</v>
      </c>
    </row>
    <row r="705" spans="1:25" x14ac:dyDescent="0.35">
      <c r="A705" t="s">
        <v>1537</v>
      </c>
      <c r="B705" t="s">
        <v>224</v>
      </c>
      <c r="C705" t="s">
        <v>27</v>
      </c>
      <c r="D705" t="s">
        <v>28</v>
      </c>
      <c r="E705">
        <v>8</v>
      </c>
      <c r="F705" t="s">
        <v>51</v>
      </c>
      <c r="G705">
        <v>154000</v>
      </c>
      <c r="H705">
        <v>145000</v>
      </c>
      <c r="I705">
        <v>280000</v>
      </c>
      <c r="J705" t="s">
        <v>142</v>
      </c>
      <c r="K705" t="s">
        <v>143</v>
      </c>
      <c r="L705" t="s">
        <v>44</v>
      </c>
      <c r="M705" t="s">
        <v>82</v>
      </c>
      <c r="N705" t="s">
        <v>155</v>
      </c>
      <c r="O705" t="s">
        <v>1538</v>
      </c>
      <c r="P705">
        <v>4.9000000000000004</v>
      </c>
      <c r="Q705">
        <v>87</v>
      </c>
      <c r="R705">
        <v>19.899999999999999</v>
      </c>
      <c r="S705">
        <v>8.5</v>
      </c>
      <c r="T705">
        <v>2025</v>
      </c>
      <c r="U705">
        <v>10</v>
      </c>
      <c r="V705">
        <v>1</v>
      </c>
      <c r="W705" t="s">
        <v>47</v>
      </c>
      <c r="X705" t="s">
        <v>64</v>
      </c>
      <c r="Y705" t="s">
        <v>48</v>
      </c>
    </row>
    <row r="706" spans="1:25" x14ac:dyDescent="0.35">
      <c r="A706" t="s">
        <v>1539</v>
      </c>
      <c r="B706" t="s">
        <v>168</v>
      </c>
      <c r="C706" t="s">
        <v>169</v>
      </c>
      <c r="D706" t="s">
        <v>28</v>
      </c>
      <c r="E706">
        <v>8</v>
      </c>
      <c r="F706" t="s">
        <v>51</v>
      </c>
      <c r="G706">
        <v>157000</v>
      </c>
      <c r="H706">
        <v>157000</v>
      </c>
      <c r="I706">
        <v>218000</v>
      </c>
      <c r="J706" t="s">
        <v>129</v>
      </c>
      <c r="K706" t="s">
        <v>130</v>
      </c>
      <c r="L706" t="s">
        <v>53</v>
      </c>
      <c r="M706" t="s">
        <v>61</v>
      </c>
      <c r="N706" t="s">
        <v>119</v>
      </c>
      <c r="O706" t="s">
        <v>1540</v>
      </c>
      <c r="P706">
        <v>4.3</v>
      </c>
      <c r="Q706">
        <v>90</v>
      </c>
      <c r="R706">
        <v>21.2</v>
      </c>
      <c r="S706">
        <v>7.9</v>
      </c>
      <c r="T706">
        <v>2025</v>
      </c>
      <c r="U706">
        <v>8</v>
      </c>
      <c r="V706">
        <v>1</v>
      </c>
      <c r="W706" t="s">
        <v>47</v>
      </c>
      <c r="X706" t="s">
        <v>64</v>
      </c>
      <c r="Y706" t="s">
        <v>48</v>
      </c>
    </row>
    <row r="707" spans="1:25" x14ac:dyDescent="0.35">
      <c r="A707" t="s">
        <v>1541</v>
      </c>
      <c r="B707" t="s">
        <v>185</v>
      </c>
      <c r="C707" t="s">
        <v>186</v>
      </c>
      <c r="D707" t="s">
        <v>68</v>
      </c>
      <c r="E707">
        <v>5</v>
      </c>
      <c r="F707" t="s">
        <v>51</v>
      </c>
      <c r="G707">
        <v>243000</v>
      </c>
      <c r="H707">
        <v>140000</v>
      </c>
      <c r="I707">
        <v>270000</v>
      </c>
      <c r="J707" t="s">
        <v>142</v>
      </c>
      <c r="K707" t="s">
        <v>143</v>
      </c>
      <c r="L707" t="s">
        <v>53</v>
      </c>
      <c r="M707" t="s">
        <v>54</v>
      </c>
      <c r="N707" t="s">
        <v>71</v>
      </c>
      <c r="O707" t="s">
        <v>1542</v>
      </c>
      <c r="P707">
        <v>10.5</v>
      </c>
      <c r="Q707">
        <v>85</v>
      </c>
      <c r="R707">
        <v>17.399999999999999</v>
      </c>
      <c r="S707">
        <v>9.6</v>
      </c>
      <c r="T707">
        <v>2026</v>
      </c>
      <c r="U707">
        <v>2</v>
      </c>
      <c r="V707">
        <v>1</v>
      </c>
      <c r="W707" t="s">
        <v>47</v>
      </c>
      <c r="X707" t="s">
        <v>64</v>
      </c>
      <c r="Y707" t="s">
        <v>38</v>
      </c>
    </row>
    <row r="708" spans="1:25" x14ac:dyDescent="0.35">
      <c r="A708" t="s">
        <v>1543</v>
      </c>
      <c r="B708" t="s">
        <v>79</v>
      </c>
      <c r="C708" t="s">
        <v>80</v>
      </c>
      <c r="D708" t="s">
        <v>81</v>
      </c>
      <c r="E708">
        <v>9</v>
      </c>
      <c r="F708" t="s">
        <v>128</v>
      </c>
      <c r="G708">
        <v>140000</v>
      </c>
      <c r="H708">
        <v>140000</v>
      </c>
      <c r="I708">
        <v>260000</v>
      </c>
      <c r="J708" t="s">
        <v>92</v>
      </c>
      <c r="K708" t="s">
        <v>93</v>
      </c>
      <c r="L708" t="s">
        <v>32</v>
      </c>
      <c r="M708" t="s">
        <v>45</v>
      </c>
      <c r="N708" t="s">
        <v>131</v>
      </c>
      <c r="O708" t="s">
        <v>1544</v>
      </c>
      <c r="P708">
        <v>15.6</v>
      </c>
      <c r="Q708">
        <v>80</v>
      </c>
      <c r="R708">
        <v>29.9</v>
      </c>
      <c r="S708">
        <v>6.2</v>
      </c>
      <c r="T708">
        <v>2025</v>
      </c>
      <c r="U708">
        <v>2</v>
      </c>
      <c r="V708">
        <v>0</v>
      </c>
      <c r="W708" t="s">
        <v>36</v>
      </c>
      <c r="X708" t="s">
        <v>64</v>
      </c>
      <c r="Y708" t="s">
        <v>95</v>
      </c>
    </row>
    <row r="709" spans="1:25" x14ac:dyDescent="0.35">
      <c r="A709" t="s">
        <v>1545</v>
      </c>
      <c r="B709" t="s">
        <v>163</v>
      </c>
      <c r="C709" t="s">
        <v>164</v>
      </c>
      <c r="D709" t="s">
        <v>81</v>
      </c>
      <c r="E709">
        <v>9</v>
      </c>
      <c r="F709" t="s">
        <v>41</v>
      </c>
      <c r="G709">
        <v>139000</v>
      </c>
      <c r="H709">
        <v>125000</v>
      </c>
      <c r="I709">
        <v>240000</v>
      </c>
      <c r="J709" t="s">
        <v>102</v>
      </c>
      <c r="K709" t="s">
        <v>103</v>
      </c>
      <c r="L709" t="s">
        <v>53</v>
      </c>
      <c r="M709" t="s">
        <v>82</v>
      </c>
      <c r="N709" t="s">
        <v>165</v>
      </c>
      <c r="O709" t="s">
        <v>1546</v>
      </c>
      <c r="P709">
        <v>10.8</v>
      </c>
      <c r="Q709">
        <v>76</v>
      </c>
      <c r="R709">
        <v>11</v>
      </c>
      <c r="S709">
        <v>6.8</v>
      </c>
      <c r="T709">
        <v>2026</v>
      </c>
      <c r="U709">
        <v>2</v>
      </c>
      <c r="V709">
        <v>0</v>
      </c>
      <c r="W709" t="s">
        <v>47</v>
      </c>
      <c r="X709" t="s">
        <v>64</v>
      </c>
      <c r="Y709" t="s">
        <v>95</v>
      </c>
    </row>
    <row r="710" spans="1:25" x14ac:dyDescent="0.35">
      <c r="A710" t="s">
        <v>1547</v>
      </c>
      <c r="B710" t="s">
        <v>163</v>
      </c>
      <c r="C710" t="s">
        <v>164</v>
      </c>
      <c r="D710" t="s">
        <v>81</v>
      </c>
      <c r="E710">
        <v>8</v>
      </c>
      <c r="F710" t="s">
        <v>41</v>
      </c>
      <c r="G710">
        <v>132000</v>
      </c>
      <c r="H710">
        <v>125000</v>
      </c>
      <c r="I710">
        <v>240000</v>
      </c>
      <c r="J710" t="s">
        <v>60</v>
      </c>
      <c r="K710" t="s">
        <v>60</v>
      </c>
      <c r="L710" t="s">
        <v>53</v>
      </c>
      <c r="M710" t="s">
        <v>61</v>
      </c>
      <c r="N710" t="s">
        <v>165</v>
      </c>
      <c r="O710" t="s">
        <v>1548</v>
      </c>
      <c r="P710">
        <v>17.8</v>
      </c>
      <c r="Q710">
        <v>76</v>
      </c>
      <c r="R710">
        <v>11.7</v>
      </c>
      <c r="S710">
        <v>7.8</v>
      </c>
      <c r="T710">
        <v>2025</v>
      </c>
      <c r="U710">
        <v>7</v>
      </c>
      <c r="V710">
        <v>0</v>
      </c>
      <c r="W710" t="s">
        <v>47</v>
      </c>
      <c r="X710" t="s">
        <v>64</v>
      </c>
      <c r="Y710" t="s">
        <v>95</v>
      </c>
    </row>
    <row r="711" spans="1:25" x14ac:dyDescent="0.35">
      <c r="A711" t="s">
        <v>1549</v>
      </c>
      <c r="B711" t="s">
        <v>91</v>
      </c>
      <c r="C711" t="s">
        <v>27</v>
      </c>
      <c r="D711" t="s">
        <v>81</v>
      </c>
      <c r="E711">
        <v>7</v>
      </c>
      <c r="F711" t="s">
        <v>29</v>
      </c>
      <c r="G711">
        <v>210000</v>
      </c>
      <c r="H711">
        <v>145000</v>
      </c>
      <c r="I711">
        <v>290000</v>
      </c>
      <c r="J711" t="s">
        <v>42</v>
      </c>
      <c r="K711" t="s">
        <v>43</v>
      </c>
      <c r="L711" t="s">
        <v>32</v>
      </c>
      <c r="M711" t="s">
        <v>45</v>
      </c>
      <c r="N711" t="s">
        <v>88</v>
      </c>
      <c r="O711" t="s">
        <v>1550</v>
      </c>
      <c r="P711">
        <v>3.7</v>
      </c>
      <c r="Q711">
        <v>91</v>
      </c>
      <c r="R711">
        <v>21</v>
      </c>
      <c r="S711">
        <v>8.6999999999999993</v>
      </c>
      <c r="T711">
        <v>2026</v>
      </c>
      <c r="U711">
        <v>3</v>
      </c>
      <c r="V711">
        <v>0</v>
      </c>
      <c r="W711" t="s">
        <v>36</v>
      </c>
      <c r="X711" t="s">
        <v>64</v>
      </c>
      <c r="Y711" t="s">
        <v>38</v>
      </c>
    </row>
    <row r="712" spans="1:25" x14ac:dyDescent="0.35">
      <c r="A712" t="s">
        <v>1551</v>
      </c>
      <c r="B712" t="s">
        <v>50</v>
      </c>
      <c r="C712" t="s">
        <v>27</v>
      </c>
      <c r="D712" t="s">
        <v>74</v>
      </c>
      <c r="E712">
        <v>3</v>
      </c>
      <c r="F712" t="s">
        <v>51</v>
      </c>
      <c r="G712">
        <v>160000</v>
      </c>
      <c r="H712">
        <v>160000</v>
      </c>
      <c r="I712">
        <v>300000</v>
      </c>
      <c r="J712" t="s">
        <v>108</v>
      </c>
      <c r="K712" t="s">
        <v>109</v>
      </c>
      <c r="L712" t="s">
        <v>32</v>
      </c>
      <c r="M712" t="s">
        <v>45</v>
      </c>
      <c r="N712" t="s">
        <v>165</v>
      </c>
      <c r="O712" t="s">
        <v>1552</v>
      </c>
      <c r="P712">
        <v>4</v>
      </c>
      <c r="Q712">
        <v>98</v>
      </c>
      <c r="R712">
        <v>20.6</v>
      </c>
      <c r="S712">
        <v>9.1999999999999993</v>
      </c>
      <c r="T712">
        <v>2026</v>
      </c>
      <c r="U712">
        <v>1</v>
      </c>
      <c r="V712">
        <v>0</v>
      </c>
      <c r="W712" t="s">
        <v>36</v>
      </c>
      <c r="X712" t="s">
        <v>37</v>
      </c>
      <c r="Y712" t="s">
        <v>48</v>
      </c>
    </row>
    <row r="713" spans="1:25" x14ac:dyDescent="0.35">
      <c r="A713" t="s">
        <v>1553</v>
      </c>
      <c r="B713" t="s">
        <v>50</v>
      </c>
      <c r="C713" t="s">
        <v>27</v>
      </c>
      <c r="D713" t="s">
        <v>28</v>
      </c>
      <c r="E713">
        <v>3</v>
      </c>
      <c r="F713" t="s">
        <v>128</v>
      </c>
      <c r="G713">
        <v>307000</v>
      </c>
      <c r="H713">
        <v>160000</v>
      </c>
      <c r="I713">
        <v>300000</v>
      </c>
      <c r="J713" t="s">
        <v>70</v>
      </c>
      <c r="K713" t="s">
        <v>31</v>
      </c>
      <c r="L713" t="s">
        <v>44</v>
      </c>
      <c r="M713" t="s">
        <v>61</v>
      </c>
      <c r="N713" t="s">
        <v>76</v>
      </c>
      <c r="O713" t="s">
        <v>1554</v>
      </c>
      <c r="P713">
        <v>5.5</v>
      </c>
      <c r="Q713">
        <v>98</v>
      </c>
      <c r="R713">
        <v>16.5</v>
      </c>
      <c r="S713">
        <v>7.7</v>
      </c>
      <c r="T713">
        <v>2026</v>
      </c>
      <c r="U713">
        <v>2</v>
      </c>
      <c r="V713">
        <v>1</v>
      </c>
      <c r="W713" t="s">
        <v>47</v>
      </c>
      <c r="X713" t="s">
        <v>37</v>
      </c>
      <c r="Y713" t="s">
        <v>56</v>
      </c>
    </row>
    <row r="714" spans="1:25" x14ac:dyDescent="0.35">
      <c r="A714" t="s">
        <v>1555</v>
      </c>
      <c r="B714" t="s">
        <v>86</v>
      </c>
      <c r="C714" t="s">
        <v>27</v>
      </c>
      <c r="D714" t="s">
        <v>28</v>
      </c>
      <c r="E714">
        <v>9</v>
      </c>
      <c r="F714" t="s">
        <v>29</v>
      </c>
      <c r="G714">
        <v>239000</v>
      </c>
      <c r="H714">
        <v>180000</v>
      </c>
      <c r="I714">
        <v>312000</v>
      </c>
      <c r="J714" t="s">
        <v>122</v>
      </c>
      <c r="K714" t="s">
        <v>123</v>
      </c>
      <c r="L714" t="s">
        <v>32</v>
      </c>
      <c r="M714" t="s">
        <v>82</v>
      </c>
      <c r="N714" t="s">
        <v>71</v>
      </c>
      <c r="O714" t="s">
        <v>1556</v>
      </c>
      <c r="P714">
        <v>17.2</v>
      </c>
      <c r="Q714">
        <v>96</v>
      </c>
      <c r="R714">
        <v>21.7</v>
      </c>
      <c r="S714">
        <v>8.6</v>
      </c>
      <c r="T714">
        <v>2025</v>
      </c>
      <c r="U714">
        <v>2</v>
      </c>
      <c r="V714">
        <v>1</v>
      </c>
      <c r="W714" t="s">
        <v>36</v>
      </c>
      <c r="X714" t="s">
        <v>64</v>
      </c>
      <c r="Y714" t="s">
        <v>38</v>
      </c>
    </row>
    <row r="715" spans="1:25" x14ac:dyDescent="0.35">
      <c r="A715" t="s">
        <v>1557</v>
      </c>
      <c r="B715" t="s">
        <v>79</v>
      </c>
      <c r="C715" t="s">
        <v>80</v>
      </c>
      <c r="D715" t="s">
        <v>81</v>
      </c>
      <c r="E715">
        <v>9</v>
      </c>
      <c r="F715" t="s">
        <v>128</v>
      </c>
      <c r="G715">
        <v>158000</v>
      </c>
      <c r="H715">
        <v>140000</v>
      </c>
      <c r="I715">
        <v>260000</v>
      </c>
      <c r="J715" t="s">
        <v>142</v>
      </c>
      <c r="K715" t="s">
        <v>143</v>
      </c>
      <c r="L715" t="s">
        <v>32</v>
      </c>
      <c r="M715" t="s">
        <v>45</v>
      </c>
      <c r="N715" t="s">
        <v>34</v>
      </c>
      <c r="O715" t="s">
        <v>1558</v>
      </c>
      <c r="P715">
        <v>8.9</v>
      </c>
      <c r="Q715">
        <v>80</v>
      </c>
      <c r="R715">
        <v>6.3</v>
      </c>
      <c r="S715">
        <v>8.5</v>
      </c>
      <c r="T715">
        <v>2026</v>
      </c>
      <c r="U715">
        <v>3</v>
      </c>
      <c r="V715">
        <v>0</v>
      </c>
      <c r="W715" t="s">
        <v>36</v>
      </c>
      <c r="X715" t="s">
        <v>64</v>
      </c>
      <c r="Y715" t="s">
        <v>48</v>
      </c>
    </row>
    <row r="716" spans="1:25" x14ac:dyDescent="0.35">
      <c r="A716" t="s">
        <v>1559</v>
      </c>
      <c r="B716" t="s">
        <v>609</v>
      </c>
      <c r="C716" t="s">
        <v>124</v>
      </c>
      <c r="D716" t="s">
        <v>68</v>
      </c>
      <c r="E716">
        <v>7</v>
      </c>
      <c r="F716" t="s">
        <v>69</v>
      </c>
      <c r="G716">
        <v>282000</v>
      </c>
      <c r="H716">
        <v>115000</v>
      </c>
      <c r="I716">
        <v>280000</v>
      </c>
      <c r="J716" t="s">
        <v>129</v>
      </c>
      <c r="K716" t="s">
        <v>130</v>
      </c>
      <c r="L716" t="s">
        <v>53</v>
      </c>
      <c r="M716" t="s">
        <v>54</v>
      </c>
      <c r="N716" t="s">
        <v>110</v>
      </c>
      <c r="O716" t="s">
        <v>1560</v>
      </c>
      <c r="P716">
        <v>9.8000000000000007</v>
      </c>
      <c r="Q716">
        <v>88</v>
      </c>
      <c r="R716">
        <v>8.1</v>
      </c>
      <c r="S716">
        <v>7.8</v>
      </c>
      <c r="T716">
        <v>2026</v>
      </c>
      <c r="U716">
        <v>3</v>
      </c>
      <c r="V716">
        <v>1</v>
      </c>
      <c r="W716" t="s">
        <v>47</v>
      </c>
      <c r="X716" t="s">
        <v>64</v>
      </c>
      <c r="Y716" t="s">
        <v>38</v>
      </c>
    </row>
    <row r="717" spans="1:25" x14ac:dyDescent="0.35">
      <c r="A717" t="s">
        <v>1561</v>
      </c>
      <c r="B717" t="s">
        <v>609</v>
      </c>
      <c r="C717" t="s">
        <v>124</v>
      </c>
      <c r="D717" t="s">
        <v>81</v>
      </c>
      <c r="E717">
        <v>9</v>
      </c>
      <c r="F717" t="s">
        <v>29</v>
      </c>
      <c r="G717">
        <v>272000</v>
      </c>
      <c r="H717">
        <v>115000</v>
      </c>
      <c r="I717">
        <v>280000</v>
      </c>
      <c r="J717" t="s">
        <v>191</v>
      </c>
      <c r="K717" t="s">
        <v>31</v>
      </c>
      <c r="L717" t="s">
        <v>32</v>
      </c>
      <c r="M717" t="s">
        <v>54</v>
      </c>
      <c r="N717" t="s">
        <v>131</v>
      </c>
      <c r="O717" t="s">
        <v>1562</v>
      </c>
      <c r="P717">
        <v>9.6</v>
      </c>
      <c r="Q717">
        <v>88</v>
      </c>
      <c r="R717">
        <v>8.3000000000000007</v>
      </c>
      <c r="S717">
        <v>9.3000000000000007</v>
      </c>
      <c r="T717">
        <v>2026</v>
      </c>
      <c r="U717">
        <v>3</v>
      </c>
      <c r="V717">
        <v>0</v>
      </c>
      <c r="W717" t="s">
        <v>36</v>
      </c>
      <c r="X717" t="s">
        <v>64</v>
      </c>
      <c r="Y717" t="s">
        <v>38</v>
      </c>
    </row>
    <row r="718" spans="1:25" x14ac:dyDescent="0.35">
      <c r="A718" t="s">
        <v>1563</v>
      </c>
      <c r="B718" t="s">
        <v>224</v>
      </c>
      <c r="C718" t="s">
        <v>27</v>
      </c>
      <c r="D718" t="s">
        <v>68</v>
      </c>
      <c r="E718">
        <v>6</v>
      </c>
      <c r="F718" t="s">
        <v>29</v>
      </c>
      <c r="G718">
        <v>271000</v>
      </c>
      <c r="H718">
        <v>145000</v>
      </c>
      <c r="I718">
        <v>280000</v>
      </c>
      <c r="J718" t="s">
        <v>170</v>
      </c>
      <c r="K718" t="s">
        <v>171</v>
      </c>
      <c r="L718" t="s">
        <v>44</v>
      </c>
      <c r="M718" t="s">
        <v>61</v>
      </c>
      <c r="N718" t="s">
        <v>110</v>
      </c>
      <c r="O718" t="s">
        <v>1564</v>
      </c>
      <c r="P718">
        <v>8.6</v>
      </c>
      <c r="Q718">
        <v>87</v>
      </c>
      <c r="R718">
        <v>21.9</v>
      </c>
      <c r="S718">
        <v>7.5</v>
      </c>
      <c r="T718">
        <v>2026</v>
      </c>
      <c r="U718">
        <v>2</v>
      </c>
      <c r="V718">
        <v>1</v>
      </c>
      <c r="W718" t="s">
        <v>47</v>
      </c>
      <c r="X718" t="s">
        <v>64</v>
      </c>
      <c r="Y718" t="s">
        <v>38</v>
      </c>
    </row>
    <row r="719" spans="1:25" x14ac:dyDescent="0.35">
      <c r="A719" t="s">
        <v>1565</v>
      </c>
      <c r="B719" t="s">
        <v>79</v>
      </c>
      <c r="C719" t="s">
        <v>80</v>
      </c>
      <c r="D719" t="s">
        <v>28</v>
      </c>
      <c r="E719">
        <v>9</v>
      </c>
      <c r="F719" t="s">
        <v>51</v>
      </c>
      <c r="G719">
        <v>251000</v>
      </c>
      <c r="H719">
        <v>140000</v>
      </c>
      <c r="I719">
        <v>260000</v>
      </c>
      <c r="J719" t="s">
        <v>170</v>
      </c>
      <c r="K719" t="s">
        <v>171</v>
      </c>
      <c r="L719" t="s">
        <v>32</v>
      </c>
      <c r="M719" t="s">
        <v>54</v>
      </c>
      <c r="N719" t="s">
        <v>71</v>
      </c>
      <c r="O719" t="s">
        <v>1566</v>
      </c>
      <c r="P719">
        <v>17.899999999999999</v>
      </c>
      <c r="Q719">
        <v>80</v>
      </c>
      <c r="R719">
        <v>26</v>
      </c>
      <c r="S719">
        <v>6.4</v>
      </c>
      <c r="T719">
        <v>2026</v>
      </c>
      <c r="U719">
        <v>2</v>
      </c>
      <c r="V719">
        <v>1</v>
      </c>
      <c r="W719" t="s">
        <v>36</v>
      </c>
      <c r="X719" t="s">
        <v>64</v>
      </c>
      <c r="Y719" t="s">
        <v>38</v>
      </c>
    </row>
    <row r="720" spans="1:25" x14ac:dyDescent="0.35">
      <c r="A720" t="s">
        <v>1567</v>
      </c>
      <c r="B720" t="s">
        <v>50</v>
      </c>
      <c r="C720" t="s">
        <v>27</v>
      </c>
      <c r="D720" t="s">
        <v>74</v>
      </c>
      <c r="E720">
        <v>8</v>
      </c>
      <c r="F720" t="s">
        <v>128</v>
      </c>
      <c r="G720">
        <v>160000</v>
      </c>
      <c r="H720">
        <v>160000</v>
      </c>
      <c r="I720">
        <v>300000</v>
      </c>
      <c r="J720" t="s">
        <v>129</v>
      </c>
      <c r="K720" t="s">
        <v>130</v>
      </c>
      <c r="L720" t="s">
        <v>53</v>
      </c>
      <c r="M720" t="s">
        <v>82</v>
      </c>
      <c r="N720" t="s">
        <v>119</v>
      </c>
      <c r="O720" t="s">
        <v>1568</v>
      </c>
      <c r="P720">
        <v>5.8</v>
      </c>
      <c r="Q720">
        <v>98</v>
      </c>
      <c r="R720">
        <v>25.4</v>
      </c>
      <c r="S720">
        <v>9.4</v>
      </c>
      <c r="T720">
        <v>2026</v>
      </c>
      <c r="U720">
        <v>2</v>
      </c>
      <c r="V720">
        <v>0</v>
      </c>
      <c r="W720" t="s">
        <v>47</v>
      </c>
      <c r="X720" t="s">
        <v>37</v>
      </c>
      <c r="Y720" t="s">
        <v>48</v>
      </c>
    </row>
    <row r="721" spans="1:25" x14ac:dyDescent="0.35">
      <c r="A721" t="s">
        <v>1569</v>
      </c>
      <c r="B721" t="s">
        <v>179</v>
      </c>
      <c r="C721" t="s">
        <v>180</v>
      </c>
      <c r="D721" t="s">
        <v>68</v>
      </c>
      <c r="E721">
        <v>11</v>
      </c>
      <c r="F721" t="s">
        <v>128</v>
      </c>
      <c r="G721">
        <v>252000</v>
      </c>
      <c r="H721">
        <v>110000</v>
      </c>
      <c r="I721">
        <v>210000</v>
      </c>
      <c r="J721" t="s">
        <v>137</v>
      </c>
      <c r="K721" t="s">
        <v>138</v>
      </c>
      <c r="L721" t="s">
        <v>44</v>
      </c>
      <c r="M721" t="s">
        <v>45</v>
      </c>
      <c r="N721" t="s">
        <v>110</v>
      </c>
      <c r="O721" t="s">
        <v>1570</v>
      </c>
      <c r="P721">
        <v>11.5</v>
      </c>
      <c r="Q721">
        <v>72</v>
      </c>
      <c r="R721">
        <v>27.7</v>
      </c>
      <c r="S721">
        <v>9.4</v>
      </c>
      <c r="T721">
        <v>2026</v>
      </c>
      <c r="U721">
        <v>1</v>
      </c>
      <c r="V721">
        <v>1</v>
      </c>
      <c r="W721" t="s">
        <v>47</v>
      </c>
      <c r="X721" t="s">
        <v>64</v>
      </c>
      <c r="Y721" t="s">
        <v>38</v>
      </c>
    </row>
    <row r="722" spans="1:25" x14ac:dyDescent="0.35">
      <c r="A722" t="s">
        <v>1571</v>
      </c>
      <c r="B722" t="s">
        <v>158</v>
      </c>
      <c r="C722" t="s">
        <v>27</v>
      </c>
      <c r="D722" t="s">
        <v>68</v>
      </c>
      <c r="E722">
        <v>5</v>
      </c>
      <c r="F722" t="s">
        <v>41</v>
      </c>
      <c r="G722">
        <v>260000</v>
      </c>
      <c r="H722">
        <v>145000</v>
      </c>
      <c r="I722">
        <v>280000</v>
      </c>
      <c r="J722" t="s">
        <v>129</v>
      </c>
      <c r="K722" t="s">
        <v>130</v>
      </c>
      <c r="L722" t="s">
        <v>53</v>
      </c>
      <c r="M722" t="s">
        <v>82</v>
      </c>
      <c r="N722" t="s">
        <v>62</v>
      </c>
      <c r="O722" t="s">
        <v>1572</v>
      </c>
      <c r="P722">
        <v>4</v>
      </c>
      <c r="Q722">
        <v>94</v>
      </c>
      <c r="R722">
        <v>66.900000000000006</v>
      </c>
      <c r="S722">
        <v>7</v>
      </c>
      <c r="T722">
        <v>2025</v>
      </c>
      <c r="U722">
        <v>4</v>
      </c>
      <c r="V722">
        <v>1</v>
      </c>
      <c r="W722" t="s">
        <v>47</v>
      </c>
      <c r="X722" t="s">
        <v>37</v>
      </c>
      <c r="Y722" t="s">
        <v>38</v>
      </c>
    </row>
    <row r="723" spans="1:25" x14ac:dyDescent="0.35">
      <c r="A723" t="s">
        <v>1573</v>
      </c>
      <c r="B723" t="s">
        <v>26</v>
      </c>
      <c r="C723" t="s">
        <v>27</v>
      </c>
      <c r="D723" t="s">
        <v>74</v>
      </c>
      <c r="E723">
        <v>6</v>
      </c>
      <c r="F723" t="s">
        <v>69</v>
      </c>
      <c r="G723">
        <v>155000</v>
      </c>
      <c r="H723">
        <v>155000</v>
      </c>
      <c r="I723">
        <v>290000</v>
      </c>
      <c r="J723" t="s">
        <v>117</v>
      </c>
      <c r="K723" t="s">
        <v>118</v>
      </c>
      <c r="L723" t="s">
        <v>44</v>
      </c>
      <c r="M723" t="s">
        <v>82</v>
      </c>
      <c r="N723" t="s">
        <v>88</v>
      </c>
      <c r="O723" t="s">
        <v>1574</v>
      </c>
      <c r="P723">
        <v>13.1</v>
      </c>
      <c r="Q723">
        <v>96</v>
      </c>
      <c r="R723">
        <v>63.6</v>
      </c>
      <c r="S723">
        <v>8.1</v>
      </c>
      <c r="T723">
        <v>2026</v>
      </c>
      <c r="U723">
        <v>3</v>
      </c>
      <c r="V723">
        <v>0</v>
      </c>
      <c r="W723" t="s">
        <v>47</v>
      </c>
      <c r="X723" t="s">
        <v>37</v>
      </c>
      <c r="Y723" t="s">
        <v>48</v>
      </c>
    </row>
    <row r="724" spans="1:25" x14ac:dyDescent="0.35">
      <c r="A724" t="s">
        <v>1575</v>
      </c>
      <c r="B724" t="s">
        <v>86</v>
      </c>
      <c r="C724" t="s">
        <v>27</v>
      </c>
      <c r="D724" t="s">
        <v>28</v>
      </c>
      <c r="E724">
        <v>9</v>
      </c>
      <c r="F724" t="s">
        <v>69</v>
      </c>
      <c r="G724">
        <v>316000</v>
      </c>
      <c r="H724">
        <v>180000</v>
      </c>
      <c r="I724">
        <v>312000</v>
      </c>
      <c r="J724" t="s">
        <v>191</v>
      </c>
      <c r="K724" t="s">
        <v>31</v>
      </c>
      <c r="L724" t="s">
        <v>32</v>
      </c>
      <c r="M724" t="s">
        <v>45</v>
      </c>
      <c r="N724" t="s">
        <v>71</v>
      </c>
      <c r="O724" t="s">
        <v>1576</v>
      </c>
      <c r="P724">
        <v>11</v>
      </c>
      <c r="Q724">
        <v>96</v>
      </c>
      <c r="R724">
        <v>84.6</v>
      </c>
      <c r="S724">
        <v>6.7</v>
      </c>
      <c r="T724">
        <v>2026</v>
      </c>
      <c r="U724">
        <v>2</v>
      </c>
      <c r="V724">
        <v>1</v>
      </c>
      <c r="W724" t="s">
        <v>36</v>
      </c>
      <c r="X724" t="s">
        <v>64</v>
      </c>
      <c r="Y724" t="s">
        <v>56</v>
      </c>
    </row>
    <row r="725" spans="1:25" x14ac:dyDescent="0.35">
      <c r="A725" t="s">
        <v>1577</v>
      </c>
      <c r="B725" t="s">
        <v>168</v>
      </c>
      <c r="C725" t="s">
        <v>169</v>
      </c>
      <c r="D725" t="s">
        <v>28</v>
      </c>
      <c r="E725">
        <v>6</v>
      </c>
      <c r="F725" t="s">
        <v>29</v>
      </c>
      <c r="G725">
        <v>223000</v>
      </c>
      <c r="H725">
        <v>157000</v>
      </c>
      <c r="I725">
        <v>218000</v>
      </c>
      <c r="J725" t="s">
        <v>122</v>
      </c>
      <c r="K725" t="s">
        <v>123</v>
      </c>
      <c r="L725" t="s">
        <v>53</v>
      </c>
      <c r="M725" t="s">
        <v>54</v>
      </c>
      <c r="N725" t="s">
        <v>131</v>
      </c>
      <c r="O725" t="s">
        <v>1578</v>
      </c>
      <c r="P725">
        <v>6.5</v>
      </c>
      <c r="Q725">
        <v>90</v>
      </c>
      <c r="R725">
        <v>7</v>
      </c>
      <c r="S725">
        <v>7.7</v>
      </c>
      <c r="T725">
        <v>2026</v>
      </c>
      <c r="U725">
        <v>3</v>
      </c>
      <c r="V725">
        <v>1</v>
      </c>
      <c r="W725" t="s">
        <v>47</v>
      </c>
      <c r="X725" t="s">
        <v>64</v>
      </c>
      <c r="Y725" t="s">
        <v>38</v>
      </c>
    </row>
    <row r="726" spans="1:25" x14ac:dyDescent="0.35">
      <c r="A726" t="s">
        <v>1579</v>
      </c>
      <c r="B726" t="s">
        <v>134</v>
      </c>
      <c r="C726" t="s">
        <v>27</v>
      </c>
      <c r="D726" t="s">
        <v>28</v>
      </c>
      <c r="E726">
        <v>8</v>
      </c>
      <c r="F726" t="s">
        <v>51</v>
      </c>
      <c r="G726">
        <v>221000</v>
      </c>
      <c r="H726">
        <v>150000</v>
      </c>
      <c r="I726">
        <v>295000</v>
      </c>
      <c r="J726" t="s">
        <v>60</v>
      </c>
      <c r="K726" t="s">
        <v>60</v>
      </c>
      <c r="L726" t="s">
        <v>44</v>
      </c>
      <c r="M726" t="s">
        <v>45</v>
      </c>
      <c r="N726" t="s">
        <v>76</v>
      </c>
      <c r="O726" t="s">
        <v>1580</v>
      </c>
      <c r="P726">
        <v>11.3</v>
      </c>
      <c r="Q726">
        <v>95</v>
      </c>
      <c r="R726">
        <v>52.1</v>
      </c>
      <c r="S726">
        <v>7.9</v>
      </c>
      <c r="T726">
        <v>2026</v>
      </c>
      <c r="U726">
        <v>2</v>
      </c>
      <c r="V726">
        <v>1</v>
      </c>
      <c r="W726" t="s">
        <v>47</v>
      </c>
      <c r="X726" t="s">
        <v>37</v>
      </c>
      <c r="Y726" t="s">
        <v>38</v>
      </c>
    </row>
    <row r="727" spans="1:25" x14ac:dyDescent="0.35">
      <c r="A727" t="s">
        <v>1581</v>
      </c>
      <c r="B727" t="s">
        <v>127</v>
      </c>
      <c r="C727" t="s">
        <v>27</v>
      </c>
      <c r="D727" t="s">
        <v>28</v>
      </c>
      <c r="E727">
        <v>6</v>
      </c>
      <c r="F727" t="s">
        <v>41</v>
      </c>
      <c r="G727">
        <v>120000</v>
      </c>
      <c r="H727">
        <v>120000</v>
      </c>
      <c r="I727">
        <v>280000</v>
      </c>
      <c r="J727" t="s">
        <v>92</v>
      </c>
      <c r="K727" t="s">
        <v>93</v>
      </c>
      <c r="L727" t="s">
        <v>53</v>
      </c>
      <c r="M727" t="s">
        <v>82</v>
      </c>
      <c r="N727" t="s">
        <v>76</v>
      </c>
      <c r="O727" t="s">
        <v>1582</v>
      </c>
      <c r="P727">
        <v>12.2</v>
      </c>
      <c r="Q727">
        <v>97</v>
      </c>
      <c r="R727">
        <v>39.200000000000003</v>
      </c>
      <c r="S727">
        <v>6.3</v>
      </c>
      <c r="T727">
        <v>2025</v>
      </c>
      <c r="U727">
        <v>8</v>
      </c>
      <c r="V727">
        <v>1</v>
      </c>
      <c r="W727" t="s">
        <v>47</v>
      </c>
      <c r="X727" t="s">
        <v>64</v>
      </c>
      <c r="Y727" t="s">
        <v>95</v>
      </c>
    </row>
    <row r="728" spans="1:25" x14ac:dyDescent="0.35">
      <c r="A728" t="s">
        <v>1583</v>
      </c>
      <c r="B728" t="s">
        <v>146</v>
      </c>
      <c r="C728" t="s">
        <v>27</v>
      </c>
      <c r="D728" t="s">
        <v>74</v>
      </c>
      <c r="E728">
        <v>6</v>
      </c>
      <c r="F728" t="s">
        <v>69</v>
      </c>
      <c r="G728">
        <v>165000</v>
      </c>
      <c r="H728">
        <v>160000</v>
      </c>
      <c r="I728">
        <v>300000</v>
      </c>
      <c r="J728" t="s">
        <v>52</v>
      </c>
      <c r="K728" t="s">
        <v>31</v>
      </c>
      <c r="L728" t="s">
        <v>32</v>
      </c>
      <c r="M728" t="s">
        <v>82</v>
      </c>
      <c r="N728" t="s">
        <v>110</v>
      </c>
      <c r="O728" t="s">
        <v>1584</v>
      </c>
      <c r="P728">
        <v>16.8</v>
      </c>
      <c r="Q728">
        <v>90</v>
      </c>
      <c r="R728">
        <v>17.3</v>
      </c>
      <c r="S728">
        <v>9.6</v>
      </c>
      <c r="T728">
        <v>2026</v>
      </c>
      <c r="U728">
        <v>2</v>
      </c>
      <c r="V728">
        <v>0</v>
      </c>
      <c r="W728" t="s">
        <v>36</v>
      </c>
      <c r="X728" t="s">
        <v>64</v>
      </c>
      <c r="Y728" t="s">
        <v>48</v>
      </c>
    </row>
    <row r="729" spans="1:25" x14ac:dyDescent="0.35">
      <c r="A729" t="s">
        <v>1585</v>
      </c>
      <c r="B729" t="s">
        <v>40</v>
      </c>
      <c r="C729" t="s">
        <v>27</v>
      </c>
      <c r="D729" t="s">
        <v>81</v>
      </c>
      <c r="E729">
        <v>3</v>
      </c>
      <c r="F729" t="s">
        <v>51</v>
      </c>
      <c r="G729">
        <v>105000</v>
      </c>
      <c r="H729">
        <v>90000</v>
      </c>
      <c r="I729">
        <v>200000</v>
      </c>
      <c r="J729" t="s">
        <v>42</v>
      </c>
      <c r="K729" t="s">
        <v>43</v>
      </c>
      <c r="L729" t="s">
        <v>53</v>
      </c>
      <c r="M729" t="s">
        <v>82</v>
      </c>
      <c r="N729" t="s">
        <v>34</v>
      </c>
      <c r="O729" t="s">
        <v>1586</v>
      </c>
      <c r="P729">
        <v>3.1</v>
      </c>
      <c r="Q729">
        <v>82</v>
      </c>
      <c r="R729">
        <v>18.5</v>
      </c>
      <c r="S729">
        <v>7.9</v>
      </c>
      <c r="T729">
        <v>2025</v>
      </c>
      <c r="U729">
        <v>12</v>
      </c>
      <c r="V729">
        <v>0</v>
      </c>
      <c r="W729" t="s">
        <v>47</v>
      </c>
      <c r="X729" t="s">
        <v>37</v>
      </c>
      <c r="Y729" t="s">
        <v>95</v>
      </c>
    </row>
    <row r="730" spans="1:25" x14ac:dyDescent="0.35">
      <c r="A730" t="s">
        <v>1587</v>
      </c>
      <c r="B730" t="s">
        <v>26</v>
      </c>
      <c r="C730" t="s">
        <v>27</v>
      </c>
      <c r="D730" t="s">
        <v>74</v>
      </c>
      <c r="E730">
        <v>3</v>
      </c>
      <c r="F730" t="s">
        <v>69</v>
      </c>
      <c r="G730">
        <v>155000</v>
      </c>
      <c r="H730">
        <v>155000</v>
      </c>
      <c r="I730">
        <v>290000</v>
      </c>
      <c r="J730" t="s">
        <v>191</v>
      </c>
      <c r="K730" t="s">
        <v>31</v>
      </c>
      <c r="L730" t="s">
        <v>53</v>
      </c>
      <c r="M730" t="s">
        <v>33</v>
      </c>
      <c r="N730" t="s">
        <v>62</v>
      </c>
      <c r="O730" t="s">
        <v>1588</v>
      </c>
      <c r="P730">
        <v>8.8000000000000007</v>
      </c>
      <c r="Q730">
        <v>96</v>
      </c>
      <c r="R730">
        <v>17.899999999999999</v>
      </c>
      <c r="S730">
        <v>6</v>
      </c>
      <c r="T730">
        <v>2026</v>
      </c>
      <c r="U730">
        <v>1</v>
      </c>
      <c r="V730">
        <v>0</v>
      </c>
      <c r="W730" t="s">
        <v>47</v>
      </c>
      <c r="X730" t="s">
        <v>37</v>
      </c>
      <c r="Y730" t="s">
        <v>48</v>
      </c>
    </row>
    <row r="731" spans="1:25" x14ac:dyDescent="0.35">
      <c r="A731" t="s">
        <v>1589</v>
      </c>
      <c r="B731" t="s">
        <v>50</v>
      </c>
      <c r="C731" t="s">
        <v>27</v>
      </c>
      <c r="D731" t="s">
        <v>28</v>
      </c>
      <c r="E731">
        <v>8</v>
      </c>
      <c r="F731" t="s">
        <v>51</v>
      </c>
      <c r="G731">
        <v>193000</v>
      </c>
      <c r="H731">
        <v>160000</v>
      </c>
      <c r="I731">
        <v>300000</v>
      </c>
      <c r="J731" t="s">
        <v>47</v>
      </c>
      <c r="K731" t="s">
        <v>87</v>
      </c>
      <c r="L731" t="s">
        <v>53</v>
      </c>
      <c r="M731" t="s">
        <v>33</v>
      </c>
      <c r="N731" t="s">
        <v>165</v>
      </c>
      <c r="O731" t="s">
        <v>1590</v>
      </c>
      <c r="P731">
        <v>4.0999999999999996</v>
      </c>
      <c r="Q731">
        <v>98</v>
      </c>
      <c r="R731">
        <v>71.7</v>
      </c>
      <c r="S731">
        <v>8</v>
      </c>
      <c r="T731">
        <v>2026</v>
      </c>
      <c r="U731">
        <v>1</v>
      </c>
      <c r="V731">
        <v>1</v>
      </c>
      <c r="W731" t="s">
        <v>47</v>
      </c>
      <c r="X731" t="s">
        <v>37</v>
      </c>
      <c r="Y731" t="s">
        <v>48</v>
      </c>
    </row>
    <row r="732" spans="1:25" x14ac:dyDescent="0.35">
      <c r="A732" t="s">
        <v>1591</v>
      </c>
      <c r="B732" t="s">
        <v>185</v>
      </c>
      <c r="C732" t="s">
        <v>186</v>
      </c>
      <c r="D732" t="s">
        <v>68</v>
      </c>
      <c r="E732">
        <v>8</v>
      </c>
      <c r="F732" t="s">
        <v>128</v>
      </c>
      <c r="G732">
        <v>228000</v>
      </c>
      <c r="H732">
        <v>140000</v>
      </c>
      <c r="I732">
        <v>270000</v>
      </c>
      <c r="J732" t="s">
        <v>129</v>
      </c>
      <c r="K732" t="s">
        <v>130</v>
      </c>
      <c r="L732" t="s">
        <v>44</v>
      </c>
      <c r="M732" t="s">
        <v>33</v>
      </c>
      <c r="N732" t="s">
        <v>119</v>
      </c>
      <c r="O732" t="s">
        <v>1592</v>
      </c>
      <c r="P732">
        <v>10.4</v>
      </c>
      <c r="Q732">
        <v>85</v>
      </c>
      <c r="R732">
        <v>8.6999999999999993</v>
      </c>
      <c r="S732">
        <v>6.6</v>
      </c>
      <c r="T732">
        <v>2025</v>
      </c>
      <c r="U732">
        <v>10</v>
      </c>
      <c r="V732">
        <v>1</v>
      </c>
      <c r="W732" t="s">
        <v>47</v>
      </c>
      <c r="X732" t="s">
        <v>64</v>
      </c>
      <c r="Y732" t="s">
        <v>38</v>
      </c>
    </row>
    <row r="733" spans="1:25" x14ac:dyDescent="0.35">
      <c r="A733" t="s">
        <v>1593</v>
      </c>
      <c r="B733" t="s">
        <v>203</v>
      </c>
      <c r="C733" t="s">
        <v>169</v>
      </c>
      <c r="D733" t="s">
        <v>68</v>
      </c>
      <c r="E733">
        <v>2</v>
      </c>
      <c r="F733" t="s">
        <v>29</v>
      </c>
      <c r="G733">
        <v>200000</v>
      </c>
      <c r="H733">
        <v>138000</v>
      </c>
      <c r="I733">
        <v>195000</v>
      </c>
      <c r="J733" t="s">
        <v>191</v>
      </c>
      <c r="K733" t="s">
        <v>31</v>
      </c>
      <c r="L733" t="s">
        <v>44</v>
      </c>
      <c r="M733" t="s">
        <v>33</v>
      </c>
      <c r="N733" t="s">
        <v>119</v>
      </c>
      <c r="O733" t="s">
        <v>1594</v>
      </c>
      <c r="P733">
        <v>7.7</v>
      </c>
      <c r="Q733">
        <v>92</v>
      </c>
      <c r="R733">
        <v>68.2</v>
      </c>
      <c r="S733">
        <v>7.1</v>
      </c>
      <c r="T733">
        <v>2026</v>
      </c>
      <c r="U733">
        <v>2</v>
      </c>
      <c r="V733">
        <v>1</v>
      </c>
      <c r="W733" t="s">
        <v>47</v>
      </c>
      <c r="X733" t="s">
        <v>64</v>
      </c>
      <c r="Y733" t="s">
        <v>48</v>
      </c>
    </row>
    <row r="734" spans="1:25" x14ac:dyDescent="0.35">
      <c r="A734" t="s">
        <v>1595</v>
      </c>
      <c r="B734" t="s">
        <v>26</v>
      </c>
      <c r="C734" t="s">
        <v>27</v>
      </c>
      <c r="D734" t="s">
        <v>81</v>
      </c>
      <c r="E734">
        <v>2</v>
      </c>
      <c r="F734" t="s">
        <v>69</v>
      </c>
      <c r="G734">
        <v>202000</v>
      </c>
      <c r="H734">
        <v>155000</v>
      </c>
      <c r="I734">
        <v>290000</v>
      </c>
      <c r="J734" t="s">
        <v>296</v>
      </c>
      <c r="K734" t="s">
        <v>31</v>
      </c>
      <c r="L734" t="s">
        <v>44</v>
      </c>
      <c r="M734" t="s">
        <v>82</v>
      </c>
      <c r="N734" t="s">
        <v>88</v>
      </c>
      <c r="O734" t="s">
        <v>1596</v>
      </c>
      <c r="P734">
        <v>12</v>
      </c>
      <c r="Q734">
        <v>96</v>
      </c>
      <c r="R734">
        <v>66.8</v>
      </c>
      <c r="S734">
        <v>7.2</v>
      </c>
      <c r="T734">
        <v>2025</v>
      </c>
      <c r="U734">
        <v>6</v>
      </c>
      <c r="V734">
        <v>0</v>
      </c>
      <c r="W734" t="s">
        <v>47</v>
      </c>
      <c r="X734" t="s">
        <v>37</v>
      </c>
      <c r="Y734" t="s">
        <v>38</v>
      </c>
    </row>
    <row r="735" spans="1:25" x14ac:dyDescent="0.35">
      <c r="A735" t="s">
        <v>1597</v>
      </c>
      <c r="B735" t="s">
        <v>134</v>
      </c>
      <c r="C735" t="s">
        <v>27</v>
      </c>
      <c r="D735" t="s">
        <v>81</v>
      </c>
      <c r="E735">
        <v>3</v>
      </c>
      <c r="F735" t="s">
        <v>41</v>
      </c>
      <c r="G735">
        <v>177000</v>
      </c>
      <c r="H735">
        <v>150000</v>
      </c>
      <c r="I735">
        <v>295000</v>
      </c>
      <c r="J735" t="s">
        <v>122</v>
      </c>
      <c r="K735" t="s">
        <v>123</v>
      </c>
      <c r="L735" t="s">
        <v>44</v>
      </c>
      <c r="M735" t="s">
        <v>82</v>
      </c>
      <c r="N735" t="s">
        <v>71</v>
      </c>
      <c r="O735" t="s">
        <v>1598</v>
      </c>
      <c r="P735">
        <v>13</v>
      </c>
      <c r="Q735">
        <v>95</v>
      </c>
      <c r="R735">
        <v>35.299999999999997</v>
      </c>
      <c r="S735">
        <v>6.8</v>
      </c>
      <c r="T735">
        <v>2025</v>
      </c>
      <c r="U735">
        <v>1</v>
      </c>
      <c r="V735">
        <v>0</v>
      </c>
      <c r="W735" t="s">
        <v>47</v>
      </c>
      <c r="X735" t="s">
        <v>37</v>
      </c>
      <c r="Y735" t="s">
        <v>48</v>
      </c>
    </row>
    <row r="736" spans="1:25" x14ac:dyDescent="0.35">
      <c r="A736" t="s">
        <v>1599</v>
      </c>
      <c r="B736" t="s">
        <v>233</v>
      </c>
      <c r="C736" t="s">
        <v>180</v>
      </c>
      <c r="D736" t="s">
        <v>28</v>
      </c>
      <c r="E736">
        <v>3</v>
      </c>
      <c r="F736" t="s">
        <v>51</v>
      </c>
      <c r="G736">
        <v>196000</v>
      </c>
      <c r="H736">
        <v>100000</v>
      </c>
      <c r="I736">
        <v>200000</v>
      </c>
      <c r="J736" t="s">
        <v>174</v>
      </c>
      <c r="K736" t="s">
        <v>31</v>
      </c>
      <c r="L736" t="s">
        <v>44</v>
      </c>
      <c r="M736" t="s">
        <v>82</v>
      </c>
      <c r="N736" t="s">
        <v>119</v>
      </c>
      <c r="O736" t="s">
        <v>1600</v>
      </c>
      <c r="P736">
        <v>15.4</v>
      </c>
      <c r="Q736">
        <v>68</v>
      </c>
      <c r="R736">
        <v>17.600000000000001</v>
      </c>
      <c r="S736">
        <v>8</v>
      </c>
      <c r="T736">
        <v>2026</v>
      </c>
      <c r="U736">
        <v>3</v>
      </c>
      <c r="V736">
        <v>1</v>
      </c>
      <c r="W736" t="s">
        <v>47</v>
      </c>
      <c r="X736" t="s">
        <v>64</v>
      </c>
      <c r="Y736" t="s">
        <v>48</v>
      </c>
    </row>
    <row r="737" spans="1:25" x14ac:dyDescent="0.35">
      <c r="A737" t="s">
        <v>1601</v>
      </c>
      <c r="B737" t="s">
        <v>158</v>
      </c>
      <c r="C737" t="s">
        <v>27</v>
      </c>
      <c r="D737" t="s">
        <v>68</v>
      </c>
      <c r="E737">
        <v>7</v>
      </c>
      <c r="F737" t="s">
        <v>41</v>
      </c>
      <c r="G737">
        <v>145000</v>
      </c>
      <c r="H737">
        <v>145000</v>
      </c>
      <c r="I737">
        <v>280000</v>
      </c>
      <c r="J737" t="s">
        <v>108</v>
      </c>
      <c r="K737" t="s">
        <v>109</v>
      </c>
      <c r="L737" t="s">
        <v>44</v>
      </c>
      <c r="M737" t="s">
        <v>61</v>
      </c>
      <c r="N737" t="s">
        <v>165</v>
      </c>
      <c r="O737" t="s">
        <v>1602</v>
      </c>
      <c r="P737">
        <v>8.5</v>
      </c>
      <c r="Q737">
        <v>94</v>
      </c>
      <c r="R737">
        <v>49.6</v>
      </c>
      <c r="S737">
        <v>9.3000000000000007</v>
      </c>
      <c r="T737">
        <v>2026</v>
      </c>
      <c r="U737">
        <v>3</v>
      </c>
      <c r="V737">
        <v>1</v>
      </c>
      <c r="W737" t="s">
        <v>47</v>
      </c>
      <c r="X737" t="s">
        <v>37</v>
      </c>
      <c r="Y737" t="s">
        <v>95</v>
      </c>
    </row>
    <row r="738" spans="1:25" x14ac:dyDescent="0.35">
      <c r="A738" t="s">
        <v>1603</v>
      </c>
      <c r="B738" t="s">
        <v>153</v>
      </c>
      <c r="C738" t="s">
        <v>154</v>
      </c>
      <c r="D738" t="s">
        <v>81</v>
      </c>
      <c r="E738">
        <v>7</v>
      </c>
      <c r="F738" t="s">
        <v>69</v>
      </c>
      <c r="G738">
        <v>95000</v>
      </c>
      <c r="H738">
        <v>95000</v>
      </c>
      <c r="I738">
        <v>180000</v>
      </c>
      <c r="J738" t="s">
        <v>42</v>
      </c>
      <c r="K738" t="s">
        <v>43</v>
      </c>
      <c r="L738" t="s">
        <v>32</v>
      </c>
      <c r="M738" t="s">
        <v>82</v>
      </c>
      <c r="N738" t="s">
        <v>71</v>
      </c>
      <c r="O738" t="s">
        <v>1604</v>
      </c>
      <c r="P738">
        <v>17.5</v>
      </c>
      <c r="Q738">
        <v>78</v>
      </c>
      <c r="R738">
        <v>16.2</v>
      </c>
      <c r="S738">
        <v>7.5</v>
      </c>
      <c r="T738">
        <v>2026</v>
      </c>
      <c r="U738">
        <v>1</v>
      </c>
      <c r="V738">
        <v>0</v>
      </c>
      <c r="W738" t="s">
        <v>36</v>
      </c>
      <c r="X738" t="s">
        <v>64</v>
      </c>
      <c r="Y738" t="s">
        <v>98</v>
      </c>
    </row>
    <row r="739" spans="1:25" x14ac:dyDescent="0.35">
      <c r="A739" t="s">
        <v>1605</v>
      </c>
      <c r="B739" t="s">
        <v>224</v>
      </c>
      <c r="C739" t="s">
        <v>27</v>
      </c>
      <c r="D739" t="s">
        <v>68</v>
      </c>
      <c r="E739">
        <v>7</v>
      </c>
      <c r="F739" t="s">
        <v>41</v>
      </c>
      <c r="G739">
        <v>295000</v>
      </c>
      <c r="H739">
        <v>145000</v>
      </c>
      <c r="I739">
        <v>280000</v>
      </c>
      <c r="J739" t="s">
        <v>102</v>
      </c>
      <c r="K739" t="s">
        <v>103</v>
      </c>
      <c r="L739" t="s">
        <v>53</v>
      </c>
      <c r="M739" t="s">
        <v>54</v>
      </c>
      <c r="N739" t="s">
        <v>71</v>
      </c>
      <c r="O739" t="s">
        <v>1606</v>
      </c>
      <c r="P739">
        <v>5.7</v>
      </c>
      <c r="Q739">
        <v>87</v>
      </c>
      <c r="R739">
        <v>23.1</v>
      </c>
      <c r="S739">
        <v>6.7</v>
      </c>
      <c r="T739">
        <v>2026</v>
      </c>
      <c r="U739">
        <v>1</v>
      </c>
      <c r="V739">
        <v>1</v>
      </c>
      <c r="W739" t="s">
        <v>47</v>
      </c>
      <c r="X739" t="s">
        <v>64</v>
      </c>
      <c r="Y739" t="s">
        <v>38</v>
      </c>
    </row>
    <row r="740" spans="1:25" x14ac:dyDescent="0.35">
      <c r="A740" t="s">
        <v>1607</v>
      </c>
      <c r="B740" t="s">
        <v>146</v>
      </c>
      <c r="C740" t="s">
        <v>27</v>
      </c>
      <c r="D740" t="s">
        <v>28</v>
      </c>
      <c r="E740">
        <v>3</v>
      </c>
      <c r="F740" t="s">
        <v>29</v>
      </c>
      <c r="G740">
        <v>221000</v>
      </c>
      <c r="H740">
        <v>160000</v>
      </c>
      <c r="I740">
        <v>300000</v>
      </c>
      <c r="J740" t="s">
        <v>122</v>
      </c>
      <c r="K740" t="s">
        <v>123</v>
      </c>
      <c r="L740" t="s">
        <v>53</v>
      </c>
      <c r="M740" t="s">
        <v>33</v>
      </c>
      <c r="N740" t="s">
        <v>131</v>
      </c>
      <c r="O740" t="s">
        <v>1608</v>
      </c>
      <c r="P740">
        <v>10</v>
      </c>
      <c r="Q740">
        <v>90</v>
      </c>
      <c r="R740">
        <v>9.1</v>
      </c>
      <c r="S740">
        <v>6.4</v>
      </c>
      <c r="T740">
        <v>2026</v>
      </c>
      <c r="U740">
        <v>2</v>
      </c>
      <c r="V740">
        <v>1</v>
      </c>
      <c r="W740" t="s">
        <v>47</v>
      </c>
      <c r="X740" t="s">
        <v>64</v>
      </c>
      <c r="Y740" t="s">
        <v>38</v>
      </c>
    </row>
    <row r="741" spans="1:25" x14ac:dyDescent="0.35">
      <c r="A741" t="s">
        <v>1609</v>
      </c>
      <c r="B741" t="s">
        <v>163</v>
      </c>
      <c r="C741" t="s">
        <v>164</v>
      </c>
      <c r="D741" t="s">
        <v>74</v>
      </c>
      <c r="E741">
        <v>3</v>
      </c>
      <c r="F741" t="s">
        <v>29</v>
      </c>
      <c r="G741">
        <v>125000</v>
      </c>
      <c r="H741">
        <v>125000</v>
      </c>
      <c r="I741">
        <v>240000</v>
      </c>
      <c r="J741" t="s">
        <v>102</v>
      </c>
      <c r="K741" t="s">
        <v>103</v>
      </c>
      <c r="L741" t="s">
        <v>53</v>
      </c>
      <c r="M741" t="s">
        <v>33</v>
      </c>
      <c r="N741" t="s">
        <v>155</v>
      </c>
      <c r="O741" t="s">
        <v>1610</v>
      </c>
      <c r="P741">
        <v>15.8</v>
      </c>
      <c r="Q741">
        <v>76</v>
      </c>
      <c r="R741">
        <v>16.600000000000001</v>
      </c>
      <c r="S741">
        <v>6.5</v>
      </c>
      <c r="T741">
        <v>2026</v>
      </c>
      <c r="U741">
        <v>2</v>
      </c>
      <c r="V741">
        <v>0</v>
      </c>
      <c r="W741" t="s">
        <v>47</v>
      </c>
      <c r="X741" t="s">
        <v>64</v>
      </c>
      <c r="Y741" t="s">
        <v>95</v>
      </c>
    </row>
    <row r="742" spans="1:25" x14ac:dyDescent="0.35">
      <c r="A742" t="s">
        <v>1611</v>
      </c>
      <c r="B742" t="s">
        <v>86</v>
      </c>
      <c r="C742" t="s">
        <v>27</v>
      </c>
      <c r="D742" t="s">
        <v>28</v>
      </c>
      <c r="E742">
        <v>8</v>
      </c>
      <c r="F742" t="s">
        <v>29</v>
      </c>
      <c r="G742">
        <v>227000</v>
      </c>
      <c r="H742">
        <v>180000</v>
      </c>
      <c r="I742">
        <v>312000</v>
      </c>
      <c r="J742" t="s">
        <v>60</v>
      </c>
      <c r="K742" t="s">
        <v>60</v>
      </c>
      <c r="L742" t="s">
        <v>44</v>
      </c>
      <c r="M742" t="s">
        <v>33</v>
      </c>
      <c r="N742" t="s">
        <v>131</v>
      </c>
      <c r="O742" t="s">
        <v>1612</v>
      </c>
      <c r="P742">
        <v>14.9</v>
      </c>
      <c r="Q742">
        <v>96</v>
      </c>
      <c r="R742">
        <v>29.2</v>
      </c>
      <c r="S742">
        <v>9.8000000000000007</v>
      </c>
      <c r="T742">
        <v>2026</v>
      </c>
      <c r="U742">
        <v>2</v>
      </c>
      <c r="V742">
        <v>1</v>
      </c>
      <c r="W742" t="s">
        <v>47</v>
      </c>
      <c r="X742" t="s">
        <v>64</v>
      </c>
      <c r="Y742" t="s">
        <v>38</v>
      </c>
    </row>
    <row r="743" spans="1:25" x14ac:dyDescent="0.35">
      <c r="A743" t="s">
        <v>1613</v>
      </c>
      <c r="B743" t="s">
        <v>196</v>
      </c>
      <c r="C743" t="s">
        <v>27</v>
      </c>
      <c r="D743" t="s">
        <v>68</v>
      </c>
      <c r="E743">
        <v>8</v>
      </c>
      <c r="F743" t="s">
        <v>41</v>
      </c>
      <c r="G743">
        <v>224000</v>
      </c>
      <c r="H743">
        <v>100000</v>
      </c>
      <c r="I743">
        <v>250000</v>
      </c>
      <c r="J743" t="s">
        <v>113</v>
      </c>
      <c r="K743" t="s">
        <v>114</v>
      </c>
      <c r="L743" t="s">
        <v>53</v>
      </c>
      <c r="M743" t="s">
        <v>45</v>
      </c>
      <c r="N743" t="s">
        <v>155</v>
      </c>
      <c r="O743" t="s">
        <v>1614</v>
      </c>
      <c r="P743">
        <v>11.9</v>
      </c>
      <c r="Q743">
        <v>95</v>
      </c>
      <c r="R743">
        <v>61.9</v>
      </c>
      <c r="S743">
        <v>6.8</v>
      </c>
      <c r="T743">
        <v>2025</v>
      </c>
      <c r="U743">
        <v>8</v>
      </c>
      <c r="V743">
        <v>1</v>
      </c>
      <c r="W743" t="s">
        <v>47</v>
      </c>
      <c r="X743" t="s">
        <v>64</v>
      </c>
      <c r="Y743" t="s">
        <v>38</v>
      </c>
    </row>
    <row r="744" spans="1:25" x14ac:dyDescent="0.35">
      <c r="A744" t="s">
        <v>1615</v>
      </c>
      <c r="B744" t="s">
        <v>141</v>
      </c>
      <c r="C744" t="s">
        <v>27</v>
      </c>
      <c r="D744" t="s">
        <v>28</v>
      </c>
      <c r="E744">
        <v>8</v>
      </c>
      <c r="F744" t="s">
        <v>41</v>
      </c>
      <c r="G744">
        <v>324000</v>
      </c>
      <c r="H744">
        <v>141000</v>
      </c>
      <c r="I744">
        <v>270000</v>
      </c>
      <c r="J744" t="s">
        <v>174</v>
      </c>
      <c r="K744" t="s">
        <v>31</v>
      </c>
      <c r="L744" t="s">
        <v>44</v>
      </c>
      <c r="M744" t="s">
        <v>54</v>
      </c>
      <c r="N744" t="s">
        <v>165</v>
      </c>
      <c r="O744" t="s">
        <v>1616</v>
      </c>
      <c r="P744">
        <v>8.4</v>
      </c>
      <c r="Q744">
        <v>89</v>
      </c>
      <c r="R744">
        <v>19.8</v>
      </c>
      <c r="S744">
        <v>7.8</v>
      </c>
      <c r="T744">
        <v>2026</v>
      </c>
      <c r="U744">
        <v>3</v>
      </c>
      <c r="V744">
        <v>1</v>
      </c>
      <c r="W744" t="s">
        <v>47</v>
      </c>
      <c r="X744" t="s">
        <v>64</v>
      </c>
      <c r="Y744" t="s">
        <v>56</v>
      </c>
    </row>
    <row r="745" spans="1:25" x14ac:dyDescent="0.35">
      <c r="A745" t="s">
        <v>1617</v>
      </c>
      <c r="B745" t="s">
        <v>134</v>
      </c>
      <c r="C745" t="s">
        <v>27</v>
      </c>
      <c r="D745" t="s">
        <v>74</v>
      </c>
      <c r="E745">
        <v>6</v>
      </c>
      <c r="F745" t="s">
        <v>128</v>
      </c>
      <c r="G745">
        <v>150000</v>
      </c>
      <c r="H745">
        <v>150000</v>
      </c>
      <c r="I745">
        <v>295000</v>
      </c>
      <c r="J745" t="s">
        <v>113</v>
      </c>
      <c r="K745" t="s">
        <v>114</v>
      </c>
      <c r="L745" t="s">
        <v>44</v>
      </c>
      <c r="M745" t="s">
        <v>33</v>
      </c>
      <c r="N745" t="s">
        <v>110</v>
      </c>
      <c r="O745" t="s">
        <v>1618</v>
      </c>
      <c r="P745">
        <v>12.1</v>
      </c>
      <c r="Q745">
        <v>95</v>
      </c>
      <c r="R745">
        <v>20.399999999999999</v>
      </c>
      <c r="S745">
        <v>8</v>
      </c>
      <c r="T745">
        <v>2025</v>
      </c>
      <c r="U745">
        <v>5</v>
      </c>
      <c r="V745">
        <v>0</v>
      </c>
      <c r="W745" t="s">
        <v>47</v>
      </c>
      <c r="X745" t="s">
        <v>37</v>
      </c>
      <c r="Y745" t="s">
        <v>95</v>
      </c>
    </row>
    <row r="746" spans="1:25" x14ac:dyDescent="0.35">
      <c r="A746" t="s">
        <v>1619</v>
      </c>
      <c r="B746" t="s">
        <v>134</v>
      </c>
      <c r="C746" t="s">
        <v>27</v>
      </c>
      <c r="D746" t="s">
        <v>74</v>
      </c>
      <c r="E746">
        <v>4</v>
      </c>
      <c r="F746" t="s">
        <v>41</v>
      </c>
      <c r="G746">
        <v>150000</v>
      </c>
      <c r="H746">
        <v>150000</v>
      </c>
      <c r="I746">
        <v>295000</v>
      </c>
      <c r="J746" t="s">
        <v>129</v>
      </c>
      <c r="K746" t="s">
        <v>130</v>
      </c>
      <c r="L746" t="s">
        <v>32</v>
      </c>
      <c r="M746" t="s">
        <v>45</v>
      </c>
      <c r="N746" t="s">
        <v>34</v>
      </c>
      <c r="O746" t="s">
        <v>1620</v>
      </c>
      <c r="P746">
        <v>10.6</v>
      </c>
      <c r="Q746">
        <v>95</v>
      </c>
      <c r="R746">
        <v>39.4</v>
      </c>
      <c r="S746">
        <v>9.4</v>
      </c>
      <c r="T746">
        <v>2025</v>
      </c>
      <c r="U746">
        <v>4</v>
      </c>
      <c r="V746">
        <v>0</v>
      </c>
      <c r="W746" t="s">
        <v>36</v>
      </c>
      <c r="X746" t="s">
        <v>37</v>
      </c>
      <c r="Y746" t="s">
        <v>95</v>
      </c>
    </row>
    <row r="747" spans="1:25" x14ac:dyDescent="0.35">
      <c r="A747" t="s">
        <v>1621</v>
      </c>
      <c r="B747" t="s">
        <v>153</v>
      </c>
      <c r="C747" t="s">
        <v>154</v>
      </c>
      <c r="D747" t="s">
        <v>74</v>
      </c>
      <c r="E747">
        <v>8</v>
      </c>
      <c r="F747" t="s">
        <v>128</v>
      </c>
      <c r="G747">
        <v>113000</v>
      </c>
      <c r="H747">
        <v>95000</v>
      </c>
      <c r="I747">
        <v>180000</v>
      </c>
      <c r="J747" t="s">
        <v>52</v>
      </c>
      <c r="K747" t="s">
        <v>31</v>
      </c>
      <c r="L747" t="s">
        <v>44</v>
      </c>
      <c r="M747" t="s">
        <v>61</v>
      </c>
      <c r="N747" t="s">
        <v>62</v>
      </c>
      <c r="O747" t="s">
        <v>1622</v>
      </c>
      <c r="P747">
        <v>16.8</v>
      </c>
      <c r="Q747">
        <v>78</v>
      </c>
      <c r="R747">
        <v>7.3</v>
      </c>
      <c r="S747">
        <v>7.3</v>
      </c>
      <c r="T747">
        <v>2026</v>
      </c>
      <c r="U747">
        <v>1</v>
      </c>
      <c r="V747">
        <v>0</v>
      </c>
      <c r="W747" t="s">
        <v>47</v>
      </c>
      <c r="X747" t="s">
        <v>64</v>
      </c>
      <c r="Y747" t="s">
        <v>95</v>
      </c>
    </row>
    <row r="748" spans="1:25" x14ac:dyDescent="0.35">
      <c r="A748" t="s">
        <v>1623</v>
      </c>
      <c r="B748" t="s">
        <v>86</v>
      </c>
      <c r="C748" t="s">
        <v>27</v>
      </c>
      <c r="D748" t="s">
        <v>74</v>
      </c>
      <c r="E748">
        <v>5</v>
      </c>
      <c r="F748" t="s">
        <v>41</v>
      </c>
      <c r="G748">
        <v>279000</v>
      </c>
      <c r="H748">
        <v>180000</v>
      </c>
      <c r="I748">
        <v>312000</v>
      </c>
      <c r="J748" t="s">
        <v>30</v>
      </c>
      <c r="K748" t="s">
        <v>31</v>
      </c>
      <c r="L748" t="s">
        <v>32</v>
      </c>
      <c r="M748" t="s">
        <v>54</v>
      </c>
      <c r="N748" t="s">
        <v>131</v>
      </c>
      <c r="O748" t="s">
        <v>1624</v>
      </c>
      <c r="P748">
        <v>17.2</v>
      </c>
      <c r="Q748">
        <v>96</v>
      </c>
      <c r="R748">
        <v>66.2</v>
      </c>
      <c r="S748">
        <v>6.4</v>
      </c>
      <c r="T748">
        <v>2026</v>
      </c>
      <c r="U748">
        <v>2</v>
      </c>
      <c r="V748">
        <v>0</v>
      </c>
      <c r="W748" t="s">
        <v>36</v>
      </c>
      <c r="X748" t="s">
        <v>64</v>
      </c>
      <c r="Y748" t="s">
        <v>38</v>
      </c>
    </row>
    <row r="749" spans="1:25" x14ac:dyDescent="0.35">
      <c r="A749" t="s">
        <v>1625</v>
      </c>
      <c r="B749" t="s">
        <v>141</v>
      </c>
      <c r="C749" t="s">
        <v>27</v>
      </c>
      <c r="D749" t="s">
        <v>81</v>
      </c>
      <c r="E749">
        <v>7</v>
      </c>
      <c r="F749" t="s">
        <v>69</v>
      </c>
      <c r="G749">
        <v>141000</v>
      </c>
      <c r="H749">
        <v>141000</v>
      </c>
      <c r="I749">
        <v>270000</v>
      </c>
      <c r="J749" t="s">
        <v>191</v>
      </c>
      <c r="K749" t="s">
        <v>31</v>
      </c>
      <c r="L749" t="s">
        <v>53</v>
      </c>
      <c r="M749" t="s">
        <v>61</v>
      </c>
      <c r="N749" t="s">
        <v>71</v>
      </c>
      <c r="O749" t="s">
        <v>1626</v>
      </c>
      <c r="P749">
        <v>5</v>
      </c>
      <c r="Q749">
        <v>89</v>
      </c>
      <c r="R749">
        <v>8.4</v>
      </c>
      <c r="S749">
        <v>9.6999999999999993</v>
      </c>
      <c r="T749">
        <v>2026</v>
      </c>
      <c r="U749">
        <v>3</v>
      </c>
      <c r="V749">
        <v>0</v>
      </c>
      <c r="W749" t="s">
        <v>47</v>
      </c>
      <c r="X749" t="s">
        <v>64</v>
      </c>
      <c r="Y749" t="s">
        <v>95</v>
      </c>
    </row>
    <row r="750" spans="1:25" x14ac:dyDescent="0.35">
      <c r="A750" t="s">
        <v>1627</v>
      </c>
      <c r="B750" t="s">
        <v>149</v>
      </c>
      <c r="C750" t="s">
        <v>150</v>
      </c>
      <c r="D750" t="s">
        <v>74</v>
      </c>
      <c r="E750">
        <v>7</v>
      </c>
      <c r="F750" t="s">
        <v>69</v>
      </c>
      <c r="G750">
        <v>130000</v>
      </c>
      <c r="H750">
        <v>130000</v>
      </c>
      <c r="I750">
        <v>260000</v>
      </c>
      <c r="J750" t="s">
        <v>142</v>
      </c>
      <c r="K750" t="s">
        <v>143</v>
      </c>
      <c r="L750" t="s">
        <v>32</v>
      </c>
      <c r="M750" t="s">
        <v>61</v>
      </c>
      <c r="N750" t="s">
        <v>119</v>
      </c>
      <c r="O750" t="s">
        <v>1628</v>
      </c>
      <c r="P750">
        <v>15.1</v>
      </c>
      <c r="Q750">
        <v>93</v>
      </c>
      <c r="R750">
        <v>31.9</v>
      </c>
      <c r="S750">
        <v>6.9</v>
      </c>
      <c r="T750">
        <v>2025</v>
      </c>
      <c r="U750">
        <v>2</v>
      </c>
      <c r="V750">
        <v>0</v>
      </c>
      <c r="W750" t="s">
        <v>36</v>
      </c>
      <c r="X750" t="s">
        <v>64</v>
      </c>
      <c r="Y750" t="s">
        <v>95</v>
      </c>
    </row>
    <row r="751" spans="1:25" x14ac:dyDescent="0.35">
      <c r="A751" t="s">
        <v>1629</v>
      </c>
      <c r="B751" t="s">
        <v>146</v>
      </c>
      <c r="C751" t="s">
        <v>27</v>
      </c>
      <c r="D751" t="s">
        <v>81</v>
      </c>
      <c r="E751">
        <v>7</v>
      </c>
      <c r="F751" t="s">
        <v>128</v>
      </c>
      <c r="G751">
        <v>210000</v>
      </c>
      <c r="H751">
        <v>160000</v>
      </c>
      <c r="I751">
        <v>300000</v>
      </c>
      <c r="J751" t="s">
        <v>137</v>
      </c>
      <c r="K751" t="s">
        <v>138</v>
      </c>
      <c r="L751" t="s">
        <v>44</v>
      </c>
      <c r="M751" t="s">
        <v>61</v>
      </c>
      <c r="N751" t="s">
        <v>34</v>
      </c>
      <c r="O751" t="s">
        <v>1630</v>
      </c>
      <c r="P751">
        <v>12.5</v>
      </c>
      <c r="Q751">
        <v>90</v>
      </c>
      <c r="R751">
        <v>8.6999999999999993</v>
      </c>
      <c r="S751">
        <v>8.5</v>
      </c>
      <c r="T751">
        <v>2025</v>
      </c>
      <c r="U751">
        <v>6</v>
      </c>
      <c r="V751">
        <v>0</v>
      </c>
      <c r="W751" t="s">
        <v>47</v>
      </c>
      <c r="X751" t="s">
        <v>64</v>
      </c>
      <c r="Y751" t="s">
        <v>38</v>
      </c>
    </row>
    <row r="752" spans="1:25" x14ac:dyDescent="0.35">
      <c r="A752" t="s">
        <v>1631</v>
      </c>
      <c r="B752" t="s">
        <v>66</v>
      </c>
      <c r="C752" t="s">
        <v>67</v>
      </c>
      <c r="D752" t="s">
        <v>28</v>
      </c>
      <c r="E752">
        <v>10</v>
      </c>
      <c r="F752" t="s">
        <v>69</v>
      </c>
      <c r="G752">
        <v>196000</v>
      </c>
      <c r="H752">
        <v>140000</v>
      </c>
      <c r="I752">
        <v>260000</v>
      </c>
      <c r="J752" t="s">
        <v>122</v>
      </c>
      <c r="K752" t="s">
        <v>123</v>
      </c>
      <c r="L752" t="s">
        <v>44</v>
      </c>
      <c r="M752" t="s">
        <v>45</v>
      </c>
      <c r="N752" t="s">
        <v>110</v>
      </c>
      <c r="O752" t="s">
        <v>1632</v>
      </c>
      <c r="P752">
        <v>10.5</v>
      </c>
      <c r="Q752">
        <v>85</v>
      </c>
      <c r="R752">
        <v>15.8</v>
      </c>
      <c r="S752">
        <v>6.6</v>
      </c>
      <c r="T752">
        <v>2026</v>
      </c>
      <c r="U752">
        <v>1</v>
      </c>
      <c r="V752">
        <v>1</v>
      </c>
      <c r="W752" t="s">
        <v>47</v>
      </c>
      <c r="X752" t="s">
        <v>64</v>
      </c>
      <c r="Y752" t="s">
        <v>48</v>
      </c>
    </row>
    <row r="753" spans="1:25" x14ac:dyDescent="0.35">
      <c r="A753" t="s">
        <v>1633</v>
      </c>
      <c r="B753" t="s">
        <v>134</v>
      </c>
      <c r="C753" t="s">
        <v>27</v>
      </c>
      <c r="D753" t="s">
        <v>28</v>
      </c>
      <c r="E753">
        <v>4</v>
      </c>
      <c r="F753" t="s">
        <v>29</v>
      </c>
      <c r="G753">
        <v>340000</v>
      </c>
      <c r="H753">
        <v>150000</v>
      </c>
      <c r="I753">
        <v>295000</v>
      </c>
      <c r="J753" t="s">
        <v>170</v>
      </c>
      <c r="K753" t="s">
        <v>171</v>
      </c>
      <c r="L753" t="s">
        <v>32</v>
      </c>
      <c r="M753" t="s">
        <v>54</v>
      </c>
      <c r="N753" t="s">
        <v>155</v>
      </c>
      <c r="O753" t="s">
        <v>1634</v>
      </c>
      <c r="P753">
        <v>12.5</v>
      </c>
      <c r="Q753">
        <v>95</v>
      </c>
      <c r="R753">
        <v>37.1</v>
      </c>
      <c r="S753">
        <v>6.9</v>
      </c>
      <c r="T753">
        <v>2025</v>
      </c>
      <c r="U753">
        <v>5</v>
      </c>
      <c r="V753">
        <v>1</v>
      </c>
      <c r="W753" t="s">
        <v>36</v>
      </c>
      <c r="X753" t="s">
        <v>37</v>
      </c>
      <c r="Y753" t="s">
        <v>56</v>
      </c>
    </row>
    <row r="754" spans="1:25" x14ac:dyDescent="0.35">
      <c r="A754" t="s">
        <v>1635</v>
      </c>
      <c r="B754" t="s">
        <v>179</v>
      </c>
      <c r="C754" t="s">
        <v>180</v>
      </c>
      <c r="D754" t="s">
        <v>81</v>
      </c>
      <c r="E754">
        <v>6</v>
      </c>
      <c r="F754" t="s">
        <v>69</v>
      </c>
      <c r="G754">
        <v>110000</v>
      </c>
      <c r="H754">
        <v>110000</v>
      </c>
      <c r="I754">
        <v>210000</v>
      </c>
      <c r="J754" t="s">
        <v>137</v>
      </c>
      <c r="K754" t="s">
        <v>138</v>
      </c>
      <c r="L754" t="s">
        <v>44</v>
      </c>
      <c r="M754" t="s">
        <v>82</v>
      </c>
      <c r="N754" t="s">
        <v>155</v>
      </c>
      <c r="O754" t="s">
        <v>1636</v>
      </c>
      <c r="P754">
        <v>9.4</v>
      </c>
      <c r="Q754">
        <v>72</v>
      </c>
      <c r="R754">
        <v>11.7</v>
      </c>
      <c r="S754">
        <v>7.4</v>
      </c>
      <c r="T754">
        <v>2025</v>
      </c>
      <c r="U754">
        <v>2</v>
      </c>
      <c r="V754">
        <v>0</v>
      </c>
      <c r="W754" t="s">
        <v>47</v>
      </c>
      <c r="X754" t="s">
        <v>64</v>
      </c>
      <c r="Y754" t="s">
        <v>95</v>
      </c>
    </row>
    <row r="755" spans="1:25" x14ac:dyDescent="0.35">
      <c r="A755" t="s">
        <v>1637</v>
      </c>
      <c r="B755" t="s">
        <v>224</v>
      </c>
      <c r="C755" t="s">
        <v>27</v>
      </c>
      <c r="D755" t="s">
        <v>68</v>
      </c>
      <c r="E755">
        <v>4</v>
      </c>
      <c r="F755" t="s">
        <v>41</v>
      </c>
      <c r="G755">
        <v>215000</v>
      </c>
      <c r="H755">
        <v>145000</v>
      </c>
      <c r="I755">
        <v>280000</v>
      </c>
      <c r="J755" t="s">
        <v>117</v>
      </c>
      <c r="K755" t="s">
        <v>118</v>
      </c>
      <c r="L755" t="s">
        <v>44</v>
      </c>
      <c r="M755" t="s">
        <v>82</v>
      </c>
      <c r="N755" t="s">
        <v>119</v>
      </c>
      <c r="O755" t="s">
        <v>1638</v>
      </c>
      <c r="P755">
        <v>6.7</v>
      </c>
      <c r="Q755">
        <v>87</v>
      </c>
      <c r="R755">
        <v>8.6999999999999993</v>
      </c>
      <c r="S755">
        <v>6.1</v>
      </c>
      <c r="T755">
        <v>2026</v>
      </c>
      <c r="U755">
        <v>3</v>
      </c>
      <c r="V755">
        <v>1</v>
      </c>
      <c r="W755" t="s">
        <v>47</v>
      </c>
      <c r="X755" t="s">
        <v>64</v>
      </c>
      <c r="Y755" t="s">
        <v>38</v>
      </c>
    </row>
    <row r="756" spans="1:25" x14ac:dyDescent="0.35">
      <c r="A756" t="s">
        <v>1639</v>
      </c>
      <c r="B756" t="s">
        <v>40</v>
      </c>
      <c r="C756" t="s">
        <v>27</v>
      </c>
      <c r="D756" t="s">
        <v>74</v>
      </c>
      <c r="E756">
        <v>1</v>
      </c>
      <c r="F756" t="s">
        <v>69</v>
      </c>
      <c r="G756">
        <v>90000</v>
      </c>
      <c r="H756">
        <v>90000</v>
      </c>
      <c r="I756">
        <v>200000</v>
      </c>
      <c r="J756" t="s">
        <v>92</v>
      </c>
      <c r="K756" t="s">
        <v>93</v>
      </c>
      <c r="L756" t="s">
        <v>44</v>
      </c>
      <c r="M756" t="s">
        <v>82</v>
      </c>
      <c r="N756" t="s">
        <v>34</v>
      </c>
      <c r="O756" t="s">
        <v>1640</v>
      </c>
      <c r="P756">
        <v>7.4</v>
      </c>
      <c r="Q756">
        <v>82</v>
      </c>
      <c r="R756">
        <v>27.3</v>
      </c>
      <c r="S756">
        <v>7.2</v>
      </c>
      <c r="T756">
        <v>2026</v>
      </c>
      <c r="U756">
        <v>2</v>
      </c>
      <c r="V756">
        <v>0</v>
      </c>
      <c r="W756" t="s">
        <v>47</v>
      </c>
      <c r="X756" t="s">
        <v>37</v>
      </c>
      <c r="Y756" t="s">
        <v>98</v>
      </c>
    </row>
    <row r="757" spans="1:25" x14ac:dyDescent="0.35">
      <c r="A757" t="s">
        <v>1641</v>
      </c>
      <c r="B757" t="s">
        <v>179</v>
      </c>
      <c r="C757" t="s">
        <v>180</v>
      </c>
      <c r="D757" t="s">
        <v>28</v>
      </c>
      <c r="E757">
        <v>12</v>
      </c>
      <c r="F757" t="s">
        <v>69</v>
      </c>
      <c r="G757">
        <v>176000</v>
      </c>
      <c r="H757">
        <v>110000</v>
      </c>
      <c r="I757">
        <v>210000</v>
      </c>
      <c r="J757" t="s">
        <v>42</v>
      </c>
      <c r="K757" t="s">
        <v>43</v>
      </c>
      <c r="L757" t="s">
        <v>53</v>
      </c>
      <c r="M757" t="s">
        <v>54</v>
      </c>
      <c r="N757" t="s">
        <v>76</v>
      </c>
      <c r="O757" t="s">
        <v>1642</v>
      </c>
      <c r="P757">
        <v>10</v>
      </c>
      <c r="Q757">
        <v>72</v>
      </c>
      <c r="R757">
        <v>15.3</v>
      </c>
      <c r="S757">
        <v>9.8000000000000007</v>
      </c>
      <c r="T757">
        <v>2025</v>
      </c>
      <c r="U757">
        <v>11</v>
      </c>
      <c r="V757">
        <v>1</v>
      </c>
      <c r="W757" t="s">
        <v>47</v>
      </c>
      <c r="X757" t="s">
        <v>64</v>
      </c>
      <c r="Y757" t="s">
        <v>48</v>
      </c>
    </row>
    <row r="758" spans="1:25" x14ac:dyDescent="0.35">
      <c r="A758" t="s">
        <v>1643</v>
      </c>
      <c r="B758" t="s">
        <v>163</v>
      </c>
      <c r="C758" t="s">
        <v>164</v>
      </c>
      <c r="D758" t="s">
        <v>81</v>
      </c>
      <c r="E758">
        <v>4</v>
      </c>
      <c r="F758" t="s">
        <v>29</v>
      </c>
      <c r="G758">
        <v>139000</v>
      </c>
      <c r="H758">
        <v>125000</v>
      </c>
      <c r="I758">
        <v>240000</v>
      </c>
      <c r="J758" t="s">
        <v>170</v>
      </c>
      <c r="K758" t="s">
        <v>171</v>
      </c>
      <c r="L758" t="s">
        <v>44</v>
      </c>
      <c r="M758" t="s">
        <v>61</v>
      </c>
      <c r="N758" t="s">
        <v>119</v>
      </c>
      <c r="O758" t="s">
        <v>1644</v>
      </c>
      <c r="P758">
        <v>12.5</v>
      </c>
      <c r="Q758">
        <v>76</v>
      </c>
      <c r="R758">
        <v>10.199999999999999</v>
      </c>
      <c r="S758">
        <v>7.3</v>
      </c>
      <c r="T758">
        <v>2025</v>
      </c>
      <c r="U758">
        <v>2</v>
      </c>
      <c r="V758">
        <v>0</v>
      </c>
      <c r="W758" t="s">
        <v>47</v>
      </c>
      <c r="X758" t="s">
        <v>64</v>
      </c>
      <c r="Y758" t="s">
        <v>95</v>
      </c>
    </row>
    <row r="759" spans="1:25" x14ac:dyDescent="0.35">
      <c r="A759" t="s">
        <v>1645</v>
      </c>
      <c r="B759" t="s">
        <v>86</v>
      </c>
      <c r="C759" t="s">
        <v>27</v>
      </c>
      <c r="D759" t="s">
        <v>81</v>
      </c>
      <c r="E759">
        <v>9</v>
      </c>
      <c r="F759" t="s">
        <v>41</v>
      </c>
      <c r="G759">
        <v>231000</v>
      </c>
      <c r="H759">
        <v>180000</v>
      </c>
      <c r="I759">
        <v>312000</v>
      </c>
      <c r="J759" t="s">
        <v>142</v>
      </c>
      <c r="K759" t="s">
        <v>143</v>
      </c>
      <c r="L759" t="s">
        <v>44</v>
      </c>
      <c r="M759" t="s">
        <v>54</v>
      </c>
      <c r="N759" t="s">
        <v>34</v>
      </c>
      <c r="O759" t="s">
        <v>1646</v>
      </c>
      <c r="P759">
        <v>10.3</v>
      </c>
      <c r="Q759">
        <v>96</v>
      </c>
      <c r="R759">
        <v>57</v>
      </c>
      <c r="S759">
        <v>6</v>
      </c>
      <c r="T759">
        <v>2026</v>
      </c>
      <c r="U759">
        <v>2</v>
      </c>
      <c r="V759">
        <v>0</v>
      </c>
      <c r="W759" t="s">
        <v>47</v>
      </c>
      <c r="X759" t="s">
        <v>64</v>
      </c>
      <c r="Y759" t="s">
        <v>38</v>
      </c>
    </row>
    <row r="760" spans="1:25" x14ac:dyDescent="0.35">
      <c r="A760" t="s">
        <v>1647</v>
      </c>
      <c r="B760" t="s">
        <v>233</v>
      </c>
      <c r="C760" t="s">
        <v>180</v>
      </c>
      <c r="D760" t="s">
        <v>81</v>
      </c>
      <c r="E760">
        <v>3</v>
      </c>
      <c r="F760" t="s">
        <v>41</v>
      </c>
      <c r="G760">
        <v>181000</v>
      </c>
      <c r="H760">
        <v>100000</v>
      </c>
      <c r="I760">
        <v>200000</v>
      </c>
      <c r="J760" t="s">
        <v>170</v>
      </c>
      <c r="K760" t="s">
        <v>171</v>
      </c>
      <c r="L760" t="s">
        <v>32</v>
      </c>
      <c r="M760" t="s">
        <v>54</v>
      </c>
      <c r="N760" t="s">
        <v>71</v>
      </c>
      <c r="O760" t="s">
        <v>1648</v>
      </c>
      <c r="P760">
        <v>10.9</v>
      </c>
      <c r="Q760">
        <v>68</v>
      </c>
      <c r="R760">
        <v>6.5</v>
      </c>
      <c r="S760">
        <v>7.7</v>
      </c>
      <c r="T760">
        <v>2026</v>
      </c>
      <c r="U760">
        <v>1</v>
      </c>
      <c r="V760">
        <v>0</v>
      </c>
      <c r="W760" t="s">
        <v>36</v>
      </c>
      <c r="X760" t="s">
        <v>64</v>
      </c>
      <c r="Y760" t="s">
        <v>48</v>
      </c>
    </row>
    <row r="761" spans="1:25" x14ac:dyDescent="0.35">
      <c r="A761" t="s">
        <v>1649</v>
      </c>
      <c r="B761" t="s">
        <v>203</v>
      </c>
      <c r="C761" t="s">
        <v>169</v>
      </c>
      <c r="D761" t="s">
        <v>28</v>
      </c>
      <c r="E761">
        <v>2</v>
      </c>
      <c r="F761" t="s">
        <v>69</v>
      </c>
      <c r="G761">
        <v>176000</v>
      </c>
      <c r="H761">
        <v>138000</v>
      </c>
      <c r="I761">
        <v>195000</v>
      </c>
      <c r="J761" t="s">
        <v>70</v>
      </c>
      <c r="K761" t="s">
        <v>31</v>
      </c>
      <c r="L761" t="s">
        <v>44</v>
      </c>
      <c r="M761" t="s">
        <v>82</v>
      </c>
      <c r="N761" t="s">
        <v>131</v>
      </c>
      <c r="O761" t="s">
        <v>1650</v>
      </c>
      <c r="P761">
        <v>9.3000000000000007</v>
      </c>
      <c r="Q761">
        <v>92</v>
      </c>
      <c r="R761">
        <v>22.9</v>
      </c>
      <c r="S761">
        <v>8.9</v>
      </c>
      <c r="T761">
        <v>2025</v>
      </c>
      <c r="U761">
        <v>3</v>
      </c>
      <c r="V761">
        <v>1</v>
      </c>
      <c r="W761" t="s">
        <v>47</v>
      </c>
      <c r="X761" t="s">
        <v>64</v>
      </c>
      <c r="Y761" t="s">
        <v>48</v>
      </c>
    </row>
    <row r="762" spans="1:25" x14ac:dyDescent="0.35">
      <c r="A762" t="s">
        <v>1651</v>
      </c>
      <c r="B762" t="s">
        <v>40</v>
      </c>
      <c r="C762" t="s">
        <v>27</v>
      </c>
      <c r="D762" t="s">
        <v>81</v>
      </c>
      <c r="E762">
        <v>5</v>
      </c>
      <c r="F762" t="s">
        <v>29</v>
      </c>
      <c r="G762">
        <v>161000</v>
      </c>
      <c r="H762">
        <v>90000</v>
      </c>
      <c r="I762">
        <v>200000</v>
      </c>
      <c r="J762" t="s">
        <v>30</v>
      </c>
      <c r="K762" t="s">
        <v>31</v>
      </c>
      <c r="L762" t="s">
        <v>44</v>
      </c>
      <c r="M762" t="s">
        <v>45</v>
      </c>
      <c r="N762" t="s">
        <v>88</v>
      </c>
      <c r="O762" t="s">
        <v>1652</v>
      </c>
      <c r="P762">
        <v>4.8</v>
      </c>
      <c r="Q762">
        <v>82</v>
      </c>
      <c r="R762">
        <v>10.4</v>
      </c>
      <c r="S762">
        <v>8.8000000000000007</v>
      </c>
      <c r="T762">
        <v>2026</v>
      </c>
      <c r="U762">
        <v>1</v>
      </c>
      <c r="V762">
        <v>0</v>
      </c>
      <c r="W762" t="s">
        <v>47</v>
      </c>
      <c r="X762" t="s">
        <v>37</v>
      </c>
      <c r="Y762" t="s">
        <v>48</v>
      </c>
    </row>
    <row r="763" spans="1:25" x14ac:dyDescent="0.35">
      <c r="A763" t="s">
        <v>1653</v>
      </c>
      <c r="B763" t="s">
        <v>141</v>
      </c>
      <c r="C763" t="s">
        <v>27</v>
      </c>
      <c r="D763" t="s">
        <v>68</v>
      </c>
      <c r="E763">
        <v>4</v>
      </c>
      <c r="F763" t="s">
        <v>51</v>
      </c>
      <c r="G763">
        <v>206000</v>
      </c>
      <c r="H763">
        <v>141000</v>
      </c>
      <c r="I763">
        <v>270000</v>
      </c>
      <c r="J763" t="s">
        <v>137</v>
      </c>
      <c r="K763" t="s">
        <v>138</v>
      </c>
      <c r="L763" t="s">
        <v>44</v>
      </c>
      <c r="M763" t="s">
        <v>82</v>
      </c>
      <c r="N763" t="s">
        <v>34</v>
      </c>
      <c r="O763" t="s">
        <v>1654</v>
      </c>
      <c r="P763">
        <v>5.8</v>
      </c>
      <c r="Q763">
        <v>89</v>
      </c>
      <c r="R763">
        <v>21.2</v>
      </c>
      <c r="S763">
        <v>8.6999999999999993</v>
      </c>
      <c r="T763">
        <v>2026</v>
      </c>
      <c r="U763">
        <v>1</v>
      </c>
      <c r="V763">
        <v>1</v>
      </c>
      <c r="W763" t="s">
        <v>47</v>
      </c>
      <c r="X763" t="s">
        <v>64</v>
      </c>
      <c r="Y763" t="s">
        <v>38</v>
      </c>
    </row>
    <row r="764" spans="1:25" x14ac:dyDescent="0.35">
      <c r="A764" t="s">
        <v>1655</v>
      </c>
      <c r="B764" t="s">
        <v>79</v>
      </c>
      <c r="C764" t="s">
        <v>80</v>
      </c>
      <c r="D764" t="s">
        <v>81</v>
      </c>
      <c r="E764">
        <v>3</v>
      </c>
      <c r="F764" t="s">
        <v>29</v>
      </c>
      <c r="G764">
        <v>234000</v>
      </c>
      <c r="H764">
        <v>140000</v>
      </c>
      <c r="I764">
        <v>260000</v>
      </c>
      <c r="J764" t="s">
        <v>75</v>
      </c>
      <c r="K764" t="s">
        <v>31</v>
      </c>
      <c r="L764" t="s">
        <v>44</v>
      </c>
      <c r="M764" t="s">
        <v>54</v>
      </c>
      <c r="N764" t="s">
        <v>110</v>
      </c>
      <c r="O764" t="s">
        <v>1656</v>
      </c>
      <c r="P764">
        <v>9.4</v>
      </c>
      <c r="Q764">
        <v>80</v>
      </c>
      <c r="R764">
        <v>9.5</v>
      </c>
      <c r="S764">
        <v>7.6</v>
      </c>
      <c r="T764">
        <v>2026</v>
      </c>
      <c r="U764">
        <v>1</v>
      </c>
      <c r="V764">
        <v>0</v>
      </c>
      <c r="W764" t="s">
        <v>47</v>
      </c>
      <c r="X764" t="s">
        <v>64</v>
      </c>
      <c r="Y764" t="s">
        <v>38</v>
      </c>
    </row>
    <row r="765" spans="1:25" x14ac:dyDescent="0.35">
      <c r="A765" t="s">
        <v>1657</v>
      </c>
      <c r="B765" t="s">
        <v>168</v>
      </c>
      <c r="C765" t="s">
        <v>169</v>
      </c>
      <c r="D765" t="s">
        <v>81</v>
      </c>
      <c r="E765">
        <v>11</v>
      </c>
      <c r="F765" t="s">
        <v>51</v>
      </c>
      <c r="G765">
        <v>157000</v>
      </c>
      <c r="H765">
        <v>157000</v>
      </c>
      <c r="I765">
        <v>218000</v>
      </c>
      <c r="J765" t="s">
        <v>42</v>
      </c>
      <c r="K765" t="s">
        <v>43</v>
      </c>
      <c r="L765" t="s">
        <v>32</v>
      </c>
      <c r="M765" t="s">
        <v>33</v>
      </c>
      <c r="N765" t="s">
        <v>83</v>
      </c>
      <c r="O765" t="s">
        <v>1658</v>
      </c>
      <c r="P765">
        <v>8.4</v>
      </c>
      <c r="Q765">
        <v>90</v>
      </c>
      <c r="R765">
        <v>24.5</v>
      </c>
      <c r="S765">
        <v>8.9</v>
      </c>
      <c r="T765">
        <v>2026</v>
      </c>
      <c r="U765">
        <v>3</v>
      </c>
      <c r="V765">
        <v>0</v>
      </c>
      <c r="W765" t="s">
        <v>36</v>
      </c>
      <c r="X765" t="s">
        <v>64</v>
      </c>
      <c r="Y765" t="s">
        <v>48</v>
      </c>
    </row>
    <row r="766" spans="1:25" x14ac:dyDescent="0.35">
      <c r="A766" t="s">
        <v>1659</v>
      </c>
      <c r="B766" t="s">
        <v>196</v>
      </c>
      <c r="C766" t="s">
        <v>27</v>
      </c>
      <c r="D766" t="s">
        <v>81</v>
      </c>
      <c r="E766">
        <v>7</v>
      </c>
      <c r="F766" t="s">
        <v>51</v>
      </c>
      <c r="G766">
        <v>135000</v>
      </c>
      <c r="H766">
        <v>100000</v>
      </c>
      <c r="I766">
        <v>250000</v>
      </c>
      <c r="J766" t="s">
        <v>52</v>
      </c>
      <c r="K766" t="s">
        <v>31</v>
      </c>
      <c r="L766" t="s">
        <v>32</v>
      </c>
      <c r="M766" t="s">
        <v>82</v>
      </c>
      <c r="N766" t="s">
        <v>124</v>
      </c>
      <c r="O766" t="s">
        <v>1660</v>
      </c>
      <c r="P766">
        <v>11.5</v>
      </c>
      <c r="Q766">
        <v>95</v>
      </c>
      <c r="R766">
        <v>42.7</v>
      </c>
      <c r="S766">
        <v>6.4</v>
      </c>
      <c r="T766">
        <v>2026</v>
      </c>
      <c r="U766">
        <v>3</v>
      </c>
      <c r="V766">
        <v>0</v>
      </c>
      <c r="W766" t="s">
        <v>36</v>
      </c>
      <c r="X766" t="s">
        <v>64</v>
      </c>
      <c r="Y766" t="s">
        <v>95</v>
      </c>
    </row>
    <row r="767" spans="1:25" x14ac:dyDescent="0.35">
      <c r="A767" t="s">
        <v>1661</v>
      </c>
      <c r="B767" t="s">
        <v>149</v>
      </c>
      <c r="C767" t="s">
        <v>150</v>
      </c>
      <c r="D767" t="s">
        <v>81</v>
      </c>
      <c r="E767">
        <v>4</v>
      </c>
      <c r="F767" t="s">
        <v>41</v>
      </c>
      <c r="G767">
        <v>135000</v>
      </c>
      <c r="H767">
        <v>130000</v>
      </c>
      <c r="I767">
        <v>260000</v>
      </c>
      <c r="J767" t="s">
        <v>129</v>
      </c>
      <c r="K767" t="s">
        <v>130</v>
      </c>
      <c r="L767" t="s">
        <v>44</v>
      </c>
      <c r="M767" t="s">
        <v>82</v>
      </c>
      <c r="N767" t="s">
        <v>110</v>
      </c>
      <c r="O767" t="s">
        <v>1662</v>
      </c>
      <c r="P767">
        <v>15.9</v>
      </c>
      <c r="Q767">
        <v>93</v>
      </c>
      <c r="R767">
        <v>37.9</v>
      </c>
      <c r="S767">
        <v>7.8</v>
      </c>
      <c r="T767">
        <v>2026</v>
      </c>
      <c r="U767">
        <v>2</v>
      </c>
      <c r="V767">
        <v>0</v>
      </c>
      <c r="W767" t="s">
        <v>47</v>
      </c>
      <c r="X767" t="s">
        <v>64</v>
      </c>
      <c r="Y767" t="s">
        <v>95</v>
      </c>
    </row>
    <row r="768" spans="1:25" x14ac:dyDescent="0.35">
      <c r="A768" t="s">
        <v>1663</v>
      </c>
      <c r="B768" t="s">
        <v>196</v>
      </c>
      <c r="C768" t="s">
        <v>27</v>
      </c>
      <c r="D768" t="s">
        <v>74</v>
      </c>
      <c r="E768">
        <v>3</v>
      </c>
      <c r="F768" t="s">
        <v>41</v>
      </c>
      <c r="G768">
        <v>194000</v>
      </c>
      <c r="H768">
        <v>100000</v>
      </c>
      <c r="I768">
        <v>250000</v>
      </c>
      <c r="J768" t="s">
        <v>296</v>
      </c>
      <c r="K768" t="s">
        <v>31</v>
      </c>
      <c r="L768" t="s">
        <v>44</v>
      </c>
      <c r="M768" t="s">
        <v>54</v>
      </c>
      <c r="N768" t="s">
        <v>76</v>
      </c>
      <c r="O768" t="s">
        <v>1664</v>
      </c>
      <c r="P768">
        <v>9.1999999999999993</v>
      </c>
      <c r="Q768">
        <v>95</v>
      </c>
      <c r="R768">
        <v>45.1</v>
      </c>
      <c r="S768">
        <v>9</v>
      </c>
      <c r="T768">
        <v>2026</v>
      </c>
      <c r="U768">
        <v>2</v>
      </c>
      <c r="V768">
        <v>0</v>
      </c>
      <c r="W768" t="s">
        <v>47</v>
      </c>
      <c r="X768" t="s">
        <v>64</v>
      </c>
      <c r="Y768" t="s">
        <v>48</v>
      </c>
    </row>
    <row r="769" spans="1:25" x14ac:dyDescent="0.35">
      <c r="A769" t="s">
        <v>1665</v>
      </c>
      <c r="B769" t="s">
        <v>58</v>
      </c>
      <c r="C769" t="s">
        <v>59</v>
      </c>
      <c r="D769" t="s">
        <v>28</v>
      </c>
      <c r="E769">
        <v>5</v>
      </c>
      <c r="F769" t="s">
        <v>29</v>
      </c>
      <c r="G769">
        <v>263000</v>
      </c>
      <c r="H769">
        <v>130000</v>
      </c>
      <c r="I769">
        <v>220000</v>
      </c>
      <c r="J769" t="s">
        <v>296</v>
      </c>
      <c r="K769" t="s">
        <v>31</v>
      </c>
      <c r="L769" t="s">
        <v>32</v>
      </c>
      <c r="M769" t="s">
        <v>82</v>
      </c>
      <c r="N769" t="s">
        <v>71</v>
      </c>
      <c r="O769" t="s">
        <v>1666</v>
      </c>
      <c r="P769">
        <v>14</v>
      </c>
      <c r="Q769">
        <v>88</v>
      </c>
      <c r="R769">
        <v>20.399999999999999</v>
      </c>
      <c r="S769">
        <v>7.7</v>
      </c>
      <c r="T769">
        <v>2025</v>
      </c>
      <c r="U769">
        <v>1</v>
      </c>
      <c r="V769">
        <v>1</v>
      </c>
      <c r="W769" t="s">
        <v>36</v>
      </c>
      <c r="X769" t="s">
        <v>64</v>
      </c>
      <c r="Y769" t="s">
        <v>38</v>
      </c>
    </row>
    <row r="770" spans="1:25" x14ac:dyDescent="0.35">
      <c r="A770" t="s">
        <v>1667</v>
      </c>
      <c r="B770" t="s">
        <v>233</v>
      </c>
      <c r="C770" t="s">
        <v>180</v>
      </c>
      <c r="D770" t="s">
        <v>81</v>
      </c>
      <c r="E770">
        <v>7</v>
      </c>
      <c r="F770" t="s">
        <v>29</v>
      </c>
      <c r="G770">
        <v>100000</v>
      </c>
      <c r="H770">
        <v>100000</v>
      </c>
      <c r="I770">
        <v>200000</v>
      </c>
      <c r="J770" t="s">
        <v>108</v>
      </c>
      <c r="K770" t="s">
        <v>109</v>
      </c>
      <c r="L770" t="s">
        <v>44</v>
      </c>
      <c r="M770" t="s">
        <v>54</v>
      </c>
      <c r="N770" t="s">
        <v>110</v>
      </c>
      <c r="O770" t="s">
        <v>1668</v>
      </c>
      <c r="P770">
        <v>10.6</v>
      </c>
      <c r="Q770">
        <v>68</v>
      </c>
      <c r="R770">
        <v>26.4</v>
      </c>
      <c r="S770">
        <v>6.7</v>
      </c>
      <c r="T770">
        <v>2026</v>
      </c>
      <c r="U770">
        <v>2</v>
      </c>
      <c r="V770">
        <v>0</v>
      </c>
      <c r="W770" t="s">
        <v>47</v>
      </c>
      <c r="X770" t="s">
        <v>64</v>
      </c>
      <c r="Y770" t="s">
        <v>98</v>
      </c>
    </row>
    <row r="771" spans="1:25" x14ac:dyDescent="0.35">
      <c r="A771" t="s">
        <v>1669</v>
      </c>
      <c r="B771" t="s">
        <v>91</v>
      </c>
      <c r="C771" t="s">
        <v>27</v>
      </c>
      <c r="D771" t="s">
        <v>68</v>
      </c>
      <c r="E771">
        <v>4</v>
      </c>
      <c r="F771" t="s">
        <v>29</v>
      </c>
      <c r="G771">
        <v>259000</v>
      </c>
      <c r="H771">
        <v>145000</v>
      </c>
      <c r="I771">
        <v>290000</v>
      </c>
      <c r="J771" t="s">
        <v>117</v>
      </c>
      <c r="K771" t="s">
        <v>118</v>
      </c>
      <c r="L771" t="s">
        <v>44</v>
      </c>
      <c r="M771" t="s">
        <v>61</v>
      </c>
      <c r="N771" t="s">
        <v>155</v>
      </c>
      <c r="O771" t="s">
        <v>1670</v>
      </c>
      <c r="P771">
        <v>7.7</v>
      </c>
      <c r="Q771">
        <v>91</v>
      </c>
      <c r="R771">
        <v>68.3</v>
      </c>
      <c r="S771">
        <v>7.5</v>
      </c>
      <c r="T771">
        <v>2025</v>
      </c>
      <c r="U771">
        <v>4</v>
      </c>
      <c r="V771">
        <v>1</v>
      </c>
      <c r="W771" t="s">
        <v>47</v>
      </c>
      <c r="X771" t="s">
        <v>64</v>
      </c>
      <c r="Y771" t="s">
        <v>38</v>
      </c>
    </row>
    <row r="772" spans="1:25" x14ac:dyDescent="0.35">
      <c r="A772" t="s">
        <v>1671</v>
      </c>
      <c r="B772" t="s">
        <v>40</v>
      </c>
      <c r="C772" t="s">
        <v>27</v>
      </c>
      <c r="D772" t="s">
        <v>68</v>
      </c>
      <c r="E772">
        <v>3</v>
      </c>
      <c r="F772" t="s">
        <v>29</v>
      </c>
      <c r="G772">
        <v>208000</v>
      </c>
      <c r="H772">
        <v>90000</v>
      </c>
      <c r="I772">
        <v>200000</v>
      </c>
      <c r="J772" t="s">
        <v>191</v>
      </c>
      <c r="K772" t="s">
        <v>31</v>
      </c>
      <c r="L772" t="s">
        <v>53</v>
      </c>
      <c r="M772" t="s">
        <v>82</v>
      </c>
      <c r="N772" t="s">
        <v>83</v>
      </c>
      <c r="O772" t="s">
        <v>1672</v>
      </c>
      <c r="P772">
        <v>5.6</v>
      </c>
      <c r="Q772">
        <v>82</v>
      </c>
      <c r="R772">
        <v>12.3</v>
      </c>
      <c r="S772">
        <v>9.3000000000000007</v>
      </c>
      <c r="T772">
        <v>2025</v>
      </c>
      <c r="U772">
        <v>4</v>
      </c>
      <c r="V772">
        <v>1</v>
      </c>
      <c r="W772" t="s">
        <v>47</v>
      </c>
      <c r="X772" t="s">
        <v>37</v>
      </c>
      <c r="Y772" t="s">
        <v>38</v>
      </c>
    </row>
    <row r="773" spans="1:25" x14ac:dyDescent="0.35">
      <c r="A773" t="s">
        <v>1673</v>
      </c>
      <c r="B773" t="s">
        <v>134</v>
      </c>
      <c r="C773" t="s">
        <v>27</v>
      </c>
      <c r="D773" t="s">
        <v>81</v>
      </c>
      <c r="E773">
        <v>8</v>
      </c>
      <c r="F773" t="s">
        <v>128</v>
      </c>
      <c r="G773">
        <v>193000</v>
      </c>
      <c r="H773">
        <v>150000</v>
      </c>
      <c r="I773">
        <v>295000</v>
      </c>
      <c r="J773" t="s">
        <v>60</v>
      </c>
      <c r="K773" t="s">
        <v>60</v>
      </c>
      <c r="L773" t="s">
        <v>53</v>
      </c>
      <c r="M773" t="s">
        <v>82</v>
      </c>
      <c r="N773" t="s">
        <v>110</v>
      </c>
      <c r="O773" t="s">
        <v>1674</v>
      </c>
      <c r="P773">
        <v>13.1</v>
      </c>
      <c r="Q773">
        <v>95</v>
      </c>
      <c r="R773">
        <v>85.1</v>
      </c>
      <c r="S773">
        <v>8</v>
      </c>
      <c r="T773">
        <v>2026</v>
      </c>
      <c r="U773">
        <v>1</v>
      </c>
      <c r="V773">
        <v>0</v>
      </c>
      <c r="W773" t="s">
        <v>47</v>
      </c>
      <c r="X773" t="s">
        <v>37</v>
      </c>
      <c r="Y773" t="s">
        <v>48</v>
      </c>
    </row>
    <row r="774" spans="1:25" x14ac:dyDescent="0.35">
      <c r="A774" t="s">
        <v>1675</v>
      </c>
      <c r="B774" t="s">
        <v>233</v>
      </c>
      <c r="C774" t="s">
        <v>180</v>
      </c>
      <c r="D774" t="s">
        <v>28</v>
      </c>
      <c r="E774">
        <v>5</v>
      </c>
      <c r="F774" t="s">
        <v>29</v>
      </c>
      <c r="G774">
        <v>135000</v>
      </c>
      <c r="H774">
        <v>100000</v>
      </c>
      <c r="I774">
        <v>200000</v>
      </c>
      <c r="J774" t="s">
        <v>42</v>
      </c>
      <c r="K774" t="s">
        <v>43</v>
      </c>
      <c r="L774" t="s">
        <v>44</v>
      </c>
      <c r="M774" t="s">
        <v>33</v>
      </c>
      <c r="N774" t="s">
        <v>119</v>
      </c>
      <c r="O774" t="s">
        <v>1676</v>
      </c>
      <c r="P774">
        <v>17.899999999999999</v>
      </c>
      <c r="Q774">
        <v>68</v>
      </c>
      <c r="R774">
        <v>12.3</v>
      </c>
      <c r="S774">
        <v>6.8</v>
      </c>
      <c r="T774">
        <v>2025</v>
      </c>
      <c r="U774">
        <v>6</v>
      </c>
      <c r="V774">
        <v>1</v>
      </c>
      <c r="W774" t="s">
        <v>47</v>
      </c>
      <c r="X774" t="s">
        <v>64</v>
      </c>
      <c r="Y774" t="s">
        <v>95</v>
      </c>
    </row>
    <row r="775" spans="1:25" x14ac:dyDescent="0.35">
      <c r="A775" t="s">
        <v>1677</v>
      </c>
      <c r="B775" t="s">
        <v>141</v>
      </c>
      <c r="C775" t="s">
        <v>27</v>
      </c>
      <c r="D775" t="s">
        <v>28</v>
      </c>
      <c r="E775">
        <v>6</v>
      </c>
      <c r="F775" t="s">
        <v>41</v>
      </c>
      <c r="G775">
        <v>195000</v>
      </c>
      <c r="H775">
        <v>141000</v>
      </c>
      <c r="I775">
        <v>270000</v>
      </c>
      <c r="J775" t="s">
        <v>117</v>
      </c>
      <c r="K775" t="s">
        <v>118</v>
      </c>
      <c r="L775" t="s">
        <v>53</v>
      </c>
      <c r="M775" t="s">
        <v>82</v>
      </c>
      <c r="N775" t="s">
        <v>124</v>
      </c>
      <c r="O775" t="s">
        <v>1678</v>
      </c>
      <c r="P775">
        <v>3.9</v>
      </c>
      <c r="Q775">
        <v>89</v>
      </c>
      <c r="R775">
        <v>6.2</v>
      </c>
      <c r="S775">
        <v>9.6999999999999993</v>
      </c>
      <c r="T775">
        <v>2025</v>
      </c>
      <c r="U775">
        <v>2</v>
      </c>
      <c r="V775">
        <v>1</v>
      </c>
      <c r="W775" t="s">
        <v>47</v>
      </c>
      <c r="X775" t="s">
        <v>64</v>
      </c>
      <c r="Y775" t="s">
        <v>48</v>
      </c>
    </row>
    <row r="776" spans="1:25" x14ac:dyDescent="0.35">
      <c r="A776" t="s">
        <v>1679</v>
      </c>
      <c r="B776" t="s">
        <v>26</v>
      </c>
      <c r="C776" t="s">
        <v>27</v>
      </c>
      <c r="D776" t="s">
        <v>81</v>
      </c>
      <c r="E776">
        <v>4</v>
      </c>
      <c r="F776" t="s">
        <v>29</v>
      </c>
      <c r="G776">
        <v>257000</v>
      </c>
      <c r="H776">
        <v>155000</v>
      </c>
      <c r="I776">
        <v>290000</v>
      </c>
      <c r="J776" t="s">
        <v>70</v>
      </c>
      <c r="K776" t="s">
        <v>31</v>
      </c>
      <c r="L776" t="s">
        <v>53</v>
      </c>
      <c r="M776" t="s">
        <v>45</v>
      </c>
      <c r="N776" t="s">
        <v>165</v>
      </c>
      <c r="O776" t="s">
        <v>1680</v>
      </c>
      <c r="P776">
        <v>13</v>
      </c>
      <c r="Q776">
        <v>96</v>
      </c>
      <c r="R776">
        <v>85.2</v>
      </c>
      <c r="S776">
        <v>9.8000000000000007</v>
      </c>
      <c r="T776">
        <v>2025</v>
      </c>
      <c r="U776">
        <v>9</v>
      </c>
      <c r="V776">
        <v>0</v>
      </c>
      <c r="W776" t="s">
        <v>47</v>
      </c>
      <c r="X776" t="s">
        <v>37</v>
      </c>
      <c r="Y776" t="s">
        <v>38</v>
      </c>
    </row>
    <row r="777" spans="1:25" x14ac:dyDescent="0.35">
      <c r="A777" t="s">
        <v>1681</v>
      </c>
      <c r="B777" t="s">
        <v>40</v>
      </c>
      <c r="C777" t="s">
        <v>27</v>
      </c>
      <c r="D777" t="s">
        <v>74</v>
      </c>
      <c r="E777">
        <v>2</v>
      </c>
      <c r="F777" t="s">
        <v>41</v>
      </c>
      <c r="G777">
        <v>120000</v>
      </c>
      <c r="H777">
        <v>90000</v>
      </c>
      <c r="I777">
        <v>200000</v>
      </c>
      <c r="J777" t="s">
        <v>102</v>
      </c>
      <c r="K777" t="s">
        <v>103</v>
      </c>
      <c r="L777" t="s">
        <v>32</v>
      </c>
      <c r="M777" t="s">
        <v>54</v>
      </c>
      <c r="N777" t="s">
        <v>155</v>
      </c>
      <c r="O777" t="s">
        <v>1682</v>
      </c>
      <c r="P777">
        <v>7.2</v>
      </c>
      <c r="Q777">
        <v>82</v>
      </c>
      <c r="R777">
        <v>28.1</v>
      </c>
      <c r="S777">
        <v>6.9</v>
      </c>
      <c r="T777">
        <v>2025</v>
      </c>
      <c r="U777">
        <v>8</v>
      </c>
      <c r="V777">
        <v>0</v>
      </c>
      <c r="W777" t="s">
        <v>36</v>
      </c>
      <c r="X777" t="s">
        <v>37</v>
      </c>
      <c r="Y777" t="s">
        <v>95</v>
      </c>
    </row>
    <row r="778" spans="1:25" x14ac:dyDescent="0.35">
      <c r="A778" t="s">
        <v>1683</v>
      </c>
      <c r="B778" t="s">
        <v>26</v>
      </c>
      <c r="C778" t="s">
        <v>27</v>
      </c>
      <c r="D778" t="s">
        <v>28</v>
      </c>
      <c r="E778">
        <v>7</v>
      </c>
      <c r="F778" t="s">
        <v>51</v>
      </c>
      <c r="G778">
        <v>212000</v>
      </c>
      <c r="H778">
        <v>155000</v>
      </c>
      <c r="I778">
        <v>290000</v>
      </c>
      <c r="J778" t="s">
        <v>47</v>
      </c>
      <c r="K778" t="s">
        <v>87</v>
      </c>
      <c r="L778" t="s">
        <v>44</v>
      </c>
      <c r="M778" t="s">
        <v>82</v>
      </c>
      <c r="N778" t="s">
        <v>34</v>
      </c>
      <c r="O778" t="s">
        <v>1684</v>
      </c>
      <c r="P778">
        <v>8.6999999999999993</v>
      </c>
      <c r="Q778">
        <v>96</v>
      </c>
      <c r="R778">
        <v>24</v>
      </c>
      <c r="S778">
        <v>8</v>
      </c>
      <c r="T778">
        <v>2026</v>
      </c>
      <c r="U778">
        <v>2</v>
      </c>
      <c r="V778">
        <v>1</v>
      </c>
      <c r="W778" t="s">
        <v>47</v>
      </c>
      <c r="X778" t="s">
        <v>37</v>
      </c>
      <c r="Y778" t="s">
        <v>38</v>
      </c>
    </row>
    <row r="779" spans="1:25" x14ac:dyDescent="0.35">
      <c r="A779" t="s">
        <v>1685</v>
      </c>
      <c r="B779" t="s">
        <v>203</v>
      </c>
      <c r="C779" t="s">
        <v>169</v>
      </c>
      <c r="D779" t="s">
        <v>81</v>
      </c>
      <c r="E779">
        <v>5</v>
      </c>
      <c r="F779" t="s">
        <v>29</v>
      </c>
      <c r="G779">
        <v>138000</v>
      </c>
      <c r="H779">
        <v>138000</v>
      </c>
      <c r="I779">
        <v>195000</v>
      </c>
      <c r="J779" t="s">
        <v>102</v>
      </c>
      <c r="K779" t="s">
        <v>103</v>
      </c>
      <c r="L779" t="s">
        <v>44</v>
      </c>
      <c r="M779" t="s">
        <v>82</v>
      </c>
      <c r="N779" t="s">
        <v>71</v>
      </c>
      <c r="O779" t="s">
        <v>1686</v>
      </c>
      <c r="P779">
        <v>6.5</v>
      </c>
      <c r="Q779">
        <v>92</v>
      </c>
      <c r="R779">
        <v>20.399999999999999</v>
      </c>
      <c r="S779">
        <v>7.7</v>
      </c>
      <c r="T779">
        <v>2025</v>
      </c>
      <c r="U779">
        <v>7</v>
      </c>
      <c r="V779">
        <v>0</v>
      </c>
      <c r="W779" t="s">
        <v>47</v>
      </c>
      <c r="X779" t="s">
        <v>64</v>
      </c>
      <c r="Y779" t="s">
        <v>95</v>
      </c>
    </row>
    <row r="780" spans="1:25" x14ac:dyDescent="0.35">
      <c r="A780" t="s">
        <v>1687</v>
      </c>
      <c r="B780" t="s">
        <v>86</v>
      </c>
      <c r="C780" t="s">
        <v>27</v>
      </c>
      <c r="D780" t="s">
        <v>74</v>
      </c>
      <c r="E780">
        <v>11</v>
      </c>
      <c r="F780" t="s">
        <v>128</v>
      </c>
      <c r="G780">
        <v>212000</v>
      </c>
      <c r="H780">
        <v>180000</v>
      </c>
      <c r="I780">
        <v>312000</v>
      </c>
      <c r="J780" t="s">
        <v>52</v>
      </c>
      <c r="K780" t="s">
        <v>31</v>
      </c>
      <c r="L780" t="s">
        <v>44</v>
      </c>
      <c r="M780" t="s">
        <v>82</v>
      </c>
      <c r="N780" t="s">
        <v>76</v>
      </c>
      <c r="O780" t="s">
        <v>1688</v>
      </c>
      <c r="P780">
        <v>17.7</v>
      </c>
      <c r="Q780">
        <v>96</v>
      </c>
      <c r="R780">
        <v>69.3</v>
      </c>
      <c r="S780">
        <v>8</v>
      </c>
      <c r="T780">
        <v>2025</v>
      </c>
      <c r="U780">
        <v>12</v>
      </c>
      <c r="V780">
        <v>0</v>
      </c>
      <c r="W780" t="s">
        <v>47</v>
      </c>
      <c r="X780" t="s">
        <v>64</v>
      </c>
      <c r="Y780" t="s">
        <v>38</v>
      </c>
    </row>
    <row r="781" spans="1:25" x14ac:dyDescent="0.35">
      <c r="A781" t="s">
        <v>1689</v>
      </c>
      <c r="B781" t="s">
        <v>168</v>
      </c>
      <c r="C781" t="s">
        <v>169</v>
      </c>
      <c r="D781" t="s">
        <v>74</v>
      </c>
      <c r="E781">
        <v>5</v>
      </c>
      <c r="F781" t="s">
        <v>29</v>
      </c>
      <c r="G781">
        <v>157000</v>
      </c>
      <c r="H781">
        <v>157000</v>
      </c>
      <c r="I781">
        <v>218000</v>
      </c>
      <c r="J781" t="s">
        <v>122</v>
      </c>
      <c r="K781" t="s">
        <v>123</v>
      </c>
      <c r="L781" t="s">
        <v>32</v>
      </c>
      <c r="M781" t="s">
        <v>33</v>
      </c>
      <c r="N781" t="s">
        <v>76</v>
      </c>
      <c r="O781" t="s">
        <v>1690</v>
      </c>
      <c r="P781">
        <v>6.2</v>
      </c>
      <c r="Q781">
        <v>90</v>
      </c>
      <c r="R781">
        <v>13</v>
      </c>
      <c r="S781">
        <v>8.8000000000000007</v>
      </c>
      <c r="T781">
        <v>2025</v>
      </c>
      <c r="U781">
        <v>3</v>
      </c>
      <c r="V781">
        <v>0</v>
      </c>
      <c r="W781" t="s">
        <v>36</v>
      </c>
      <c r="X781" t="s">
        <v>64</v>
      </c>
      <c r="Y781" t="s">
        <v>48</v>
      </c>
    </row>
    <row r="782" spans="1:25" x14ac:dyDescent="0.35">
      <c r="A782" t="s">
        <v>1691</v>
      </c>
      <c r="B782" t="s">
        <v>233</v>
      </c>
      <c r="C782" t="s">
        <v>180</v>
      </c>
      <c r="D782" t="s">
        <v>28</v>
      </c>
      <c r="E782">
        <v>9</v>
      </c>
      <c r="F782" t="s">
        <v>128</v>
      </c>
      <c r="G782">
        <v>201000</v>
      </c>
      <c r="H782">
        <v>100000</v>
      </c>
      <c r="I782">
        <v>200000</v>
      </c>
      <c r="J782" t="s">
        <v>70</v>
      </c>
      <c r="K782" t="s">
        <v>31</v>
      </c>
      <c r="L782" t="s">
        <v>32</v>
      </c>
      <c r="M782" t="s">
        <v>82</v>
      </c>
      <c r="N782" t="s">
        <v>165</v>
      </c>
      <c r="O782" t="s">
        <v>1692</v>
      </c>
      <c r="P782">
        <v>13.2</v>
      </c>
      <c r="Q782">
        <v>68</v>
      </c>
      <c r="R782">
        <v>11.6</v>
      </c>
      <c r="S782">
        <v>8.8000000000000007</v>
      </c>
      <c r="T782">
        <v>2025</v>
      </c>
      <c r="U782">
        <v>4</v>
      </c>
      <c r="V782">
        <v>1</v>
      </c>
      <c r="W782" t="s">
        <v>36</v>
      </c>
      <c r="X782" t="s">
        <v>64</v>
      </c>
      <c r="Y782" t="s">
        <v>38</v>
      </c>
    </row>
    <row r="783" spans="1:25" x14ac:dyDescent="0.35">
      <c r="A783" t="s">
        <v>1693</v>
      </c>
      <c r="B783" t="s">
        <v>149</v>
      </c>
      <c r="C783" t="s">
        <v>150</v>
      </c>
      <c r="D783" t="s">
        <v>68</v>
      </c>
      <c r="E783">
        <v>4</v>
      </c>
      <c r="F783" t="s">
        <v>29</v>
      </c>
      <c r="G783">
        <v>183000</v>
      </c>
      <c r="H783">
        <v>130000</v>
      </c>
      <c r="I783">
        <v>260000</v>
      </c>
      <c r="J783" t="s">
        <v>102</v>
      </c>
      <c r="K783" t="s">
        <v>103</v>
      </c>
      <c r="L783" t="s">
        <v>44</v>
      </c>
      <c r="M783" t="s">
        <v>33</v>
      </c>
      <c r="N783" t="s">
        <v>119</v>
      </c>
      <c r="O783" t="s">
        <v>1694</v>
      </c>
      <c r="P783">
        <v>15.2</v>
      </c>
      <c r="Q783">
        <v>93</v>
      </c>
      <c r="R783">
        <v>18.899999999999999</v>
      </c>
      <c r="S783">
        <v>8.5</v>
      </c>
      <c r="T783">
        <v>2026</v>
      </c>
      <c r="U783">
        <v>3</v>
      </c>
      <c r="V783">
        <v>1</v>
      </c>
      <c r="W783" t="s">
        <v>47</v>
      </c>
      <c r="X783" t="s">
        <v>64</v>
      </c>
      <c r="Y783" t="s">
        <v>48</v>
      </c>
    </row>
    <row r="784" spans="1:25" x14ac:dyDescent="0.35">
      <c r="A784" t="s">
        <v>1695</v>
      </c>
      <c r="B784" t="s">
        <v>196</v>
      </c>
      <c r="C784" t="s">
        <v>27</v>
      </c>
      <c r="D784" t="s">
        <v>28</v>
      </c>
      <c r="E784">
        <v>2</v>
      </c>
      <c r="F784" t="s">
        <v>51</v>
      </c>
      <c r="G784">
        <v>100000</v>
      </c>
      <c r="H784">
        <v>100000</v>
      </c>
      <c r="I784">
        <v>250000</v>
      </c>
      <c r="J784" t="s">
        <v>108</v>
      </c>
      <c r="K784" t="s">
        <v>109</v>
      </c>
      <c r="L784" t="s">
        <v>53</v>
      </c>
      <c r="M784" t="s">
        <v>33</v>
      </c>
      <c r="N784" t="s">
        <v>76</v>
      </c>
      <c r="O784" t="s">
        <v>1696</v>
      </c>
      <c r="P784">
        <v>15.1</v>
      </c>
      <c r="Q784">
        <v>95</v>
      </c>
      <c r="R784">
        <v>60.5</v>
      </c>
      <c r="S784">
        <v>8.4</v>
      </c>
      <c r="T784">
        <v>2026</v>
      </c>
      <c r="U784">
        <v>3</v>
      </c>
      <c r="V784">
        <v>1</v>
      </c>
      <c r="W784" t="s">
        <v>47</v>
      </c>
      <c r="X784" t="s">
        <v>64</v>
      </c>
      <c r="Y784" t="s">
        <v>98</v>
      </c>
    </row>
    <row r="785" spans="1:25" x14ac:dyDescent="0.35">
      <c r="A785" t="s">
        <v>1697</v>
      </c>
      <c r="B785" t="s">
        <v>50</v>
      </c>
      <c r="C785" t="s">
        <v>27</v>
      </c>
      <c r="D785" t="s">
        <v>68</v>
      </c>
      <c r="E785">
        <v>4</v>
      </c>
      <c r="F785" t="s">
        <v>41</v>
      </c>
      <c r="G785">
        <v>360000</v>
      </c>
      <c r="H785">
        <v>160000</v>
      </c>
      <c r="I785">
        <v>300000</v>
      </c>
      <c r="J785" t="s">
        <v>129</v>
      </c>
      <c r="K785" t="s">
        <v>130</v>
      </c>
      <c r="L785" t="s">
        <v>32</v>
      </c>
      <c r="M785" t="s">
        <v>54</v>
      </c>
      <c r="N785" t="s">
        <v>165</v>
      </c>
      <c r="O785" t="s">
        <v>1698</v>
      </c>
      <c r="P785">
        <v>3.1</v>
      </c>
      <c r="Q785">
        <v>98</v>
      </c>
      <c r="R785">
        <v>51.5</v>
      </c>
      <c r="S785">
        <v>7.2</v>
      </c>
      <c r="T785">
        <v>2026</v>
      </c>
      <c r="U785">
        <v>1</v>
      </c>
      <c r="V785">
        <v>1</v>
      </c>
      <c r="W785" t="s">
        <v>36</v>
      </c>
      <c r="X785" t="s">
        <v>37</v>
      </c>
      <c r="Y785" t="s">
        <v>56</v>
      </c>
    </row>
    <row r="786" spans="1:25" x14ac:dyDescent="0.35">
      <c r="A786" t="s">
        <v>1699</v>
      </c>
      <c r="B786" t="s">
        <v>609</v>
      </c>
      <c r="C786" t="s">
        <v>124</v>
      </c>
      <c r="D786" t="s">
        <v>81</v>
      </c>
      <c r="E786">
        <v>6</v>
      </c>
      <c r="F786" t="s">
        <v>29</v>
      </c>
      <c r="G786">
        <v>163000</v>
      </c>
      <c r="H786">
        <v>115000</v>
      </c>
      <c r="I786">
        <v>280000</v>
      </c>
      <c r="J786" t="s">
        <v>70</v>
      </c>
      <c r="K786" t="s">
        <v>31</v>
      </c>
      <c r="L786" t="s">
        <v>32</v>
      </c>
      <c r="M786" t="s">
        <v>33</v>
      </c>
      <c r="N786" t="s">
        <v>119</v>
      </c>
      <c r="O786" t="s">
        <v>1700</v>
      </c>
      <c r="P786">
        <v>15.6</v>
      </c>
      <c r="Q786">
        <v>88</v>
      </c>
      <c r="R786">
        <v>29.3</v>
      </c>
      <c r="S786">
        <v>6.1</v>
      </c>
      <c r="T786">
        <v>2026</v>
      </c>
      <c r="U786">
        <v>3</v>
      </c>
      <c r="V786">
        <v>0</v>
      </c>
      <c r="W786" t="s">
        <v>36</v>
      </c>
      <c r="X786" t="s">
        <v>64</v>
      </c>
      <c r="Y786" t="s">
        <v>48</v>
      </c>
    </row>
    <row r="787" spans="1:25" x14ac:dyDescent="0.35">
      <c r="A787" t="s">
        <v>1701</v>
      </c>
      <c r="B787" t="s">
        <v>141</v>
      </c>
      <c r="C787" t="s">
        <v>27</v>
      </c>
      <c r="D787" t="s">
        <v>81</v>
      </c>
      <c r="E787">
        <v>8</v>
      </c>
      <c r="F787" t="s">
        <v>51</v>
      </c>
      <c r="G787">
        <v>174000</v>
      </c>
      <c r="H787">
        <v>141000</v>
      </c>
      <c r="I787">
        <v>270000</v>
      </c>
      <c r="J787" t="s">
        <v>129</v>
      </c>
      <c r="K787" t="s">
        <v>130</v>
      </c>
      <c r="L787" t="s">
        <v>53</v>
      </c>
      <c r="M787" t="s">
        <v>54</v>
      </c>
      <c r="N787" t="s">
        <v>76</v>
      </c>
      <c r="O787" t="s">
        <v>1702</v>
      </c>
      <c r="P787">
        <v>3.8</v>
      </c>
      <c r="Q787">
        <v>89</v>
      </c>
      <c r="R787">
        <v>8.6</v>
      </c>
      <c r="S787">
        <v>8.6</v>
      </c>
      <c r="T787">
        <v>2026</v>
      </c>
      <c r="U787">
        <v>2</v>
      </c>
      <c r="V787">
        <v>0</v>
      </c>
      <c r="W787" t="s">
        <v>47</v>
      </c>
      <c r="X787" t="s">
        <v>64</v>
      </c>
      <c r="Y787" t="s">
        <v>48</v>
      </c>
    </row>
    <row r="788" spans="1:25" x14ac:dyDescent="0.35">
      <c r="A788" t="s">
        <v>1703</v>
      </c>
      <c r="B788" t="s">
        <v>196</v>
      </c>
      <c r="C788" t="s">
        <v>27</v>
      </c>
      <c r="D788" t="s">
        <v>68</v>
      </c>
      <c r="E788">
        <v>6</v>
      </c>
      <c r="F788" t="s">
        <v>51</v>
      </c>
      <c r="G788">
        <v>159000</v>
      </c>
      <c r="H788">
        <v>100000</v>
      </c>
      <c r="I788">
        <v>250000</v>
      </c>
      <c r="J788" t="s">
        <v>102</v>
      </c>
      <c r="K788" t="s">
        <v>103</v>
      </c>
      <c r="L788" t="s">
        <v>44</v>
      </c>
      <c r="M788" t="s">
        <v>61</v>
      </c>
      <c r="N788" t="s">
        <v>76</v>
      </c>
      <c r="O788" t="s">
        <v>1704</v>
      </c>
      <c r="P788">
        <v>17.2</v>
      </c>
      <c r="Q788">
        <v>95</v>
      </c>
      <c r="R788">
        <v>30.8</v>
      </c>
      <c r="S788">
        <v>8.1</v>
      </c>
      <c r="T788">
        <v>2026</v>
      </c>
      <c r="U788">
        <v>1</v>
      </c>
      <c r="V788">
        <v>1</v>
      </c>
      <c r="W788" t="s">
        <v>47</v>
      </c>
      <c r="X788" t="s">
        <v>64</v>
      </c>
      <c r="Y788" t="s">
        <v>48</v>
      </c>
    </row>
    <row r="789" spans="1:25" x14ac:dyDescent="0.35">
      <c r="A789" t="s">
        <v>1705</v>
      </c>
      <c r="B789" t="s">
        <v>146</v>
      </c>
      <c r="C789" t="s">
        <v>27</v>
      </c>
      <c r="D789" t="s">
        <v>28</v>
      </c>
      <c r="E789">
        <v>9</v>
      </c>
      <c r="F789" t="s">
        <v>51</v>
      </c>
      <c r="G789">
        <v>214000</v>
      </c>
      <c r="H789">
        <v>160000</v>
      </c>
      <c r="I789">
        <v>300000</v>
      </c>
      <c r="J789" t="s">
        <v>191</v>
      </c>
      <c r="K789" t="s">
        <v>31</v>
      </c>
      <c r="L789" t="s">
        <v>44</v>
      </c>
      <c r="M789" t="s">
        <v>61</v>
      </c>
      <c r="N789" t="s">
        <v>71</v>
      </c>
      <c r="O789" t="s">
        <v>1706</v>
      </c>
      <c r="P789">
        <v>15.7</v>
      </c>
      <c r="Q789">
        <v>90</v>
      </c>
      <c r="R789">
        <v>26.2</v>
      </c>
      <c r="S789">
        <v>7</v>
      </c>
      <c r="T789">
        <v>2026</v>
      </c>
      <c r="U789">
        <v>1</v>
      </c>
      <c r="V789">
        <v>1</v>
      </c>
      <c r="W789" t="s">
        <v>47</v>
      </c>
      <c r="X789" t="s">
        <v>64</v>
      </c>
      <c r="Y789" t="s">
        <v>38</v>
      </c>
    </row>
    <row r="790" spans="1:25" x14ac:dyDescent="0.35">
      <c r="A790" t="s">
        <v>1707</v>
      </c>
      <c r="B790" t="s">
        <v>609</v>
      </c>
      <c r="C790" t="s">
        <v>124</v>
      </c>
      <c r="D790" t="s">
        <v>74</v>
      </c>
      <c r="E790">
        <v>12</v>
      </c>
      <c r="F790" t="s">
        <v>41</v>
      </c>
      <c r="G790">
        <v>130000</v>
      </c>
      <c r="H790">
        <v>115000</v>
      </c>
      <c r="I790">
        <v>280000</v>
      </c>
      <c r="J790" t="s">
        <v>47</v>
      </c>
      <c r="K790" t="s">
        <v>87</v>
      </c>
      <c r="L790" t="s">
        <v>32</v>
      </c>
      <c r="M790" t="s">
        <v>61</v>
      </c>
      <c r="N790" t="s">
        <v>34</v>
      </c>
      <c r="O790" t="s">
        <v>1708</v>
      </c>
      <c r="P790">
        <v>9.9</v>
      </c>
      <c r="Q790">
        <v>88</v>
      </c>
      <c r="R790">
        <v>20.3</v>
      </c>
      <c r="S790">
        <v>9.1</v>
      </c>
      <c r="T790">
        <v>2026</v>
      </c>
      <c r="U790">
        <v>1</v>
      </c>
      <c r="V790">
        <v>0</v>
      </c>
      <c r="W790" t="s">
        <v>36</v>
      </c>
      <c r="X790" t="s">
        <v>64</v>
      </c>
      <c r="Y790" t="s">
        <v>95</v>
      </c>
    </row>
    <row r="791" spans="1:25" x14ac:dyDescent="0.35">
      <c r="A791" t="s">
        <v>1709</v>
      </c>
      <c r="B791" t="s">
        <v>127</v>
      </c>
      <c r="C791" t="s">
        <v>27</v>
      </c>
      <c r="D791" t="s">
        <v>74</v>
      </c>
      <c r="E791">
        <v>4</v>
      </c>
      <c r="F791" t="s">
        <v>51</v>
      </c>
      <c r="G791">
        <v>157000</v>
      </c>
      <c r="H791">
        <v>120000</v>
      </c>
      <c r="I791">
        <v>280000</v>
      </c>
      <c r="J791" t="s">
        <v>52</v>
      </c>
      <c r="K791" t="s">
        <v>31</v>
      </c>
      <c r="L791" t="s">
        <v>53</v>
      </c>
      <c r="M791" t="s">
        <v>45</v>
      </c>
      <c r="N791" t="s">
        <v>76</v>
      </c>
      <c r="O791" t="s">
        <v>1710</v>
      </c>
      <c r="P791">
        <v>16.600000000000001</v>
      </c>
      <c r="Q791">
        <v>97</v>
      </c>
      <c r="R791">
        <v>53.1</v>
      </c>
      <c r="S791">
        <v>9.3000000000000007</v>
      </c>
      <c r="T791">
        <v>2026</v>
      </c>
      <c r="U791">
        <v>3</v>
      </c>
      <c r="V791">
        <v>0</v>
      </c>
      <c r="W791" t="s">
        <v>47</v>
      </c>
      <c r="X791" t="s">
        <v>64</v>
      </c>
      <c r="Y791" t="s">
        <v>48</v>
      </c>
    </row>
    <row r="792" spans="1:25" x14ac:dyDescent="0.35">
      <c r="A792" t="s">
        <v>1711</v>
      </c>
      <c r="B792" t="s">
        <v>40</v>
      </c>
      <c r="C792" t="s">
        <v>27</v>
      </c>
      <c r="D792" t="s">
        <v>28</v>
      </c>
      <c r="E792">
        <v>3</v>
      </c>
      <c r="F792" t="s">
        <v>29</v>
      </c>
      <c r="G792">
        <v>166000</v>
      </c>
      <c r="H792">
        <v>90000</v>
      </c>
      <c r="I792">
        <v>200000</v>
      </c>
      <c r="J792" t="s">
        <v>191</v>
      </c>
      <c r="K792" t="s">
        <v>31</v>
      </c>
      <c r="L792" t="s">
        <v>53</v>
      </c>
      <c r="M792" t="s">
        <v>33</v>
      </c>
      <c r="N792" t="s">
        <v>62</v>
      </c>
      <c r="O792" t="s">
        <v>1712</v>
      </c>
      <c r="P792">
        <v>6.1</v>
      </c>
      <c r="Q792">
        <v>82</v>
      </c>
      <c r="R792">
        <v>8.5</v>
      </c>
      <c r="S792">
        <v>7.5</v>
      </c>
      <c r="T792">
        <v>2026</v>
      </c>
      <c r="U792">
        <v>3</v>
      </c>
      <c r="V792">
        <v>1</v>
      </c>
      <c r="W792" t="s">
        <v>47</v>
      </c>
      <c r="X792" t="s">
        <v>37</v>
      </c>
      <c r="Y792" t="s">
        <v>48</v>
      </c>
    </row>
    <row r="793" spans="1:25" x14ac:dyDescent="0.35">
      <c r="A793" t="s">
        <v>1713</v>
      </c>
      <c r="B793" t="s">
        <v>168</v>
      </c>
      <c r="C793" t="s">
        <v>169</v>
      </c>
      <c r="D793" t="s">
        <v>28</v>
      </c>
      <c r="E793">
        <v>6</v>
      </c>
      <c r="F793" t="s">
        <v>41</v>
      </c>
      <c r="G793">
        <v>157000</v>
      </c>
      <c r="H793">
        <v>157000</v>
      </c>
      <c r="I793">
        <v>218000</v>
      </c>
      <c r="J793" t="s">
        <v>108</v>
      </c>
      <c r="K793" t="s">
        <v>109</v>
      </c>
      <c r="L793" t="s">
        <v>44</v>
      </c>
      <c r="M793" t="s">
        <v>61</v>
      </c>
      <c r="N793" t="s">
        <v>155</v>
      </c>
      <c r="O793" t="s">
        <v>1714</v>
      </c>
      <c r="P793">
        <v>4.8</v>
      </c>
      <c r="Q793">
        <v>90</v>
      </c>
      <c r="R793">
        <v>29.3</v>
      </c>
      <c r="S793">
        <v>6.8</v>
      </c>
      <c r="T793">
        <v>2026</v>
      </c>
      <c r="U793">
        <v>1</v>
      </c>
      <c r="V793">
        <v>1</v>
      </c>
      <c r="W793" t="s">
        <v>47</v>
      </c>
      <c r="X793" t="s">
        <v>64</v>
      </c>
      <c r="Y793" t="s">
        <v>48</v>
      </c>
    </row>
    <row r="794" spans="1:25" x14ac:dyDescent="0.35">
      <c r="A794" t="s">
        <v>1715</v>
      </c>
      <c r="B794" t="s">
        <v>168</v>
      </c>
      <c r="C794" t="s">
        <v>169</v>
      </c>
      <c r="D794" t="s">
        <v>81</v>
      </c>
      <c r="E794">
        <v>11</v>
      </c>
      <c r="F794" t="s">
        <v>29</v>
      </c>
      <c r="G794">
        <v>157000</v>
      </c>
      <c r="H794">
        <v>157000</v>
      </c>
      <c r="I794">
        <v>218000</v>
      </c>
      <c r="J794" t="s">
        <v>113</v>
      </c>
      <c r="K794" t="s">
        <v>114</v>
      </c>
      <c r="L794" t="s">
        <v>44</v>
      </c>
      <c r="M794" t="s">
        <v>82</v>
      </c>
      <c r="N794" t="s">
        <v>131</v>
      </c>
      <c r="O794" t="s">
        <v>1716</v>
      </c>
      <c r="P794">
        <v>3.6</v>
      </c>
      <c r="Q794">
        <v>90</v>
      </c>
      <c r="R794">
        <v>9.1</v>
      </c>
      <c r="S794">
        <v>7.4</v>
      </c>
      <c r="T794">
        <v>2025</v>
      </c>
      <c r="U794">
        <v>7</v>
      </c>
      <c r="V794">
        <v>0</v>
      </c>
      <c r="W794" t="s">
        <v>47</v>
      </c>
      <c r="X794" t="s">
        <v>64</v>
      </c>
      <c r="Y794" t="s">
        <v>48</v>
      </c>
    </row>
    <row r="795" spans="1:25" x14ac:dyDescent="0.35">
      <c r="A795" t="s">
        <v>1717</v>
      </c>
      <c r="B795" t="s">
        <v>91</v>
      </c>
      <c r="C795" t="s">
        <v>27</v>
      </c>
      <c r="D795" t="s">
        <v>81</v>
      </c>
      <c r="E795">
        <v>8</v>
      </c>
      <c r="F795" t="s">
        <v>69</v>
      </c>
      <c r="G795">
        <v>153000</v>
      </c>
      <c r="H795">
        <v>145000</v>
      </c>
      <c r="I795">
        <v>290000</v>
      </c>
      <c r="J795" t="s">
        <v>117</v>
      </c>
      <c r="K795" t="s">
        <v>118</v>
      </c>
      <c r="L795" t="s">
        <v>53</v>
      </c>
      <c r="M795" t="s">
        <v>82</v>
      </c>
      <c r="N795" t="s">
        <v>124</v>
      </c>
      <c r="O795" t="s">
        <v>1718</v>
      </c>
      <c r="P795">
        <v>9.1</v>
      </c>
      <c r="Q795">
        <v>91</v>
      </c>
      <c r="R795">
        <v>38.6</v>
      </c>
      <c r="S795">
        <v>6.5</v>
      </c>
      <c r="T795">
        <v>2025</v>
      </c>
      <c r="U795">
        <v>9</v>
      </c>
      <c r="V795">
        <v>0</v>
      </c>
      <c r="W795" t="s">
        <v>47</v>
      </c>
      <c r="X795" t="s">
        <v>64</v>
      </c>
      <c r="Y795" t="s">
        <v>48</v>
      </c>
    </row>
    <row r="796" spans="1:25" x14ac:dyDescent="0.35">
      <c r="A796" t="s">
        <v>1719</v>
      </c>
      <c r="B796" t="s">
        <v>127</v>
      </c>
      <c r="C796" t="s">
        <v>27</v>
      </c>
      <c r="D796" t="s">
        <v>28</v>
      </c>
      <c r="E796">
        <v>6</v>
      </c>
      <c r="F796" t="s">
        <v>128</v>
      </c>
      <c r="G796">
        <v>336000</v>
      </c>
      <c r="H796">
        <v>120000</v>
      </c>
      <c r="I796">
        <v>280000</v>
      </c>
      <c r="J796" t="s">
        <v>30</v>
      </c>
      <c r="K796" t="s">
        <v>31</v>
      </c>
      <c r="L796" t="s">
        <v>53</v>
      </c>
      <c r="M796" t="s">
        <v>45</v>
      </c>
      <c r="N796" t="s">
        <v>124</v>
      </c>
      <c r="O796" t="s">
        <v>1720</v>
      </c>
      <c r="P796">
        <v>14.7</v>
      </c>
      <c r="Q796">
        <v>97</v>
      </c>
      <c r="R796">
        <v>27.4</v>
      </c>
      <c r="S796">
        <v>6.7</v>
      </c>
      <c r="T796">
        <v>2025</v>
      </c>
      <c r="U796">
        <v>3</v>
      </c>
      <c r="V796">
        <v>1</v>
      </c>
      <c r="W796" t="s">
        <v>47</v>
      </c>
      <c r="X796" t="s">
        <v>64</v>
      </c>
      <c r="Y796" t="s">
        <v>56</v>
      </c>
    </row>
    <row r="797" spans="1:25" x14ac:dyDescent="0.35">
      <c r="A797" t="s">
        <v>1721</v>
      </c>
      <c r="B797" t="s">
        <v>26</v>
      </c>
      <c r="C797" t="s">
        <v>27</v>
      </c>
      <c r="D797" t="s">
        <v>81</v>
      </c>
      <c r="E797">
        <v>4</v>
      </c>
      <c r="F797" t="s">
        <v>41</v>
      </c>
      <c r="G797">
        <v>258000</v>
      </c>
      <c r="H797">
        <v>155000</v>
      </c>
      <c r="I797">
        <v>290000</v>
      </c>
      <c r="J797" t="s">
        <v>52</v>
      </c>
      <c r="K797" t="s">
        <v>31</v>
      </c>
      <c r="L797" t="s">
        <v>53</v>
      </c>
      <c r="M797" t="s">
        <v>45</v>
      </c>
      <c r="N797" t="s">
        <v>71</v>
      </c>
      <c r="O797" t="s">
        <v>1722</v>
      </c>
      <c r="P797">
        <v>13.4</v>
      </c>
      <c r="Q797">
        <v>96</v>
      </c>
      <c r="R797">
        <v>79</v>
      </c>
      <c r="S797">
        <v>9.1999999999999993</v>
      </c>
      <c r="T797">
        <v>2025</v>
      </c>
      <c r="U797">
        <v>11</v>
      </c>
      <c r="V797">
        <v>0</v>
      </c>
      <c r="W797" t="s">
        <v>47</v>
      </c>
      <c r="X797" t="s">
        <v>37</v>
      </c>
      <c r="Y797" t="s">
        <v>38</v>
      </c>
    </row>
    <row r="798" spans="1:25" x14ac:dyDescent="0.35">
      <c r="A798" t="s">
        <v>1723</v>
      </c>
      <c r="B798" t="s">
        <v>66</v>
      </c>
      <c r="C798" t="s">
        <v>67</v>
      </c>
      <c r="D798" t="s">
        <v>28</v>
      </c>
      <c r="E798">
        <v>7</v>
      </c>
      <c r="F798" t="s">
        <v>29</v>
      </c>
      <c r="G798">
        <v>174000</v>
      </c>
      <c r="H798">
        <v>140000</v>
      </c>
      <c r="I798">
        <v>260000</v>
      </c>
      <c r="J798" t="s">
        <v>122</v>
      </c>
      <c r="K798" t="s">
        <v>123</v>
      </c>
      <c r="L798" t="s">
        <v>32</v>
      </c>
      <c r="M798" t="s">
        <v>33</v>
      </c>
      <c r="N798" t="s">
        <v>124</v>
      </c>
      <c r="O798" t="s">
        <v>1724</v>
      </c>
      <c r="P798">
        <v>16.600000000000001</v>
      </c>
      <c r="Q798">
        <v>85</v>
      </c>
      <c r="R798">
        <v>17.399999999999999</v>
      </c>
      <c r="S798">
        <v>9.4</v>
      </c>
      <c r="T798">
        <v>2026</v>
      </c>
      <c r="U798">
        <v>1</v>
      </c>
      <c r="V798">
        <v>1</v>
      </c>
      <c r="W798" t="s">
        <v>36</v>
      </c>
      <c r="X798" t="s">
        <v>64</v>
      </c>
      <c r="Y798" t="s">
        <v>48</v>
      </c>
    </row>
    <row r="799" spans="1:25" x14ac:dyDescent="0.35">
      <c r="A799" t="s">
        <v>1725</v>
      </c>
      <c r="B799" t="s">
        <v>196</v>
      </c>
      <c r="C799" t="s">
        <v>27</v>
      </c>
      <c r="D799" t="s">
        <v>68</v>
      </c>
      <c r="E799">
        <v>7</v>
      </c>
      <c r="F799" t="s">
        <v>51</v>
      </c>
      <c r="G799">
        <v>142000</v>
      </c>
      <c r="H799">
        <v>100000</v>
      </c>
      <c r="I799">
        <v>250000</v>
      </c>
      <c r="J799" t="s">
        <v>60</v>
      </c>
      <c r="K799" t="s">
        <v>60</v>
      </c>
      <c r="L799" t="s">
        <v>53</v>
      </c>
      <c r="M799" t="s">
        <v>33</v>
      </c>
      <c r="N799" t="s">
        <v>34</v>
      </c>
      <c r="O799" t="s">
        <v>1726</v>
      </c>
      <c r="P799">
        <v>14.8</v>
      </c>
      <c r="Q799">
        <v>95</v>
      </c>
      <c r="R799">
        <v>63.1</v>
      </c>
      <c r="S799">
        <v>6.1</v>
      </c>
      <c r="T799">
        <v>2025</v>
      </c>
      <c r="U799">
        <v>8</v>
      </c>
      <c r="V799">
        <v>1</v>
      </c>
      <c r="W799" t="s">
        <v>47</v>
      </c>
      <c r="X799" t="s">
        <v>64</v>
      </c>
      <c r="Y799" t="s">
        <v>95</v>
      </c>
    </row>
    <row r="800" spans="1:25" x14ac:dyDescent="0.35">
      <c r="A800" t="s">
        <v>1727</v>
      </c>
      <c r="B800" t="s">
        <v>203</v>
      </c>
      <c r="C800" t="s">
        <v>169</v>
      </c>
      <c r="D800" t="s">
        <v>81</v>
      </c>
      <c r="E800">
        <v>8</v>
      </c>
      <c r="F800" t="s">
        <v>41</v>
      </c>
      <c r="G800">
        <v>138000</v>
      </c>
      <c r="H800">
        <v>138000</v>
      </c>
      <c r="I800">
        <v>195000</v>
      </c>
      <c r="J800" t="s">
        <v>142</v>
      </c>
      <c r="K800" t="s">
        <v>143</v>
      </c>
      <c r="L800" t="s">
        <v>44</v>
      </c>
      <c r="M800" t="s">
        <v>45</v>
      </c>
      <c r="N800" t="s">
        <v>155</v>
      </c>
      <c r="O800" t="s">
        <v>1728</v>
      </c>
      <c r="P800">
        <v>8.4</v>
      </c>
      <c r="Q800">
        <v>92</v>
      </c>
      <c r="R800">
        <v>34.6</v>
      </c>
      <c r="S800">
        <v>7.6</v>
      </c>
      <c r="T800">
        <v>2026</v>
      </c>
      <c r="U800">
        <v>2</v>
      </c>
      <c r="V800">
        <v>0</v>
      </c>
      <c r="W800" t="s">
        <v>47</v>
      </c>
      <c r="X800" t="s">
        <v>64</v>
      </c>
      <c r="Y800" t="s">
        <v>95</v>
      </c>
    </row>
    <row r="801" spans="1:25" x14ac:dyDescent="0.35">
      <c r="A801" t="s">
        <v>1729</v>
      </c>
      <c r="B801" t="s">
        <v>163</v>
      </c>
      <c r="C801" t="s">
        <v>164</v>
      </c>
      <c r="D801" t="s">
        <v>81</v>
      </c>
      <c r="E801">
        <v>3</v>
      </c>
      <c r="F801" t="s">
        <v>41</v>
      </c>
      <c r="G801">
        <v>212000</v>
      </c>
      <c r="H801">
        <v>125000</v>
      </c>
      <c r="I801">
        <v>240000</v>
      </c>
      <c r="J801" t="s">
        <v>174</v>
      </c>
      <c r="K801" t="s">
        <v>31</v>
      </c>
      <c r="L801" t="s">
        <v>32</v>
      </c>
      <c r="M801" t="s">
        <v>61</v>
      </c>
      <c r="N801" t="s">
        <v>119</v>
      </c>
      <c r="O801" t="s">
        <v>1730</v>
      </c>
      <c r="P801">
        <v>16.8</v>
      </c>
      <c r="Q801">
        <v>76</v>
      </c>
      <c r="R801">
        <v>13.4</v>
      </c>
      <c r="S801">
        <v>8.8000000000000007</v>
      </c>
      <c r="T801">
        <v>2026</v>
      </c>
      <c r="U801">
        <v>3</v>
      </c>
      <c r="V801">
        <v>0</v>
      </c>
      <c r="W801" t="s">
        <v>36</v>
      </c>
      <c r="X801" t="s">
        <v>64</v>
      </c>
      <c r="Y801" t="s">
        <v>38</v>
      </c>
    </row>
    <row r="802" spans="1:25" x14ac:dyDescent="0.35">
      <c r="A802" t="s">
        <v>1731</v>
      </c>
      <c r="B802" t="s">
        <v>86</v>
      </c>
      <c r="C802" t="s">
        <v>27</v>
      </c>
      <c r="D802" t="s">
        <v>28</v>
      </c>
      <c r="E802">
        <v>12</v>
      </c>
      <c r="F802" t="s">
        <v>69</v>
      </c>
      <c r="G802">
        <v>307000</v>
      </c>
      <c r="H802">
        <v>180000</v>
      </c>
      <c r="I802">
        <v>312000</v>
      </c>
      <c r="J802" t="s">
        <v>52</v>
      </c>
      <c r="K802" t="s">
        <v>31</v>
      </c>
      <c r="L802" t="s">
        <v>44</v>
      </c>
      <c r="M802" t="s">
        <v>82</v>
      </c>
      <c r="N802" t="s">
        <v>155</v>
      </c>
      <c r="O802" t="s">
        <v>1732</v>
      </c>
      <c r="P802">
        <v>11.9</v>
      </c>
      <c r="Q802">
        <v>96</v>
      </c>
      <c r="R802">
        <v>29.3</v>
      </c>
      <c r="S802">
        <v>8.9</v>
      </c>
      <c r="T802">
        <v>2026</v>
      </c>
      <c r="U802">
        <v>1</v>
      </c>
      <c r="V802">
        <v>1</v>
      </c>
      <c r="W802" t="s">
        <v>47</v>
      </c>
      <c r="X802" t="s">
        <v>64</v>
      </c>
      <c r="Y802" t="s">
        <v>56</v>
      </c>
    </row>
    <row r="803" spans="1:25" x14ac:dyDescent="0.35">
      <c r="A803" t="s">
        <v>1733</v>
      </c>
      <c r="B803" t="s">
        <v>158</v>
      </c>
      <c r="C803" t="s">
        <v>27</v>
      </c>
      <c r="D803" t="s">
        <v>68</v>
      </c>
      <c r="E803">
        <v>2</v>
      </c>
      <c r="F803" t="s">
        <v>41</v>
      </c>
      <c r="G803">
        <v>310000</v>
      </c>
      <c r="H803">
        <v>145000</v>
      </c>
      <c r="I803">
        <v>280000</v>
      </c>
      <c r="J803" t="s">
        <v>170</v>
      </c>
      <c r="K803" t="s">
        <v>171</v>
      </c>
      <c r="L803" t="s">
        <v>44</v>
      </c>
      <c r="M803" t="s">
        <v>82</v>
      </c>
      <c r="N803" t="s">
        <v>83</v>
      </c>
      <c r="O803" t="s">
        <v>1734</v>
      </c>
      <c r="P803">
        <v>4.4000000000000004</v>
      </c>
      <c r="Q803">
        <v>94</v>
      </c>
      <c r="R803">
        <v>87.6</v>
      </c>
      <c r="S803">
        <v>6.1</v>
      </c>
      <c r="T803">
        <v>2026</v>
      </c>
      <c r="U803">
        <v>2</v>
      </c>
      <c r="V803">
        <v>1</v>
      </c>
      <c r="W803" t="s">
        <v>47</v>
      </c>
      <c r="X803" t="s">
        <v>37</v>
      </c>
      <c r="Y803" t="s">
        <v>56</v>
      </c>
    </row>
    <row r="804" spans="1:25" x14ac:dyDescent="0.35">
      <c r="A804" t="s">
        <v>1735</v>
      </c>
      <c r="B804" t="s">
        <v>146</v>
      </c>
      <c r="C804" t="s">
        <v>27</v>
      </c>
      <c r="D804" t="s">
        <v>68</v>
      </c>
      <c r="E804">
        <v>9</v>
      </c>
      <c r="F804" t="s">
        <v>29</v>
      </c>
      <c r="G804">
        <v>269000</v>
      </c>
      <c r="H804">
        <v>160000</v>
      </c>
      <c r="I804">
        <v>300000</v>
      </c>
      <c r="J804" t="s">
        <v>117</v>
      </c>
      <c r="K804" t="s">
        <v>118</v>
      </c>
      <c r="L804" t="s">
        <v>44</v>
      </c>
      <c r="M804" t="s">
        <v>33</v>
      </c>
      <c r="N804" t="s">
        <v>76</v>
      </c>
      <c r="O804" t="s">
        <v>1736</v>
      </c>
      <c r="P804">
        <v>14.2</v>
      </c>
      <c r="Q804">
        <v>90</v>
      </c>
      <c r="R804">
        <v>22.1</v>
      </c>
      <c r="S804">
        <v>8.1999999999999993</v>
      </c>
      <c r="T804">
        <v>2025</v>
      </c>
      <c r="U804">
        <v>2</v>
      </c>
      <c r="V804">
        <v>1</v>
      </c>
      <c r="W804" t="s">
        <v>47</v>
      </c>
      <c r="X804" t="s">
        <v>64</v>
      </c>
      <c r="Y804" t="s">
        <v>38</v>
      </c>
    </row>
    <row r="805" spans="1:25" x14ac:dyDescent="0.35">
      <c r="A805" t="s">
        <v>1737</v>
      </c>
      <c r="B805" t="s">
        <v>609</v>
      </c>
      <c r="C805" t="s">
        <v>124</v>
      </c>
      <c r="D805" t="s">
        <v>81</v>
      </c>
      <c r="E805">
        <v>8</v>
      </c>
      <c r="F805" t="s">
        <v>128</v>
      </c>
      <c r="G805">
        <v>224000</v>
      </c>
      <c r="H805">
        <v>115000</v>
      </c>
      <c r="I805">
        <v>280000</v>
      </c>
      <c r="J805" t="s">
        <v>142</v>
      </c>
      <c r="K805" t="s">
        <v>143</v>
      </c>
      <c r="L805" t="s">
        <v>53</v>
      </c>
      <c r="M805" t="s">
        <v>54</v>
      </c>
      <c r="N805" t="s">
        <v>83</v>
      </c>
      <c r="O805" t="s">
        <v>1738</v>
      </c>
      <c r="P805">
        <v>14.1</v>
      </c>
      <c r="Q805">
        <v>88</v>
      </c>
      <c r="R805">
        <v>9.6</v>
      </c>
      <c r="S805">
        <v>6.9</v>
      </c>
      <c r="T805">
        <v>2026</v>
      </c>
      <c r="U805">
        <v>3</v>
      </c>
      <c r="V805">
        <v>0</v>
      </c>
      <c r="W805" t="s">
        <v>47</v>
      </c>
      <c r="X805" t="s">
        <v>64</v>
      </c>
      <c r="Y805" t="s">
        <v>38</v>
      </c>
    </row>
    <row r="806" spans="1:25" x14ac:dyDescent="0.35">
      <c r="A806" t="s">
        <v>1739</v>
      </c>
      <c r="B806" t="s">
        <v>163</v>
      </c>
      <c r="C806" t="s">
        <v>164</v>
      </c>
      <c r="D806" t="s">
        <v>68</v>
      </c>
      <c r="E806">
        <v>6</v>
      </c>
      <c r="F806" t="s">
        <v>29</v>
      </c>
      <c r="G806">
        <v>125000</v>
      </c>
      <c r="H806">
        <v>125000</v>
      </c>
      <c r="I806">
        <v>240000</v>
      </c>
      <c r="J806" t="s">
        <v>92</v>
      </c>
      <c r="K806" t="s">
        <v>93</v>
      </c>
      <c r="L806" t="s">
        <v>44</v>
      </c>
      <c r="M806" t="s">
        <v>82</v>
      </c>
      <c r="N806" t="s">
        <v>131</v>
      </c>
      <c r="O806" t="s">
        <v>1740</v>
      </c>
      <c r="P806">
        <v>11.4</v>
      </c>
      <c r="Q806">
        <v>76</v>
      </c>
      <c r="R806">
        <v>29.7</v>
      </c>
      <c r="S806">
        <v>7.8</v>
      </c>
      <c r="T806">
        <v>2026</v>
      </c>
      <c r="U806">
        <v>2</v>
      </c>
      <c r="V806">
        <v>1</v>
      </c>
      <c r="W806" t="s">
        <v>47</v>
      </c>
      <c r="X806" t="s">
        <v>64</v>
      </c>
      <c r="Y806" t="s">
        <v>95</v>
      </c>
    </row>
    <row r="807" spans="1:25" x14ac:dyDescent="0.35">
      <c r="A807" t="s">
        <v>1741</v>
      </c>
      <c r="B807" t="s">
        <v>50</v>
      </c>
      <c r="C807" t="s">
        <v>27</v>
      </c>
      <c r="D807" t="s">
        <v>81</v>
      </c>
      <c r="E807">
        <v>3</v>
      </c>
      <c r="F807" t="s">
        <v>69</v>
      </c>
      <c r="G807">
        <v>278000</v>
      </c>
      <c r="H807">
        <v>160000</v>
      </c>
      <c r="I807">
        <v>300000</v>
      </c>
      <c r="J807" t="s">
        <v>75</v>
      </c>
      <c r="K807" t="s">
        <v>31</v>
      </c>
      <c r="L807" t="s">
        <v>44</v>
      </c>
      <c r="M807" t="s">
        <v>54</v>
      </c>
      <c r="N807" t="s">
        <v>34</v>
      </c>
      <c r="O807" t="s">
        <v>1742</v>
      </c>
      <c r="P807">
        <v>5.7</v>
      </c>
      <c r="Q807">
        <v>98</v>
      </c>
      <c r="R807">
        <v>41.7</v>
      </c>
      <c r="S807">
        <v>9.6</v>
      </c>
      <c r="T807">
        <v>2026</v>
      </c>
      <c r="U807">
        <v>2</v>
      </c>
      <c r="V807">
        <v>0</v>
      </c>
      <c r="W807" t="s">
        <v>47</v>
      </c>
      <c r="X807" t="s">
        <v>37</v>
      </c>
      <c r="Y807" t="s">
        <v>38</v>
      </c>
    </row>
    <row r="808" spans="1:25" x14ac:dyDescent="0.35">
      <c r="A808" t="s">
        <v>1743</v>
      </c>
      <c r="B808" t="s">
        <v>50</v>
      </c>
      <c r="C808" t="s">
        <v>27</v>
      </c>
      <c r="D808" t="s">
        <v>74</v>
      </c>
      <c r="E808">
        <v>5</v>
      </c>
      <c r="F808" t="s">
        <v>51</v>
      </c>
      <c r="G808">
        <v>160000</v>
      </c>
      <c r="H808">
        <v>160000</v>
      </c>
      <c r="I808">
        <v>300000</v>
      </c>
      <c r="J808" t="s">
        <v>102</v>
      </c>
      <c r="K808" t="s">
        <v>103</v>
      </c>
      <c r="L808" t="s">
        <v>53</v>
      </c>
      <c r="M808" t="s">
        <v>82</v>
      </c>
      <c r="N808" t="s">
        <v>34</v>
      </c>
      <c r="O808" t="s">
        <v>1744</v>
      </c>
      <c r="P808">
        <v>7.2</v>
      </c>
      <c r="Q808">
        <v>98</v>
      </c>
      <c r="R808">
        <v>27</v>
      </c>
      <c r="S808">
        <v>6.8</v>
      </c>
      <c r="T808">
        <v>2026</v>
      </c>
      <c r="U808">
        <v>2</v>
      </c>
      <c r="V808">
        <v>0</v>
      </c>
      <c r="W808" t="s">
        <v>47</v>
      </c>
      <c r="X808" t="s">
        <v>37</v>
      </c>
      <c r="Y808" t="s">
        <v>48</v>
      </c>
    </row>
    <row r="809" spans="1:25" x14ac:dyDescent="0.35">
      <c r="A809" t="s">
        <v>1745</v>
      </c>
      <c r="B809" t="s">
        <v>153</v>
      </c>
      <c r="C809" t="s">
        <v>154</v>
      </c>
      <c r="D809" t="s">
        <v>74</v>
      </c>
      <c r="E809">
        <v>3</v>
      </c>
      <c r="F809" t="s">
        <v>41</v>
      </c>
      <c r="G809">
        <v>95000</v>
      </c>
      <c r="H809">
        <v>95000</v>
      </c>
      <c r="I809">
        <v>180000</v>
      </c>
      <c r="J809" t="s">
        <v>42</v>
      </c>
      <c r="K809" t="s">
        <v>43</v>
      </c>
      <c r="L809" t="s">
        <v>32</v>
      </c>
      <c r="M809" t="s">
        <v>82</v>
      </c>
      <c r="N809" t="s">
        <v>83</v>
      </c>
      <c r="O809" t="s">
        <v>1746</v>
      </c>
      <c r="P809">
        <v>10.199999999999999</v>
      </c>
      <c r="Q809">
        <v>78</v>
      </c>
      <c r="R809">
        <v>9.3000000000000007</v>
      </c>
      <c r="S809">
        <v>8.4</v>
      </c>
      <c r="T809">
        <v>2025</v>
      </c>
      <c r="U809">
        <v>7</v>
      </c>
      <c r="V809">
        <v>0</v>
      </c>
      <c r="W809" t="s">
        <v>36</v>
      </c>
      <c r="X809" t="s">
        <v>64</v>
      </c>
      <c r="Y809" t="s">
        <v>98</v>
      </c>
    </row>
    <row r="810" spans="1:25" x14ac:dyDescent="0.35">
      <c r="A810" t="s">
        <v>1747</v>
      </c>
      <c r="B810" t="s">
        <v>179</v>
      </c>
      <c r="C810" t="s">
        <v>180</v>
      </c>
      <c r="D810" t="s">
        <v>81</v>
      </c>
      <c r="E810">
        <v>9</v>
      </c>
      <c r="F810" t="s">
        <v>69</v>
      </c>
      <c r="G810">
        <v>110000</v>
      </c>
      <c r="H810">
        <v>110000</v>
      </c>
      <c r="I810">
        <v>210000</v>
      </c>
      <c r="J810" t="s">
        <v>117</v>
      </c>
      <c r="K810" t="s">
        <v>118</v>
      </c>
      <c r="L810" t="s">
        <v>53</v>
      </c>
      <c r="M810" t="s">
        <v>33</v>
      </c>
      <c r="N810" t="s">
        <v>62</v>
      </c>
      <c r="O810" t="s">
        <v>1748</v>
      </c>
      <c r="P810">
        <v>9.8000000000000007</v>
      </c>
      <c r="Q810">
        <v>72</v>
      </c>
      <c r="R810">
        <v>14.6</v>
      </c>
      <c r="S810">
        <v>8</v>
      </c>
      <c r="T810">
        <v>2026</v>
      </c>
      <c r="U810">
        <v>3</v>
      </c>
      <c r="V810">
        <v>0</v>
      </c>
      <c r="W810" t="s">
        <v>47</v>
      </c>
      <c r="X810" t="s">
        <v>64</v>
      </c>
      <c r="Y810" t="s">
        <v>95</v>
      </c>
    </row>
    <row r="811" spans="1:25" x14ac:dyDescent="0.35">
      <c r="A811" t="s">
        <v>1749</v>
      </c>
      <c r="B811" t="s">
        <v>153</v>
      </c>
      <c r="C811" t="s">
        <v>154</v>
      </c>
      <c r="D811" t="s">
        <v>74</v>
      </c>
      <c r="E811">
        <v>3</v>
      </c>
      <c r="F811" t="s">
        <v>51</v>
      </c>
      <c r="G811">
        <v>95000</v>
      </c>
      <c r="H811">
        <v>95000</v>
      </c>
      <c r="I811">
        <v>180000</v>
      </c>
      <c r="J811" t="s">
        <v>117</v>
      </c>
      <c r="K811" t="s">
        <v>118</v>
      </c>
      <c r="L811" t="s">
        <v>44</v>
      </c>
      <c r="M811" t="s">
        <v>45</v>
      </c>
      <c r="N811" t="s">
        <v>155</v>
      </c>
      <c r="O811" t="s">
        <v>1750</v>
      </c>
      <c r="P811">
        <v>15.7</v>
      </c>
      <c r="Q811">
        <v>78</v>
      </c>
      <c r="R811">
        <v>15.1</v>
      </c>
      <c r="S811">
        <v>9.4</v>
      </c>
      <c r="T811">
        <v>2026</v>
      </c>
      <c r="U811">
        <v>3</v>
      </c>
      <c r="V811">
        <v>0</v>
      </c>
      <c r="W811" t="s">
        <v>47</v>
      </c>
      <c r="X811" t="s">
        <v>64</v>
      </c>
      <c r="Y811" t="s">
        <v>98</v>
      </c>
    </row>
    <row r="812" spans="1:25" x14ac:dyDescent="0.35">
      <c r="A812" t="s">
        <v>1751</v>
      </c>
      <c r="B812" t="s">
        <v>233</v>
      </c>
      <c r="C812" t="s">
        <v>180</v>
      </c>
      <c r="D812" t="s">
        <v>74</v>
      </c>
      <c r="E812">
        <v>9</v>
      </c>
      <c r="F812" t="s">
        <v>128</v>
      </c>
      <c r="G812">
        <v>121000</v>
      </c>
      <c r="H812">
        <v>100000</v>
      </c>
      <c r="I812">
        <v>200000</v>
      </c>
      <c r="J812" t="s">
        <v>122</v>
      </c>
      <c r="K812" t="s">
        <v>123</v>
      </c>
      <c r="L812" t="s">
        <v>53</v>
      </c>
      <c r="M812" t="s">
        <v>45</v>
      </c>
      <c r="N812" t="s">
        <v>88</v>
      </c>
      <c r="O812" t="s">
        <v>1752</v>
      </c>
      <c r="P812">
        <v>13.1</v>
      </c>
      <c r="Q812">
        <v>68</v>
      </c>
      <c r="R812">
        <v>29.6</v>
      </c>
      <c r="S812">
        <v>9.4</v>
      </c>
      <c r="T812">
        <v>2025</v>
      </c>
      <c r="U812">
        <v>11</v>
      </c>
      <c r="V812">
        <v>0</v>
      </c>
      <c r="W812" t="s">
        <v>47</v>
      </c>
      <c r="X812" t="s">
        <v>64</v>
      </c>
      <c r="Y812" t="s">
        <v>95</v>
      </c>
    </row>
    <row r="813" spans="1:25" x14ac:dyDescent="0.35">
      <c r="A813" t="s">
        <v>1753</v>
      </c>
      <c r="B813" t="s">
        <v>66</v>
      </c>
      <c r="C813" t="s">
        <v>67</v>
      </c>
      <c r="D813" t="s">
        <v>28</v>
      </c>
      <c r="E813">
        <v>10</v>
      </c>
      <c r="F813" t="s">
        <v>128</v>
      </c>
      <c r="G813">
        <v>140000</v>
      </c>
      <c r="H813">
        <v>140000</v>
      </c>
      <c r="I813">
        <v>260000</v>
      </c>
      <c r="J813" t="s">
        <v>92</v>
      </c>
      <c r="K813" t="s">
        <v>93</v>
      </c>
      <c r="L813" t="s">
        <v>32</v>
      </c>
      <c r="M813" t="s">
        <v>45</v>
      </c>
      <c r="N813" t="s">
        <v>83</v>
      </c>
      <c r="O813" t="s">
        <v>1754</v>
      </c>
      <c r="P813">
        <v>17.3</v>
      </c>
      <c r="Q813">
        <v>85</v>
      </c>
      <c r="R813">
        <v>5.2</v>
      </c>
      <c r="S813">
        <v>6.1</v>
      </c>
      <c r="T813">
        <v>2025</v>
      </c>
      <c r="U813">
        <v>5</v>
      </c>
      <c r="V813">
        <v>1</v>
      </c>
      <c r="W813" t="s">
        <v>36</v>
      </c>
      <c r="X813" t="s">
        <v>64</v>
      </c>
      <c r="Y813" t="s">
        <v>95</v>
      </c>
    </row>
    <row r="814" spans="1:25" x14ac:dyDescent="0.35">
      <c r="A814" t="s">
        <v>1755</v>
      </c>
      <c r="B814" t="s">
        <v>58</v>
      </c>
      <c r="C814" t="s">
        <v>59</v>
      </c>
      <c r="D814" t="s">
        <v>81</v>
      </c>
      <c r="E814">
        <v>3</v>
      </c>
      <c r="F814" t="s">
        <v>41</v>
      </c>
      <c r="G814">
        <v>189000</v>
      </c>
      <c r="H814">
        <v>130000</v>
      </c>
      <c r="I814">
        <v>220000</v>
      </c>
      <c r="J814" t="s">
        <v>42</v>
      </c>
      <c r="K814" t="s">
        <v>43</v>
      </c>
      <c r="L814" t="s">
        <v>44</v>
      </c>
      <c r="M814" t="s">
        <v>54</v>
      </c>
      <c r="N814" t="s">
        <v>62</v>
      </c>
      <c r="O814" t="s">
        <v>1756</v>
      </c>
      <c r="P814">
        <v>12.8</v>
      </c>
      <c r="Q814">
        <v>88</v>
      </c>
      <c r="R814">
        <v>18</v>
      </c>
      <c r="S814">
        <v>8.4</v>
      </c>
      <c r="T814">
        <v>2026</v>
      </c>
      <c r="U814">
        <v>3</v>
      </c>
      <c r="V814">
        <v>0</v>
      </c>
      <c r="W814" t="s">
        <v>47</v>
      </c>
      <c r="X814" t="s">
        <v>64</v>
      </c>
      <c r="Y814" t="s">
        <v>48</v>
      </c>
    </row>
    <row r="815" spans="1:25" x14ac:dyDescent="0.35">
      <c r="A815" t="s">
        <v>1757</v>
      </c>
      <c r="B815" t="s">
        <v>609</v>
      </c>
      <c r="C815" t="s">
        <v>124</v>
      </c>
      <c r="D815" t="s">
        <v>28</v>
      </c>
      <c r="E815">
        <v>12</v>
      </c>
      <c r="F815" t="s">
        <v>128</v>
      </c>
      <c r="G815">
        <v>299000</v>
      </c>
      <c r="H815">
        <v>115000</v>
      </c>
      <c r="I815">
        <v>280000</v>
      </c>
      <c r="J815" t="s">
        <v>30</v>
      </c>
      <c r="K815" t="s">
        <v>31</v>
      </c>
      <c r="L815" t="s">
        <v>53</v>
      </c>
      <c r="M815" t="s">
        <v>82</v>
      </c>
      <c r="N815" t="s">
        <v>124</v>
      </c>
      <c r="O815" t="s">
        <v>1758</v>
      </c>
      <c r="P815">
        <v>14.4</v>
      </c>
      <c r="Q815">
        <v>88</v>
      </c>
      <c r="R815">
        <v>8.6999999999999993</v>
      </c>
      <c r="S815">
        <v>6</v>
      </c>
      <c r="T815">
        <v>2025</v>
      </c>
      <c r="U815">
        <v>9</v>
      </c>
      <c r="V815">
        <v>1</v>
      </c>
      <c r="W815" t="s">
        <v>47</v>
      </c>
      <c r="X815" t="s">
        <v>64</v>
      </c>
      <c r="Y815" t="s">
        <v>38</v>
      </c>
    </row>
    <row r="816" spans="1:25" x14ac:dyDescent="0.35">
      <c r="A816" t="s">
        <v>1759</v>
      </c>
      <c r="B816" t="s">
        <v>134</v>
      </c>
      <c r="C816" t="s">
        <v>27</v>
      </c>
      <c r="D816" t="s">
        <v>28</v>
      </c>
      <c r="E816">
        <v>2</v>
      </c>
      <c r="F816" t="s">
        <v>29</v>
      </c>
      <c r="G816">
        <v>300000</v>
      </c>
      <c r="H816">
        <v>150000</v>
      </c>
      <c r="I816">
        <v>295000</v>
      </c>
      <c r="J816" t="s">
        <v>75</v>
      </c>
      <c r="K816" t="s">
        <v>31</v>
      </c>
      <c r="L816" t="s">
        <v>32</v>
      </c>
      <c r="M816" t="s">
        <v>82</v>
      </c>
      <c r="N816" t="s">
        <v>34</v>
      </c>
      <c r="O816" t="s">
        <v>1760</v>
      </c>
      <c r="P816">
        <v>14.1</v>
      </c>
      <c r="Q816">
        <v>95</v>
      </c>
      <c r="R816">
        <v>79.099999999999994</v>
      </c>
      <c r="S816">
        <v>8.5</v>
      </c>
      <c r="T816">
        <v>2026</v>
      </c>
      <c r="U816">
        <v>3</v>
      </c>
      <c r="V816">
        <v>1</v>
      </c>
      <c r="W816" t="s">
        <v>36</v>
      </c>
      <c r="X816" t="s">
        <v>37</v>
      </c>
      <c r="Y816" t="s">
        <v>38</v>
      </c>
    </row>
    <row r="817" spans="1:25" x14ac:dyDescent="0.35">
      <c r="A817" t="s">
        <v>1761</v>
      </c>
      <c r="B817" t="s">
        <v>86</v>
      </c>
      <c r="C817" t="s">
        <v>27</v>
      </c>
      <c r="D817" t="s">
        <v>74</v>
      </c>
      <c r="E817">
        <v>11</v>
      </c>
      <c r="F817" t="s">
        <v>41</v>
      </c>
      <c r="G817">
        <v>227000</v>
      </c>
      <c r="H817">
        <v>180000</v>
      </c>
      <c r="I817">
        <v>312000</v>
      </c>
      <c r="J817" t="s">
        <v>296</v>
      </c>
      <c r="K817" t="s">
        <v>31</v>
      </c>
      <c r="L817" t="s">
        <v>53</v>
      </c>
      <c r="M817" t="s">
        <v>45</v>
      </c>
      <c r="N817" t="s">
        <v>131</v>
      </c>
      <c r="O817" t="s">
        <v>1762</v>
      </c>
      <c r="P817">
        <v>12</v>
      </c>
      <c r="Q817">
        <v>96</v>
      </c>
      <c r="R817">
        <v>66.599999999999994</v>
      </c>
      <c r="S817">
        <v>8.5</v>
      </c>
      <c r="T817">
        <v>2025</v>
      </c>
      <c r="U817">
        <v>3</v>
      </c>
      <c r="V817">
        <v>0</v>
      </c>
      <c r="W817" t="s">
        <v>47</v>
      </c>
      <c r="X817" t="s">
        <v>64</v>
      </c>
      <c r="Y817" t="s">
        <v>38</v>
      </c>
    </row>
    <row r="818" spans="1:25" x14ac:dyDescent="0.35">
      <c r="A818" t="s">
        <v>1763</v>
      </c>
      <c r="B818" t="s">
        <v>58</v>
      </c>
      <c r="C818" t="s">
        <v>59</v>
      </c>
      <c r="D818" t="s">
        <v>28</v>
      </c>
      <c r="E818">
        <v>4</v>
      </c>
      <c r="F818" t="s">
        <v>128</v>
      </c>
      <c r="G818">
        <v>264000</v>
      </c>
      <c r="H818">
        <v>130000</v>
      </c>
      <c r="I818">
        <v>220000</v>
      </c>
      <c r="J818" t="s">
        <v>47</v>
      </c>
      <c r="K818" t="s">
        <v>87</v>
      </c>
      <c r="L818" t="s">
        <v>53</v>
      </c>
      <c r="M818" t="s">
        <v>45</v>
      </c>
      <c r="N818" t="s">
        <v>155</v>
      </c>
      <c r="O818" t="s">
        <v>1764</v>
      </c>
      <c r="P818">
        <v>16.5</v>
      </c>
      <c r="Q818">
        <v>88</v>
      </c>
      <c r="R818">
        <v>23.5</v>
      </c>
      <c r="S818">
        <v>7.5</v>
      </c>
      <c r="T818">
        <v>2026</v>
      </c>
      <c r="U818">
        <v>1</v>
      </c>
      <c r="V818">
        <v>1</v>
      </c>
      <c r="W818" t="s">
        <v>47</v>
      </c>
      <c r="X818" t="s">
        <v>64</v>
      </c>
      <c r="Y818" t="s">
        <v>38</v>
      </c>
    </row>
    <row r="819" spans="1:25" x14ac:dyDescent="0.35">
      <c r="A819" t="s">
        <v>1765</v>
      </c>
      <c r="B819" t="s">
        <v>134</v>
      </c>
      <c r="C819" t="s">
        <v>27</v>
      </c>
      <c r="D819" t="s">
        <v>74</v>
      </c>
      <c r="E819">
        <v>7</v>
      </c>
      <c r="F819" t="s">
        <v>51</v>
      </c>
      <c r="G819">
        <v>177000</v>
      </c>
      <c r="H819">
        <v>150000</v>
      </c>
      <c r="I819">
        <v>295000</v>
      </c>
      <c r="J819" t="s">
        <v>30</v>
      </c>
      <c r="K819" t="s">
        <v>31</v>
      </c>
      <c r="L819" t="s">
        <v>53</v>
      </c>
      <c r="M819" t="s">
        <v>45</v>
      </c>
      <c r="N819" t="s">
        <v>124</v>
      </c>
      <c r="O819" t="s">
        <v>1766</v>
      </c>
      <c r="P819">
        <v>17.3</v>
      </c>
      <c r="Q819">
        <v>95</v>
      </c>
      <c r="R819">
        <v>62.8</v>
      </c>
      <c r="S819">
        <v>9.6999999999999993</v>
      </c>
      <c r="T819">
        <v>2026</v>
      </c>
      <c r="U819">
        <v>1</v>
      </c>
      <c r="V819">
        <v>0</v>
      </c>
      <c r="W819" t="s">
        <v>47</v>
      </c>
      <c r="X819" t="s">
        <v>37</v>
      </c>
      <c r="Y819" t="s">
        <v>48</v>
      </c>
    </row>
    <row r="820" spans="1:25" x14ac:dyDescent="0.35">
      <c r="A820" t="s">
        <v>1767</v>
      </c>
      <c r="B820" t="s">
        <v>66</v>
      </c>
      <c r="C820" t="s">
        <v>67</v>
      </c>
      <c r="D820" t="s">
        <v>81</v>
      </c>
      <c r="E820">
        <v>8</v>
      </c>
      <c r="F820" t="s">
        <v>51</v>
      </c>
      <c r="G820">
        <v>158000</v>
      </c>
      <c r="H820">
        <v>140000</v>
      </c>
      <c r="I820">
        <v>260000</v>
      </c>
      <c r="J820" t="s">
        <v>75</v>
      </c>
      <c r="K820" t="s">
        <v>31</v>
      </c>
      <c r="L820" t="s">
        <v>44</v>
      </c>
      <c r="M820" t="s">
        <v>61</v>
      </c>
      <c r="N820" t="s">
        <v>119</v>
      </c>
      <c r="O820" t="s">
        <v>1768</v>
      </c>
      <c r="P820">
        <v>13.5</v>
      </c>
      <c r="Q820">
        <v>85</v>
      </c>
      <c r="R820">
        <v>8.6</v>
      </c>
      <c r="S820">
        <v>9.4</v>
      </c>
      <c r="T820">
        <v>2025</v>
      </c>
      <c r="U820">
        <v>6</v>
      </c>
      <c r="V820">
        <v>0</v>
      </c>
      <c r="W820" t="s">
        <v>47</v>
      </c>
      <c r="X820" t="s">
        <v>64</v>
      </c>
      <c r="Y820" t="s">
        <v>48</v>
      </c>
    </row>
    <row r="821" spans="1:25" x14ac:dyDescent="0.35">
      <c r="A821" t="s">
        <v>1769</v>
      </c>
      <c r="B821" t="s">
        <v>185</v>
      </c>
      <c r="C821" t="s">
        <v>186</v>
      </c>
      <c r="D821" t="s">
        <v>81</v>
      </c>
      <c r="E821">
        <v>5</v>
      </c>
      <c r="F821" t="s">
        <v>128</v>
      </c>
      <c r="G821">
        <v>241000</v>
      </c>
      <c r="H821">
        <v>140000</v>
      </c>
      <c r="I821">
        <v>270000</v>
      </c>
      <c r="J821" t="s">
        <v>42</v>
      </c>
      <c r="K821" t="s">
        <v>43</v>
      </c>
      <c r="L821" t="s">
        <v>44</v>
      </c>
      <c r="M821" t="s">
        <v>54</v>
      </c>
      <c r="N821" t="s">
        <v>76</v>
      </c>
      <c r="O821" t="s">
        <v>1770</v>
      </c>
      <c r="P821">
        <v>17.399999999999999</v>
      </c>
      <c r="Q821">
        <v>85</v>
      </c>
      <c r="R821">
        <v>19.3</v>
      </c>
      <c r="S821">
        <v>7</v>
      </c>
      <c r="T821">
        <v>2025</v>
      </c>
      <c r="U821">
        <v>8</v>
      </c>
      <c r="V821">
        <v>0</v>
      </c>
      <c r="W821" t="s">
        <v>47</v>
      </c>
      <c r="X821" t="s">
        <v>64</v>
      </c>
      <c r="Y821" t="s">
        <v>38</v>
      </c>
    </row>
    <row r="822" spans="1:25" x14ac:dyDescent="0.35">
      <c r="A822" t="s">
        <v>1771</v>
      </c>
      <c r="B822" t="s">
        <v>158</v>
      </c>
      <c r="C822" t="s">
        <v>27</v>
      </c>
      <c r="D822" t="s">
        <v>68</v>
      </c>
      <c r="E822">
        <v>6</v>
      </c>
      <c r="F822" t="s">
        <v>51</v>
      </c>
      <c r="G822">
        <v>282000</v>
      </c>
      <c r="H822">
        <v>145000</v>
      </c>
      <c r="I822">
        <v>280000</v>
      </c>
      <c r="J822" t="s">
        <v>30</v>
      </c>
      <c r="K822" t="s">
        <v>31</v>
      </c>
      <c r="L822" t="s">
        <v>44</v>
      </c>
      <c r="M822" t="s">
        <v>61</v>
      </c>
      <c r="N822" t="s">
        <v>71</v>
      </c>
      <c r="O822" t="s">
        <v>1772</v>
      </c>
      <c r="P822">
        <v>7.2</v>
      </c>
      <c r="Q822">
        <v>94</v>
      </c>
      <c r="R822">
        <v>70.5</v>
      </c>
      <c r="S822">
        <v>9.5</v>
      </c>
      <c r="T822">
        <v>2026</v>
      </c>
      <c r="U822">
        <v>1</v>
      </c>
      <c r="V822">
        <v>1</v>
      </c>
      <c r="W822" t="s">
        <v>47</v>
      </c>
      <c r="X822" t="s">
        <v>37</v>
      </c>
      <c r="Y822" t="s">
        <v>38</v>
      </c>
    </row>
    <row r="823" spans="1:25" x14ac:dyDescent="0.35">
      <c r="A823" t="s">
        <v>1773</v>
      </c>
      <c r="B823" t="s">
        <v>179</v>
      </c>
      <c r="C823" t="s">
        <v>180</v>
      </c>
      <c r="D823" t="s">
        <v>81</v>
      </c>
      <c r="E823">
        <v>5</v>
      </c>
      <c r="F823" t="s">
        <v>29</v>
      </c>
      <c r="G823">
        <v>110000</v>
      </c>
      <c r="H823">
        <v>110000</v>
      </c>
      <c r="I823">
        <v>210000</v>
      </c>
      <c r="J823" t="s">
        <v>113</v>
      </c>
      <c r="K823" t="s">
        <v>114</v>
      </c>
      <c r="L823" t="s">
        <v>32</v>
      </c>
      <c r="M823" t="s">
        <v>61</v>
      </c>
      <c r="N823" t="s">
        <v>131</v>
      </c>
      <c r="O823" t="s">
        <v>1774</v>
      </c>
      <c r="P823">
        <v>8.4</v>
      </c>
      <c r="Q823">
        <v>72</v>
      </c>
      <c r="R823">
        <v>24</v>
      </c>
      <c r="S823">
        <v>7.9</v>
      </c>
      <c r="T823">
        <v>2026</v>
      </c>
      <c r="U823">
        <v>3</v>
      </c>
      <c r="V823">
        <v>0</v>
      </c>
      <c r="W823" t="s">
        <v>36</v>
      </c>
      <c r="X823" t="s">
        <v>64</v>
      </c>
      <c r="Y823" t="s">
        <v>95</v>
      </c>
    </row>
    <row r="824" spans="1:25" x14ac:dyDescent="0.35">
      <c r="A824" t="s">
        <v>1775</v>
      </c>
      <c r="B824" t="s">
        <v>100</v>
      </c>
      <c r="C824" t="s">
        <v>101</v>
      </c>
      <c r="D824" t="s">
        <v>68</v>
      </c>
      <c r="E824">
        <v>11</v>
      </c>
      <c r="F824" t="s">
        <v>128</v>
      </c>
      <c r="G824">
        <v>384000</v>
      </c>
      <c r="H824">
        <v>180000</v>
      </c>
      <c r="I824">
        <v>320000</v>
      </c>
      <c r="J824" t="s">
        <v>117</v>
      </c>
      <c r="K824" t="s">
        <v>118</v>
      </c>
      <c r="L824" t="s">
        <v>53</v>
      </c>
      <c r="M824" t="s">
        <v>54</v>
      </c>
      <c r="N824" t="s">
        <v>110</v>
      </c>
      <c r="O824" t="s">
        <v>1776</v>
      </c>
      <c r="P824">
        <v>10.4</v>
      </c>
      <c r="Q824">
        <v>84</v>
      </c>
      <c r="R824">
        <v>14.7</v>
      </c>
      <c r="S824">
        <v>6.3</v>
      </c>
      <c r="T824">
        <v>2026</v>
      </c>
      <c r="U824">
        <v>3</v>
      </c>
      <c r="V824">
        <v>1</v>
      </c>
      <c r="W824" t="s">
        <v>47</v>
      </c>
      <c r="X824" t="s">
        <v>64</v>
      </c>
      <c r="Y824" t="s">
        <v>56</v>
      </c>
    </row>
    <row r="825" spans="1:25" x14ac:dyDescent="0.35">
      <c r="A825" t="s">
        <v>1777</v>
      </c>
      <c r="B825" t="s">
        <v>66</v>
      </c>
      <c r="C825" t="s">
        <v>67</v>
      </c>
      <c r="D825" t="s">
        <v>74</v>
      </c>
      <c r="E825">
        <v>5</v>
      </c>
      <c r="F825" t="s">
        <v>128</v>
      </c>
      <c r="G825">
        <v>211000</v>
      </c>
      <c r="H825">
        <v>140000</v>
      </c>
      <c r="I825">
        <v>260000</v>
      </c>
      <c r="J825" t="s">
        <v>30</v>
      </c>
      <c r="K825" t="s">
        <v>31</v>
      </c>
      <c r="L825" t="s">
        <v>53</v>
      </c>
      <c r="M825" t="s">
        <v>45</v>
      </c>
      <c r="N825" t="s">
        <v>131</v>
      </c>
      <c r="O825" t="s">
        <v>1778</v>
      </c>
      <c r="P825">
        <v>15.3</v>
      </c>
      <c r="Q825">
        <v>85</v>
      </c>
      <c r="R825">
        <v>19.7</v>
      </c>
      <c r="S825">
        <v>7.3</v>
      </c>
      <c r="T825">
        <v>2025</v>
      </c>
      <c r="U825">
        <v>5</v>
      </c>
      <c r="V825">
        <v>0</v>
      </c>
      <c r="W825" t="s">
        <v>47</v>
      </c>
      <c r="X825" t="s">
        <v>64</v>
      </c>
      <c r="Y825" t="s">
        <v>38</v>
      </c>
    </row>
    <row r="826" spans="1:25" x14ac:dyDescent="0.35">
      <c r="A826" t="s">
        <v>1779</v>
      </c>
      <c r="B826" t="s">
        <v>141</v>
      </c>
      <c r="C826" t="s">
        <v>27</v>
      </c>
      <c r="D826" t="s">
        <v>81</v>
      </c>
      <c r="E826">
        <v>6</v>
      </c>
      <c r="F826" t="s">
        <v>41</v>
      </c>
      <c r="G826">
        <v>192000</v>
      </c>
      <c r="H826">
        <v>141000</v>
      </c>
      <c r="I826">
        <v>270000</v>
      </c>
      <c r="J826" t="s">
        <v>47</v>
      </c>
      <c r="K826" t="s">
        <v>87</v>
      </c>
      <c r="L826" t="s">
        <v>44</v>
      </c>
      <c r="M826" t="s">
        <v>82</v>
      </c>
      <c r="N826" t="s">
        <v>119</v>
      </c>
      <c r="O826" t="s">
        <v>1780</v>
      </c>
      <c r="P826">
        <v>3.7</v>
      </c>
      <c r="Q826">
        <v>89</v>
      </c>
      <c r="R826">
        <v>29.2</v>
      </c>
      <c r="S826">
        <v>6.6</v>
      </c>
      <c r="T826">
        <v>2025</v>
      </c>
      <c r="U826">
        <v>3</v>
      </c>
      <c r="V826">
        <v>0</v>
      </c>
      <c r="W826" t="s">
        <v>47</v>
      </c>
      <c r="X826" t="s">
        <v>64</v>
      </c>
      <c r="Y826" t="s">
        <v>48</v>
      </c>
    </row>
    <row r="827" spans="1:25" x14ac:dyDescent="0.35">
      <c r="A827" t="s">
        <v>1781</v>
      </c>
      <c r="B827" t="s">
        <v>134</v>
      </c>
      <c r="C827" t="s">
        <v>27</v>
      </c>
      <c r="D827" t="s">
        <v>81</v>
      </c>
      <c r="E827">
        <v>7</v>
      </c>
      <c r="F827" t="s">
        <v>29</v>
      </c>
      <c r="G827">
        <v>172000</v>
      </c>
      <c r="H827">
        <v>150000</v>
      </c>
      <c r="I827">
        <v>295000</v>
      </c>
      <c r="J827" t="s">
        <v>191</v>
      </c>
      <c r="K827" t="s">
        <v>31</v>
      </c>
      <c r="L827" t="s">
        <v>44</v>
      </c>
      <c r="M827" t="s">
        <v>33</v>
      </c>
      <c r="N827" t="s">
        <v>76</v>
      </c>
      <c r="O827" t="s">
        <v>1782</v>
      </c>
      <c r="P827">
        <v>9.3000000000000007</v>
      </c>
      <c r="Q827">
        <v>95</v>
      </c>
      <c r="R827">
        <v>28.2</v>
      </c>
      <c r="S827">
        <v>6.5</v>
      </c>
      <c r="T827">
        <v>2026</v>
      </c>
      <c r="U827">
        <v>2</v>
      </c>
      <c r="V827">
        <v>0</v>
      </c>
      <c r="W827" t="s">
        <v>47</v>
      </c>
      <c r="X827" t="s">
        <v>37</v>
      </c>
      <c r="Y827" t="s">
        <v>48</v>
      </c>
    </row>
    <row r="828" spans="1:25" x14ac:dyDescent="0.35">
      <c r="A828" t="s">
        <v>1783</v>
      </c>
      <c r="B828" t="s">
        <v>168</v>
      </c>
      <c r="C828" t="s">
        <v>169</v>
      </c>
      <c r="D828" t="s">
        <v>68</v>
      </c>
      <c r="E828">
        <v>8</v>
      </c>
      <c r="F828" t="s">
        <v>29</v>
      </c>
      <c r="G828">
        <v>261600</v>
      </c>
      <c r="H828">
        <v>157000</v>
      </c>
      <c r="I828">
        <v>218000</v>
      </c>
      <c r="J828" t="s">
        <v>113</v>
      </c>
      <c r="K828" t="s">
        <v>114</v>
      </c>
      <c r="L828" t="s">
        <v>44</v>
      </c>
      <c r="M828" t="s">
        <v>54</v>
      </c>
      <c r="N828" t="s">
        <v>71</v>
      </c>
      <c r="O828" t="s">
        <v>1784</v>
      </c>
      <c r="P828">
        <v>7.6</v>
      </c>
      <c r="Q828">
        <v>90</v>
      </c>
      <c r="R828">
        <v>16.399999999999999</v>
      </c>
      <c r="S828">
        <v>9.3000000000000007</v>
      </c>
      <c r="T828">
        <v>2026</v>
      </c>
      <c r="U828">
        <v>3</v>
      </c>
      <c r="V828">
        <v>1</v>
      </c>
      <c r="W828" t="s">
        <v>47</v>
      </c>
      <c r="X828" t="s">
        <v>64</v>
      </c>
      <c r="Y828" t="s">
        <v>38</v>
      </c>
    </row>
    <row r="829" spans="1:25" x14ac:dyDescent="0.35">
      <c r="A829" t="s">
        <v>1785</v>
      </c>
      <c r="B829" t="s">
        <v>203</v>
      </c>
      <c r="C829" t="s">
        <v>169</v>
      </c>
      <c r="D829" t="s">
        <v>81</v>
      </c>
      <c r="E829">
        <v>2</v>
      </c>
      <c r="F829" t="s">
        <v>41</v>
      </c>
      <c r="G829">
        <v>138000</v>
      </c>
      <c r="H829">
        <v>138000</v>
      </c>
      <c r="I829">
        <v>195000</v>
      </c>
      <c r="J829" t="s">
        <v>191</v>
      </c>
      <c r="K829" t="s">
        <v>31</v>
      </c>
      <c r="L829" t="s">
        <v>44</v>
      </c>
      <c r="M829" t="s">
        <v>82</v>
      </c>
      <c r="N829" t="s">
        <v>165</v>
      </c>
      <c r="O829" t="s">
        <v>1786</v>
      </c>
      <c r="P829">
        <v>3.9</v>
      </c>
      <c r="Q829">
        <v>92</v>
      </c>
      <c r="R829">
        <v>76.3</v>
      </c>
      <c r="S829">
        <v>8.1999999999999993</v>
      </c>
      <c r="T829">
        <v>2026</v>
      </c>
      <c r="U829">
        <v>2</v>
      </c>
      <c r="V829">
        <v>0</v>
      </c>
      <c r="W829" t="s">
        <v>47</v>
      </c>
      <c r="X829" t="s">
        <v>64</v>
      </c>
      <c r="Y829" t="s">
        <v>95</v>
      </c>
    </row>
    <row r="830" spans="1:25" x14ac:dyDescent="0.35">
      <c r="A830" t="s">
        <v>1787</v>
      </c>
      <c r="B830" t="s">
        <v>58</v>
      </c>
      <c r="C830" t="s">
        <v>59</v>
      </c>
      <c r="D830" t="s">
        <v>74</v>
      </c>
      <c r="E830">
        <v>6</v>
      </c>
      <c r="F830" t="s">
        <v>29</v>
      </c>
      <c r="G830">
        <v>130000</v>
      </c>
      <c r="H830">
        <v>130000</v>
      </c>
      <c r="I830">
        <v>220000</v>
      </c>
      <c r="J830" t="s">
        <v>137</v>
      </c>
      <c r="K830" t="s">
        <v>138</v>
      </c>
      <c r="L830" t="s">
        <v>32</v>
      </c>
      <c r="M830" t="s">
        <v>33</v>
      </c>
      <c r="N830" t="s">
        <v>110</v>
      </c>
      <c r="O830" t="s">
        <v>1788</v>
      </c>
      <c r="P830">
        <v>17.399999999999999</v>
      </c>
      <c r="Q830">
        <v>88</v>
      </c>
      <c r="R830">
        <v>18.7</v>
      </c>
      <c r="S830">
        <v>8.1</v>
      </c>
      <c r="T830">
        <v>2025</v>
      </c>
      <c r="U830">
        <v>3</v>
      </c>
      <c r="V830">
        <v>0</v>
      </c>
      <c r="W830" t="s">
        <v>36</v>
      </c>
      <c r="X830" t="s">
        <v>64</v>
      </c>
      <c r="Y830" t="s">
        <v>95</v>
      </c>
    </row>
    <row r="831" spans="1:25" x14ac:dyDescent="0.35">
      <c r="A831" t="s">
        <v>1789</v>
      </c>
      <c r="B831" t="s">
        <v>141</v>
      </c>
      <c r="C831" t="s">
        <v>27</v>
      </c>
      <c r="D831" t="s">
        <v>74</v>
      </c>
      <c r="E831">
        <v>10</v>
      </c>
      <c r="F831" t="s">
        <v>29</v>
      </c>
      <c r="G831">
        <v>179000</v>
      </c>
      <c r="H831">
        <v>141000</v>
      </c>
      <c r="I831">
        <v>270000</v>
      </c>
      <c r="J831" t="s">
        <v>174</v>
      </c>
      <c r="K831" t="s">
        <v>31</v>
      </c>
      <c r="L831" t="s">
        <v>44</v>
      </c>
      <c r="M831" t="s">
        <v>82</v>
      </c>
      <c r="N831" t="s">
        <v>155</v>
      </c>
      <c r="O831" t="s">
        <v>1790</v>
      </c>
      <c r="P831">
        <v>3.4</v>
      </c>
      <c r="Q831">
        <v>89</v>
      </c>
      <c r="R831">
        <v>20</v>
      </c>
      <c r="S831">
        <v>6.2</v>
      </c>
      <c r="T831">
        <v>2026</v>
      </c>
      <c r="U831">
        <v>1</v>
      </c>
      <c r="V831">
        <v>0</v>
      </c>
      <c r="W831" t="s">
        <v>47</v>
      </c>
      <c r="X831" t="s">
        <v>64</v>
      </c>
      <c r="Y831" t="s">
        <v>48</v>
      </c>
    </row>
    <row r="832" spans="1:25" x14ac:dyDescent="0.35">
      <c r="A832" t="s">
        <v>1791</v>
      </c>
      <c r="B832" t="s">
        <v>40</v>
      </c>
      <c r="C832" t="s">
        <v>27</v>
      </c>
      <c r="D832" t="s">
        <v>74</v>
      </c>
      <c r="E832">
        <v>2</v>
      </c>
      <c r="F832" t="s">
        <v>69</v>
      </c>
      <c r="G832">
        <v>98000</v>
      </c>
      <c r="H832">
        <v>90000</v>
      </c>
      <c r="I832">
        <v>200000</v>
      </c>
      <c r="J832" t="s">
        <v>122</v>
      </c>
      <c r="K832" t="s">
        <v>123</v>
      </c>
      <c r="L832" t="s">
        <v>53</v>
      </c>
      <c r="M832" t="s">
        <v>54</v>
      </c>
      <c r="N832" t="s">
        <v>71</v>
      </c>
      <c r="O832" t="s">
        <v>1792</v>
      </c>
      <c r="P832">
        <v>9.1</v>
      </c>
      <c r="Q832">
        <v>82</v>
      </c>
      <c r="R832">
        <v>5.8</v>
      </c>
      <c r="S832">
        <v>6.2</v>
      </c>
      <c r="T832">
        <v>2025</v>
      </c>
      <c r="U832">
        <v>6</v>
      </c>
      <c r="V832">
        <v>0</v>
      </c>
      <c r="W832" t="s">
        <v>47</v>
      </c>
      <c r="X832" t="s">
        <v>37</v>
      </c>
      <c r="Y832" t="s">
        <v>98</v>
      </c>
    </row>
    <row r="833" spans="1:25" x14ac:dyDescent="0.35">
      <c r="A833" t="s">
        <v>1793</v>
      </c>
      <c r="B833" t="s">
        <v>50</v>
      </c>
      <c r="C833" t="s">
        <v>27</v>
      </c>
      <c r="D833" t="s">
        <v>68</v>
      </c>
      <c r="E833">
        <v>8</v>
      </c>
      <c r="F833" t="s">
        <v>128</v>
      </c>
      <c r="G833">
        <v>360000</v>
      </c>
      <c r="H833">
        <v>160000</v>
      </c>
      <c r="I833">
        <v>300000</v>
      </c>
      <c r="J833" t="s">
        <v>47</v>
      </c>
      <c r="K833" t="s">
        <v>87</v>
      </c>
      <c r="L833" t="s">
        <v>53</v>
      </c>
      <c r="M833" t="s">
        <v>54</v>
      </c>
      <c r="N833" t="s">
        <v>131</v>
      </c>
      <c r="O833" t="s">
        <v>1794</v>
      </c>
      <c r="P833">
        <v>4.8</v>
      </c>
      <c r="Q833">
        <v>98</v>
      </c>
      <c r="R833">
        <v>76.400000000000006</v>
      </c>
      <c r="S833">
        <v>6.5</v>
      </c>
      <c r="T833">
        <v>2026</v>
      </c>
      <c r="U833">
        <v>2</v>
      </c>
      <c r="V833">
        <v>1</v>
      </c>
      <c r="W833" t="s">
        <v>47</v>
      </c>
      <c r="X833" t="s">
        <v>37</v>
      </c>
      <c r="Y833" t="s">
        <v>56</v>
      </c>
    </row>
    <row r="834" spans="1:25" x14ac:dyDescent="0.35">
      <c r="A834" t="s">
        <v>1795</v>
      </c>
      <c r="B834" t="s">
        <v>40</v>
      </c>
      <c r="C834" t="s">
        <v>27</v>
      </c>
      <c r="D834" t="s">
        <v>74</v>
      </c>
      <c r="E834">
        <v>1</v>
      </c>
      <c r="F834" t="s">
        <v>51</v>
      </c>
      <c r="G834">
        <v>92000</v>
      </c>
      <c r="H834">
        <v>90000</v>
      </c>
      <c r="I834">
        <v>200000</v>
      </c>
      <c r="J834" t="s">
        <v>174</v>
      </c>
      <c r="K834" t="s">
        <v>31</v>
      </c>
      <c r="L834" t="s">
        <v>44</v>
      </c>
      <c r="M834" t="s">
        <v>33</v>
      </c>
      <c r="N834" t="s">
        <v>34</v>
      </c>
      <c r="O834" t="s">
        <v>1796</v>
      </c>
      <c r="P834">
        <v>4.9000000000000004</v>
      </c>
      <c r="Q834">
        <v>82</v>
      </c>
      <c r="R834">
        <v>28.6</v>
      </c>
      <c r="S834">
        <v>7.9</v>
      </c>
      <c r="T834">
        <v>2026</v>
      </c>
      <c r="U834">
        <v>1</v>
      </c>
      <c r="V834">
        <v>0</v>
      </c>
      <c r="W834" t="s">
        <v>47</v>
      </c>
      <c r="X834" t="s">
        <v>37</v>
      </c>
      <c r="Y834" t="s">
        <v>98</v>
      </c>
    </row>
    <row r="835" spans="1:25" x14ac:dyDescent="0.35">
      <c r="A835" t="s">
        <v>1797</v>
      </c>
      <c r="B835" t="s">
        <v>163</v>
      </c>
      <c r="C835" t="s">
        <v>164</v>
      </c>
      <c r="D835" t="s">
        <v>74</v>
      </c>
      <c r="E835">
        <v>5</v>
      </c>
      <c r="F835" t="s">
        <v>128</v>
      </c>
      <c r="G835">
        <v>260000</v>
      </c>
      <c r="H835">
        <v>125000</v>
      </c>
      <c r="I835">
        <v>240000</v>
      </c>
      <c r="J835" t="s">
        <v>174</v>
      </c>
      <c r="K835" t="s">
        <v>31</v>
      </c>
      <c r="L835" t="s">
        <v>44</v>
      </c>
      <c r="M835" t="s">
        <v>54</v>
      </c>
      <c r="N835" t="s">
        <v>71</v>
      </c>
      <c r="O835" t="s">
        <v>1798</v>
      </c>
      <c r="P835">
        <v>12.1</v>
      </c>
      <c r="Q835">
        <v>76</v>
      </c>
      <c r="R835">
        <v>7.5</v>
      </c>
      <c r="S835">
        <v>6.2</v>
      </c>
      <c r="T835">
        <v>2026</v>
      </c>
      <c r="U835">
        <v>2</v>
      </c>
      <c r="V835">
        <v>0</v>
      </c>
      <c r="W835" t="s">
        <v>47</v>
      </c>
      <c r="X835" t="s">
        <v>64</v>
      </c>
      <c r="Y835" t="s">
        <v>38</v>
      </c>
    </row>
    <row r="836" spans="1:25" x14ac:dyDescent="0.35">
      <c r="A836" t="s">
        <v>1799</v>
      </c>
      <c r="B836" t="s">
        <v>86</v>
      </c>
      <c r="C836" t="s">
        <v>27</v>
      </c>
      <c r="D836" t="s">
        <v>28</v>
      </c>
      <c r="E836">
        <v>12</v>
      </c>
      <c r="F836" t="s">
        <v>51</v>
      </c>
      <c r="G836">
        <v>330000</v>
      </c>
      <c r="H836">
        <v>180000</v>
      </c>
      <c r="I836">
        <v>312000</v>
      </c>
      <c r="J836" t="s">
        <v>296</v>
      </c>
      <c r="K836" t="s">
        <v>31</v>
      </c>
      <c r="L836" t="s">
        <v>44</v>
      </c>
      <c r="M836" t="s">
        <v>82</v>
      </c>
      <c r="N836" t="s">
        <v>165</v>
      </c>
      <c r="O836" t="s">
        <v>1800</v>
      </c>
      <c r="P836">
        <v>11.5</v>
      </c>
      <c r="Q836">
        <v>96</v>
      </c>
      <c r="R836">
        <v>77.7</v>
      </c>
      <c r="S836">
        <v>8.6</v>
      </c>
      <c r="T836">
        <v>2026</v>
      </c>
      <c r="U836">
        <v>3</v>
      </c>
      <c r="V836">
        <v>1</v>
      </c>
      <c r="W836" t="s">
        <v>47</v>
      </c>
      <c r="X836" t="s">
        <v>64</v>
      </c>
      <c r="Y836" t="s">
        <v>56</v>
      </c>
    </row>
    <row r="837" spans="1:25" x14ac:dyDescent="0.35">
      <c r="A837" t="s">
        <v>1801</v>
      </c>
      <c r="B837" t="s">
        <v>40</v>
      </c>
      <c r="C837" t="s">
        <v>27</v>
      </c>
      <c r="D837" t="s">
        <v>68</v>
      </c>
      <c r="E837">
        <v>5</v>
      </c>
      <c r="F837" t="s">
        <v>41</v>
      </c>
      <c r="G837">
        <v>90000</v>
      </c>
      <c r="H837">
        <v>90000</v>
      </c>
      <c r="I837">
        <v>200000</v>
      </c>
      <c r="J837" t="s">
        <v>108</v>
      </c>
      <c r="K837" t="s">
        <v>109</v>
      </c>
      <c r="L837" t="s">
        <v>53</v>
      </c>
      <c r="M837" t="s">
        <v>82</v>
      </c>
      <c r="N837" t="s">
        <v>110</v>
      </c>
      <c r="O837" t="s">
        <v>1802</v>
      </c>
      <c r="P837">
        <v>9.1999999999999993</v>
      </c>
      <c r="Q837">
        <v>82</v>
      </c>
      <c r="R837">
        <v>15.9</v>
      </c>
      <c r="S837">
        <v>6.6</v>
      </c>
      <c r="T837">
        <v>2025</v>
      </c>
      <c r="U837">
        <v>2</v>
      </c>
      <c r="V837">
        <v>1</v>
      </c>
      <c r="W837" t="s">
        <v>47</v>
      </c>
      <c r="X837" t="s">
        <v>37</v>
      </c>
      <c r="Y837" t="s">
        <v>98</v>
      </c>
    </row>
    <row r="838" spans="1:25" x14ac:dyDescent="0.35">
      <c r="A838" t="s">
        <v>1803</v>
      </c>
      <c r="B838" t="s">
        <v>79</v>
      </c>
      <c r="C838" t="s">
        <v>80</v>
      </c>
      <c r="D838" t="s">
        <v>68</v>
      </c>
      <c r="E838">
        <v>7</v>
      </c>
      <c r="F838" t="s">
        <v>41</v>
      </c>
      <c r="G838">
        <v>185000</v>
      </c>
      <c r="H838">
        <v>140000</v>
      </c>
      <c r="I838">
        <v>260000</v>
      </c>
      <c r="J838" t="s">
        <v>42</v>
      </c>
      <c r="K838" t="s">
        <v>43</v>
      </c>
      <c r="L838" t="s">
        <v>53</v>
      </c>
      <c r="M838" t="s">
        <v>61</v>
      </c>
      <c r="N838" t="s">
        <v>34</v>
      </c>
      <c r="O838" t="s">
        <v>1804</v>
      </c>
      <c r="P838">
        <v>8.5</v>
      </c>
      <c r="Q838">
        <v>80</v>
      </c>
      <c r="R838">
        <v>19.7</v>
      </c>
      <c r="S838">
        <v>8.5</v>
      </c>
      <c r="T838">
        <v>2025</v>
      </c>
      <c r="U838">
        <v>5</v>
      </c>
      <c r="V838">
        <v>1</v>
      </c>
      <c r="W838" t="s">
        <v>47</v>
      </c>
      <c r="X838" t="s">
        <v>64</v>
      </c>
      <c r="Y838" t="s">
        <v>48</v>
      </c>
    </row>
    <row r="839" spans="1:25" x14ac:dyDescent="0.35">
      <c r="A839" t="s">
        <v>1805</v>
      </c>
      <c r="B839" t="s">
        <v>127</v>
      </c>
      <c r="C839" t="s">
        <v>27</v>
      </c>
      <c r="D839" t="s">
        <v>81</v>
      </c>
      <c r="E839">
        <v>4</v>
      </c>
      <c r="F839" t="s">
        <v>51</v>
      </c>
      <c r="G839">
        <v>222000</v>
      </c>
      <c r="H839">
        <v>120000</v>
      </c>
      <c r="I839">
        <v>280000</v>
      </c>
      <c r="J839" t="s">
        <v>174</v>
      </c>
      <c r="K839" t="s">
        <v>31</v>
      </c>
      <c r="L839" t="s">
        <v>44</v>
      </c>
      <c r="M839" t="s">
        <v>82</v>
      </c>
      <c r="N839" t="s">
        <v>110</v>
      </c>
      <c r="O839" t="s">
        <v>1806</v>
      </c>
      <c r="P839">
        <v>13</v>
      </c>
      <c r="Q839">
        <v>97</v>
      </c>
      <c r="R839">
        <v>74</v>
      </c>
      <c r="S839">
        <v>7.1</v>
      </c>
      <c r="T839">
        <v>2026</v>
      </c>
      <c r="U839">
        <v>2</v>
      </c>
      <c r="V839">
        <v>0</v>
      </c>
      <c r="W839" t="s">
        <v>47</v>
      </c>
      <c r="X839" t="s">
        <v>64</v>
      </c>
      <c r="Y839" t="s">
        <v>38</v>
      </c>
    </row>
    <row r="840" spans="1:25" x14ac:dyDescent="0.35">
      <c r="A840" t="s">
        <v>1807</v>
      </c>
      <c r="B840" t="s">
        <v>50</v>
      </c>
      <c r="C840" t="s">
        <v>27</v>
      </c>
      <c r="D840" t="s">
        <v>68</v>
      </c>
      <c r="E840">
        <v>3</v>
      </c>
      <c r="F840" t="s">
        <v>29</v>
      </c>
      <c r="G840">
        <v>166000</v>
      </c>
      <c r="H840">
        <v>160000</v>
      </c>
      <c r="I840">
        <v>300000</v>
      </c>
      <c r="J840" t="s">
        <v>108</v>
      </c>
      <c r="K840" t="s">
        <v>109</v>
      </c>
      <c r="L840" t="s">
        <v>53</v>
      </c>
      <c r="M840" t="s">
        <v>54</v>
      </c>
      <c r="N840" t="s">
        <v>76</v>
      </c>
      <c r="O840" t="s">
        <v>1808</v>
      </c>
      <c r="P840">
        <v>4</v>
      </c>
      <c r="Q840">
        <v>98</v>
      </c>
      <c r="R840">
        <v>50.4</v>
      </c>
      <c r="S840">
        <v>9.6</v>
      </c>
      <c r="T840">
        <v>2026</v>
      </c>
      <c r="U840">
        <v>3</v>
      </c>
      <c r="V840">
        <v>1</v>
      </c>
      <c r="W840" t="s">
        <v>47</v>
      </c>
      <c r="X840" t="s">
        <v>37</v>
      </c>
      <c r="Y840" t="s">
        <v>48</v>
      </c>
    </row>
    <row r="841" spans="1:25" x14ac:dyDescent="0.35">
      <c r="A841" t="s">
        <v>1809</v>
      </c>
      <c r="B841" t="s">
        <v>224</v>
      </c>
      <c r="C841" t="s">
        <v>27</v>
      </c>
      <c r="D841" t="s">
        <v>81</v>
      </c>
      <c r="E841">
        <v>6</v>
      </c>
      <c r="F841" t="s">
        <v>128</v>
      </c>
      <c r="G841">
        <v>159000</v>
      </c>
      <c r="H841">
        <v>145000</v>
      </c>
      <c r="I841">
        <v>280000</v>
      </c>
      <c r="J841" t="s">
        <v>42</v>
      </c>
      <c r="K841" t="s">
        <v>43</v>
      </c>
      <c r="L841" t="s">
        <v>53</v>
      </c>
      <c r="M841" t="s">
        <v>61</v>
      </c>
      <c r="N841" t="s">
        <v>124</v>
      </c>
      <c r="O841" t="s">
        <v>1810</v>
      </c>
      <c r="P841">
        <v>4.8</v>
      </c>
      <c r="Q841">
        <v>87</v>
      </c>
      <c r="R841">
        <v>27.1</v>
      </c>
      <c r="S841">
        <v>9.1999999999999993</v>
      </c>
      <c r="T841">
        <v>2026</v>
      </c>
      <c r="U841">
        <v>1</v>
      </c>
      <c r="V841">
        <v>0</v>
      </c>
      <c r="W841" t="s">
        <v>47</v>
      </c>
      <c r="X841" t="s">
        <v>64</v>
      </c>
      <c r="Y841" t="s">
        <v>48</v>
      </c>
    </row>
    <row r="842" spans="1:25" x14ac:dyDescent="0.35">
      <c r="A842" t="s">
        <v>1811</v>
      </c>
      <c r="B842" t="s">
        <v>196</v>
      </c>
      <c r="C842" t="s">
        <v>27</v>
      </c>
      <c r="D842" t="s">
        <v>74</v>
      </c>
      <c r="E842">
        <v>6</v>
      </c>
      <c r="F842" t="s">
        <v>51</v>
      </c>
      <c r="G842">
        <v>124000</v>
      </c>
      <c r="H842">
        <v>100000</v>
      </c>
      <c r="I842">
        <v>250000</v>
      </c>
      <c r="J842" t="s">
        <v>70</v>
      </c>
      <c r="K842" t="s">
        <v>31</v>
      </c>
      <c r="L842" t="s">
        <v>44</v>
      </c>
      <c r="M842" t="s">
        <v>45</v>
      </c>
      <c r="N842" t="s">
        <v>119</v>
      </c>
      <c r="O842" t="s">
        <v>1812</v>
      </c>
      <c r="P842">
        <v>8.3000000000000007</v>
      </c>
      <c r="Q842">
        <v>95</v>
      </c>
      <c r="R842">
        <v>73.599999999999994</v>
      </c>
      <c r="S842">
        <v>8.4</v>
      </c>
      <c r="T842">
        <v>2025</v>
      </c>
      <c r="U842">
        <v>9</v>
      </c>
      <c r="V842">
        <v>0</v>
      </c>
      <c r="W842" t="s">
        <v>47</v>
      </c>
      <c r="X842" t="s">
        <v>64</v>
      </c>
      <c r="Y842" t="s">
        <v>95</v>
      </c>
    </row>
    <row r="843" spans="1:25" x14ac:dyDescent="0.35">
      <c r="A843" t="s">
        <v>1813</v>
      </c>
      <c r="B843" t="s">
        <v>86</v>
      </c>
      <c r="C843" t="s">
        <v>27</v>
      </c>
      <c r="D843" t="s">
        <v>68</v>
      </c>
      <c r="E843">
        <v>6</v>
      </c>
      <c r="F843" t="s">
        <v>29</v>
      </c>
      <c r="G843">
        <v>345000</v>
      </c>
      <c r="H843">
        <v>180000</v>
      </c>
      <c r="I843">
        <v>312000</v>
      </c>
      <c r="J843" t="s">
        <v>42</v>
      </c>
      <c r="K843" t="s">
        <v>43</v>
      </c>
      <c r="L843" t="s">
        <v>32</v>
      </c>
      <c r="M843" t="s">
        <v>82</v>
      </c>
      <c r="N843" t="s">
        <v>155</v>
      </c>
      <c r="O843" t="s">
        <v>1814</v>
      </c>
      <c r="P843">
        <v>15.6</v>
      </c>
      <c r="Q843">
        <v>96</v>
      </c>
      <c r="R843">
        <v>47.9</v>
      </c>
      <c r="S843">
        <v>9.3000000000000007</v>
      </c>
      <c r="T843">
        <v>2025</v>
      </c>
      <c r="U843">
        <v>9</v>
      </c>
      <c r="V843">
        <v>1</v>
      </c>
      <c r="W843" t="s">
        <v>36</v>
      </c>
      <c r="X843" t="s">
        <v>64</v>
      </c>
      <c r="Y843" t="s">
        <v>56</v>
      </c>
    </row>
    <row r="844" spans="1:25" x14ac:dyDescent="0.35">
      <c r="A844" t="s">
        <v>1815</v>
      </c>
      <c r="B844" t="s">
        <v>134</v>
      </c>
      <c r="C844" t="s">
        <v>27</v>
      </c>
      <c r="D844" t="s">
        <v>68</v>
      </c>
      <c r="E844">
        <v>2</v>
      </c>
      <c r="F844" t="s">
        <v>51</v>
      </c>
      <c r="G844">
        <v>299000</v>
      </c>
      <c r="H844">
        <v>150000</v>
      </c>
      <c r="I844">
        <v>295000</v>
      </c>
      <c r="J844" t="s">
        <v>42</v>
      </c>
      <c r="K844" t="s">
        <v>43</v>
      </c>
      <c r="L844" t="s">
        <v>44</v>
      </c>
      <c r="M844" t="s">
        <v>54</v>
      </c>
      <c r="N844" t="s">
        <v>88</v>
      </c>
      <c r="O844" t="s">
        <v>1816</v>
      </c>
      <c r="P844">
        <v>14.7</v>
      </c>
      <c r="Q844">
        <v>95</v>
      </c>
      <c r="R844">
        <v>75.5</v>
      </c>
      <c r="S844">
        <v>6.7</v>
      </c>
      <c r="T844">
        <v>2025</v>
      </c>
      <c r="U844">
        <v>10</v>
      </c>
      <c r="V844">
        <v>1</v>
      </c>
      <c r="W844" t="s">
        <v>47</v>
      </c>
      <c r="X844" t="s">
        <v>37</v>
      </c>
      <c r="Y844" t="s">
        <v>38</v>
      </c>
    </row>
    <row r="845" spans="1:25" x14ac:dyDescent="0.35">
      <c r="A845" t="s">
        <v>1817</v>
      </c>
      <c r="B845" t="s">
        <v>86</v>
      </c>
      <c r="C845" t="s">
        <v>27</v>
      </c>
      <c r="D845" t="s">
        <v>68</v>
      </c>
      <c r="E845">
        <v>6</v>
      </c>
      <c r="F845" t="s">
        <v>41</v>
      </c>
      <c r="G845">
        <v>374400</v>
      </c>
      <c r="H845">
        <v>180000</v>
      </c>
      <c r="I845">
        <v>312000</v>
      </c>
      <c r="J845" t="s">
        <v>129</v>
      </c>
      <c r="K845" t="s">
        <v>130</v>
      </c>
      <c r="L845" t="s">
        <v>53</v>
      </c>
      <c r="M845" t="s">
        <v>54</v>
      </c>
      <c r="N845" t="s">
        <v>88</v>
      </c>
      <c r="O845" t="s">
        <v>1818</v>
      </c>
      <c r="P845">
        <v>11.9</v>
      </c>
      <c r="Q845">
        <v>96</v>
      </c>
      <c r="R845">
        <v>83.9</v>
      </c>
      <c r="S845">
        <v>8.5</v>
      </c>
      <c r="T845">
        <v>2026</v>
      </c>
      <c r="U845">
        <v>3</v>
      </c>
      <c r="V845">
        <v>1</v>
      </c>
      <c r="W845" t="s">
        <v>47</v>
      </c>
      <c r="X845" t="s">
        <v>64</v>
      </c>
      <c r="Y845" t="s">
        <v>56</v>
      </c>
    </row>
    <row r="846" spans="1:25" x14ac:dyDescent="0.35">
      <c r="A846" t="s">
        <v>1819</v>
      </c>
      <c r="B846" t="s">
        <v>26</v>
      </c>
      <c r="C846" t="s">
        <v>27</v>
      </c>
      <c r="D846" t="s">
        <v>74</v>
      </c>
      <c r="E846">
        <v>7</v>
      </c>
      <c r="F846" t="s">
        <v>51</v>
      </c>
      <c r="G846">
        <v>157000</v>
      </c>
      <c r="H846">
        <v>155000</v>
      </c>
      <c r="I846">
        <v>290000</v>
      </c>
      <c r="J846" t="s">
        <v>296</v>
      </c>
      <c r="K846" t="s">
        <v>31</v>
      </c>
      <c r="L846" t="s">
        <v>32</v>
      </c>
      <c r="M846" t="s">
        <v>82</v>
      </c>
      <c r="N846" t="s">
        <v>76</v>
      </c>
      <c r="O846" t="s">
        <v>1820</v>
      </c>
      <c r="P846">
        <v>17</v>
      </c>
      <c r="Q846">
        <v>96</v>
      </c>
      <c r="R846">
        <v>61.9</v>
      </c>
      <c r="S846">
        <v>6.7</v>
      </c>
      <c r="T846">
        <v>2025</v>
      </c>
      <c r="U846">
        <v>12</v>
      </c>
      <c r="V846">
        <v>0</v>
      </c>
      <c r="W846" t="s">
        <v>36</v>
      </c>
      <c r="X846" t="s">
        <v>37</v>
      </c>
      <c r="Y846" t="s">
        <v>48</v>
      </c>
    </row>
    <row r="847" spans="1:25" x14ac:dyDescent="0.35">
      <c r="A847" t="s">
        <v>1821</v>
      </c>
      <c r="B847" t="s">
        <v>163</v>
      </c>
      <c r="C847" t="s">
        <v>164</v>
      </c>
      <c r="D847" t="s">
        <v>28</v>
      </c>
      <c r="E847">
        <v>10</v>
      </c>
      <c r="F847" t="s">
        <v>69</v>
      </c>
      <c r="G847">
        <v>131000</v>
      </c>
      <c r="H847">
        <v>125000</v>
      </c>
      <c r="I847">
        <v>240000</v>
      </c>
      <c r="J847" t="s">
        <v>102</v>
      </c>
      <c r="K847" t="s">
        <v>103</v>
      </c>
      <c r="L847" t="s">
        <v>44</v>
      </c>
      <c r="M847" t="s">
        <v>61</v>
      </c>
      <c r="N847" t="s">
        <v>124</v>
      </c>
      <c r="O847" t="s">
        <v>1822</v>
      </c>
      <c r="P847">
        <v>14.1</v>
      </c>
      <c r="Q847">
        <v>76</v>
      </c>
      <c r="R847">
        <v>5.6</v>
      </c>
      <c r="S847">
        <v>7.7</v>
      </c>
      <c r="T847">
        <v>2025</v>
      </c>
      <c r="U847">
        <v>2</v>
      </c>
      <c r="V847">
        <v>1</v>
      </c>
      <c r="W847" t="s">
        <v>47</v>
      </c>
      <c r="X847" t="s">
        <v>64</v>
      </c>
      <c r="Y847" t="s">
        <v>95</v>
      </c>
    </row>
    <row r="848" spans="1:25" x14ac:dyDescent="0.35">
      <c r="A848" t="s">
        <v>1823</v>
      </c>
      <c r="B848" t="s">
        <v>100</v>
      </c>
      <c r="C848" t="s">
        <v>101</v>
      </c>
      <c r="D848" t="s">
        <v>28</v>
      </c>
      <c r="E848">
        <v>8</v>
      </c>
      <c r="F848" t="s">
        <v>41</v>
      </c>
      <c r="G848">
        <v>340000</v>
      </c>
      <c r="H848">
        <v>180000</v>
      </c>
      <c r="I848">
        <v>320000</v>
      </c>
      <c r="J848" t="s">
        <v>174</v>
      </c>
      <c r="K848" t="s">
        <v>31</v>
      </c>
      <c r="L848" t="s">
        <v>53</v>
      </c>
      <c r="M848" t="s">
        <v>61</v>
      </c>
      <c r="N848" t="s">
        <v>165</v>
      </c>
      <c r="O848" t="s">
        <v>1824</v>
      </c>
      <c r="P848">
        <v>15.8</v>
      </c>
      <c r="Q848">
        <v>84</v>
      </c>
      <c r="R848">
        <v>11.6</v>
      </c>
      <c r="S848">
        <v>7.5</v>
      </c>
      <c r="T848">
        <v>2026</v>
      </c>
      <c r="U848">
        <v>1</v>
      </c>
      <c r="V848">
        <v>1</v>
      </c>
      <c r="W848" t="s">
        <v>47</v>
      </c>
      <c r="X848" t="s">
        <v>64</v>
      </c>
      <c r="Y848" t="s">
        <v>56</v>
      </c>
    </row>
    <row r="849" spans="1:25" x14ac:dyDescent="0.35">
      <c r="A849" t="s">
        <v>1825</v>
      </c>
      <c r="B849" t="s">
        <v>158</v>
      </c>
      <c r="C849" t="s">
        <v>27</v>
      </c>
      <c r="D849" t="s">
        <v>81</v>
      </c>
      <c r="E849">
        <v>3</v>
      </c>
      <c r="F849" t="s">
        <v>128</v>
      </c>
      <c r="G849">
        <v>287000</v>
      </c>
      <c r="H849">
        <v>145000</v>
      </c>
      <c r="I849">
        <v>280000</v>
      </c>
      <c r="J849" t="s">
        <v>296</v>
      </c>
      <c r="K849" t="s">
        <v>31</v>
      </c>
      <c r="L849" t="s">
        <v>32</v>
      </c>
      <c r="M849" t="s">
        <v>45</v>
      </c>
      <c r="N849" t="s">
        <v>34</v>
      </c>
      <c r="O849" t="s">
        <v>1826</v>
      </c>
      <c r="P849">
        <v>8.8000000000000007</v>
      </c>
      <c r="Q849">
        <v>94</v>
      </c>
      <c r="R849">
        <v>57.8</v>
      </c>
      <c r="S849">
        <v>8.9</v>
      </c>
      <c r="T849">
        <v>2026</v>
      </c>
      <c r="U849">
        <v>2</v>
      </c>
      <c r="V849">
        <v>0</v>
      </c>
      <c r="W849" t="s">
        <v>36</v>
      </c>
      <c r="X849" t="s">
        <v>37</v>
      </c>
      <c r="Y849" t="s">
        <v>38</v>
      </c>
    </row>
    <row r="850" spans="1:25" x14ac:dyDescent="0.35">
      <c r="A850" t="s">
        <v>1827</v>
      </c>
      <c r="B850" t="s">
        <v>146</v>
      </c>
      <c r="C850" t="s">
        <v>27</v>
      </c>
      <c r="D850" t="s">
        <v>81</v>
      </c>
      <c r="E850">
        <v>4</v>
      </c>
      <c r="F850" t="s">
        <v>69</v>
      </c>
      <c r="G850">
        <v>160000</v>
      </c>
      <c r="H850">
        <v>160000</v>
      </c>
      <c r="I850">
        <v>300000</v>
      </c>
      <c r="J850" t="s">
        <v>108</v>
      </c>
      <c r="K850" t="s">
        <v>109</v>
      </c>
      <c r="L850" t="s">
        <v>44</v>
      </c>
      <c r="M850" t="s">
        <v>61</v>
      </c>
      <c r="N850" t="s">
        <v>110</v>
      </c>
      <c r="O850" t="s">
        <v>1828</v>
      </c>
      <c r="P850">
        <v>13.1</v>
      </c>
      <c r="Q850">
        <v>90</v>
      </c>
      <c r="R850">
        <v>15</v>
      </c>
      <c r="S850">
        <v>9</v>
      </c>
      <c r="T850">
        <v>2026</v>
      </c>
      <c r="U850">
        <v>1</v>
      </c>
      <c r="V850">
        <v>0</v>
      </c>
      <c r="W850" t="s">
        <v>47</v>
      </c>
      <c r="X850" t="s">
        <v>64</v>
      </c>
      <c r="Y850" t="s">
        <v>48</v>
      </c>
    </row>
    <row r="851" spans="1:25" x14ac:dyDescent="0.35">
      <c r="A851" t="s">
        <v>1829</v>
      </c>
      <c r="B851" t="s">
        <v>58</v>
      </c>
      <c r="C851" t="s">
        <v>59</v>
      </c>
      <c r="D851" t="s">
        <v>68</v>
      </c>
      <c r="E851">
        <v>6</v>
      </c>
      <c r="F851" t="s">
        <v>29</v>
      </c>
      <c r="G851">
        <v>183000</v>
      </c>
      <c r="H851">
        <v>130000</v>
      </c>
      <c r="I851">
        <v>220000</v>
      </c>
      <c r="J851" t="s">
        <v>142</v>
      </c>
      <c r="K851" t="s">
        <v>143</v>
      </c>
      <c r="L851" t="s">
        <v>32</v>
      </c>
      <c r="M851" t="s">
        <v>82</v>
      </c>
      <c r="N851" t="s">
        <v>110</v>
      </c>
      <c r="O851" t="s">
        <v>1830</v>
      </c>
      <c r="P851">
        <v>13.7</v>
      </c>
      <c r="Q851">
        <v>88</v>
      </c>
      <c r="R851">
        <v>15.1</v>
      </c>
      <c r="S851">
        <v>6.2</v>
      </c>
      <c r="T851">
        <v>2026</v>
      </c>
      <c r="U851">
        <v>2</v>
      </c>
      <c r="V851">
        <v>1</v>
      </c>
      <c r="W851" t="s">
        <v>36</v>
      </c>
      <c r="X851" t="s">
        <v>64</v>
      </c>
      <c r="Y851" t="s">
        <v>48</v>
      </c>
    </row>
    <row r="852" spans="1:25" x14ac:dyDescent="0.35">
      <c r="A852" t="s">
        <v>1831</v>
      </c>
      <c r="B852" t="s">
        <v>134</v>
      </c>
      <c r="C852" t="s">
        <v>27</v>
      </c>
      <c r="D852" t="s">
        <v>81</v>
      </c>
      <c r="E852">
        <v>6</v>
      </c>
      <c r="F852" t="s">
        <v>128</v>
      </c>
      <c r="G852">
        <v>354000</v>
      </c>
      <c r="H852">
        <v>150000</v>
      </c>
      <c r="I852">
        <v>295000</v>
      </c>
      <c r="J852" t="s">
        <v>52</v>
      </c>
      <c r="K852" t="s">
        <v>31</v>
      </c>
      <c r="L852" t="s">
        <v>32</v>
      </c>
      <c r="M852" t="s">
        <v>54</v>
      </c>
      <c r="N852" t="s">
        <v>131</v>
      </c>
      <c r="O852" t="s">
        <v>1832</v>
      </c>
      <c r="P852">
        <v>8.8000000000000007</v>
      </c>
      <c r="Q852">
        <v>95</v>
      </c>
      <c r="R852">
        <v>34.799999999999997</v>
      </c>
      <c r="S852">
        <v>8</v>
      </c>
      <c r="T852">
        <v>2026</v>
      </c>
      <c r="U852">
        <v>1</v>
      </c>
      <c r="V852">
        <v>0</v>
      </c>
      <c r="W852" t="s">
        <v>36</v>
      </c>
      <c r="X852" t="s">
        <v>37</v>
      </c>
      <c r="Y852" t="s">
        <v>56</v>
      </c>
    </row>
    <row r="853" spans="1:25" x14ac:dyDescent="0.35">
      <c r="A853" t="s">
        <v>1833</v>
      </c>
      <c r="B853" t="s">
        <v>66</v>
      </c>
      <c r="C853" t="s">
        <v>67</v>
      </c>
      <c r="D853" t="s">
        <v>68</v>
      </c>
      <c r="E853">
        <v>8</v>
      </c>
      <c r="F853" t="s">
        <v>69</v>
      </c>
      <c r="G853">
        <v>140000</v>
      </c>
      <c r="H853">
        <v>140000</v>
      </c>
      <c r="I853">
        <v>260000</v>
      </c>
      <c r="J853" t="s">
        <v>108</v>
      </c>
      <c r="K853" t="s">
        <v>109</v>
      </c>
      <c r="L853" t="s">
        <v>53</v>
      </c>
      <c r="M853" t="s">
        <v>61</v>
      </c>
      <c r="N853" t="s">
        <v>110</v>
      </c>
      <c r="O853" t="s">
        <v>1834</v>
      </c>
      <c r="P853">
        <v>11.8</v>
      </c>
      <c r="Q853">
        <v>85</v>
      </c>
      <c r="R853">
        <v>12.8</v>
      </c>
      <c r="S853">
        <v>9.4</v>
      </c>
      <c r="T853">
        <v>2025</v>
      </c>
      <c r="U853">
        <v>6</v>
      </c>
      <c r="V853">
        <v>1</v>
      </c>
      <c r="W853" t="s">
        <v>47</v>
      </c>
      <c r="X853" t="s">
        <v>64</v>
      </c>
      <c r="Y853" t="s">
        <v>95</v>
      </c>
    </row>
    <row r="854" spans="1:25" x14ac:dyDescent="0.35">
      <c r="A854" t="s">
        <v>1835</v>
      </c>
      <c r="B854" t="s">
        <v>153</v>
      </c>
      <c r="C854" t="s">
        <v>154</v>
      </c>
      <c r="D854" t="s">
        <v>74</v>
      </c>
      <c r="E854">
        <v>3</v>
      </c>
      <c r="F854" t="s">
        <v>41</v>
      </c>
      <c r="G854">
        <v>95000</v>
      </c>
      <c r="H854">
        <v>95000</v>
      </c>
      <c r="I854">
        <v>180000</v>
      </c>
      <c r="J854" t="s">
        <v>142</v>
      </c>
      <c r="K854" t="s">
        <v>143</v>
      </c>
      <c r="L854" t="s">
        <v>32</v>
      </c>
      <c r="M854" t="s">
        <v>82</v>
      </c>
      <c r="N854" t="s">
        <v>124</v>
      </c>
      <c r="O854" t="s">
        <v>1836</v>
      </c>
      <c r="P854">
        <v>9.1</v>
      </c>
      <c r="Q854">
        <v>78</v>
      </c>
      <c r="R854">
        <v>16.899999999999999</v>
      </c>
      <c r="S854">
        <v>7.6</v>
      </c>
      <c r="T854">
        <v>2026</v>
      </c>
      <c r="U854">
        <v>1</v>
      </c>
      <c r="V854">
        <v>0</v>
      </c>
      <c r="W854" t="s">
        <v>36</v>
      </c>
      <c r="X854" t="s">
        <v>64</v>
      </c>
      <c r="Y854" t="s">
        <v>98</v>
      </c>
    </row>
    <row r="855" spans="1:25" x14ac:dyDescent="0.35">
      <c r="A855" t="s">
        <v>1837</v>
      </c>
      <c r="B855" t="s">
        <v>158</v>
      </c>
      <c r="C855" t="s">
        <v>27</v>
      </c>
      <c r="D855" t="s">
        <v>68</v>
      </c>
      <c r="E855">
        <v>3</v>
      </c>
      <c r="F855" t="s">
        <v>29</v>
      </c>
      <c r="G855">
        <v>336000</v>
      </c>
      <c r="H855">
        <v>145000</v>
      </c>
      <c r="I855">
        <v>280000</v>
      </c>
      <c r="J855" t="s">
        <v>102</v>
      </c>
      <c r="K855" t="s">
        <v>103</v>
      </c>
      <c r="L855" t="s">
        <v>44</v>
      </c>
      <c r="M855" t="s">
        <v>54</v>
      </c>
      <c r="N855" t="s">
        <v>76</v>
      </c>
      <c r="O855" t="s">
        <v>1838</v>
      </c>
      <c r="P855">
        <v>3.3</v>
      </c>
      <c r="Q855">
        <v>94</v>
      </c>
      <c r="R855">
        <v>58.4</v>
      </c>
      <c r="S855">
        <v>8.5</v>
      </c>
      <c r="T855">
        <v>2025</v>
      </c>
      <c r="U855">
        <v>3</v>
      </c>
      <c r="V855">
        <v>1</v>
      </c>
      <c r="W855" t="s">
        <v>47</v>
      </c>
      <c r="X855" t="s">
        <v>37</v>
      </c>
      <c r="Y855" t="s">
        <v>56</v>
      </c>
    </row>
    <row r="856" spans="1:25" x14ac:dyDescent="0.35">
      <c r="A856" t="s">
        <v>1839</v>
      </c>
      <c r="B856" t="s">
        <v>149</v>
      </c>
      <c r="C856" t="s">
        <v>150</v>
      </c>
      <c r="D856" t="s">
        <v>28</v>
      </c>
      <c r="E856">
        <v>6</v>
      </c>
      <c r="F856" t="s">
        <v>29</v>
      </c>
      <c r="G856">
        <v>243000</v>
      </c>
      <c r="H856">
        <v>130000</v>
      </c>
      <c r="I856">
        <v>260000</v>
      </c>
      <c r="J856" t="s">
        <v>117</v>
      </c>
      <c r="K856" t="s">
        <v>118</v>
      </c>
      <c r="L856" t="s">
        <v>44</v>
      </c>
      <c r="M856" t="s">
        <v>54</v>
      </c>
      <c r="N856" t="s">
        <v>76</v>
      </c>
      <c r="O856" t="s">
        <v>1840</v>
      </c>
      <c r="P856">
        <v>8.1</v>
      </c>
      <c r="Q856">
        <v>93</v>
      </c>
      <c r="R856">
        <v>72.7</v>
      </c>
      <c r="S856">
        <v>7.2</v>
      </c>
      <c r="T856">
        <v>2026</v>
      </c>
      <c r="U856">
        <v>2</v>
      </c>
      <c r="V856">
        <v>1</v>
      </c>
      <c r="W856" t="s">
        <v>47</v>
      </c>
      <c r="X856" t="s">
        <v>64</v>
      </c>
      <c r="Y856" t="s">
        <v>38</v>
      </c>
    </row>
    <row r="857" spans="1:25" x14ac:dyDescent="0.35">
      <c r="A857" t="s">
        <v>1841</v>
      </c>
      <c r="B857" t="s">
        <v>179</v>
      </c>
      <c r="C857" t="s">
        <v>180</v>
      </c>
      <c r="D857" t="s">
        <v>74</v>
      </c>
      <c r="E857">
        <v>8</v>
      </c>
      <c r="F857" t="s">
        <v>51</v>
      </c>
      <c r="G857">
        <v>110000</v>
      </c>
      <c r="H857">
        <v>110000</v>
      </c>
      <c r="I857">
        <v>210000</v>
      </c>
      <c r="J857" t="s">
        <v>170</v>
      </c>
      <c r="K857" t="s">
        <v>171</v>
      </c>
      <c r="L857" t="s">
        <v>44</v>
      </c>
      <c r="M857" t="s">
        <v>82</v>
      </c>
      <c r="N857" t="s">
        <v>83</v>
      </c>
      <c r="O857" t="s">
        <v>1842</v>
      </c>
      <c r="P857">
        <v>12</v>
      </c>
      <c r="Q857">
        <v>72</v>
      </c>
      <c r="R857">
        <v>14.5</v>
      </c>
      <c r="S857">
        <v>6.5</v>
      </c>
      <c r="T857">
        <v>2026</v>
      </c>
      <c r="U857">
        <v>2</v>
      </c>
      <c r="V857">
        <v>0</v>
      </c>
      <c r="W857" t="s">
        <v>47</v>
      </c>
      <c r="X857" t="s">
        <v>64</v>
      </c>
      <c r="Y857" t="s">
        <v>95</v>
      </c>
    </row>
    <row r="858" spans="1:25" x14ac:dyDescent="0.35">
      <c r="A858" t="s">
        <v>1843</v>
      </c>
      <c r="B858" t="s">
        <v>66</v>
      </c>
      <c r="C858" t="s">
        <v>67</v>
      </c>
      <c r="D858" t="s">
        <v>74</v>
      </c>
      <c r="E858">
        <v>8</v>
      </c>
      <c r="F858" t="s">
        <v>69</v>
      </c>
      <c r="G858">
        <v>140000</v>
      </c>
      <c r="H858">
        <v>140000</v>
      </c>
      <c r="I858">
        <v>260000</v>
      </c>
      <c r="J858" t="s">
        <v>129</v>
      </c>
      <c r="K858" t="s">
        <v>130</v>
      </c>
      <c r="L858" t="s">
        <v>32</v>
      </c>
      <c r="M858" t="s">
        <v>33</v>
      </c>
      <c r="N858" t="s">
        <v>34</v>
      </c>
      <c r="O858" t="s">
        <v>1844</v>
      </c>
      <c r="P858">
        <v>10.9</v>
      </c>
      <c r="Q858">
        <v>85</v>
      </c>
      <c r="R858">
        <v>29.1</v>
      </c>
      <c r="S858">
        <v>9</v>
      </c>
      <c r="T858">
        <v>2026</v>
      </c>
      <c r="U858">
        <v>2</v>
      </c>
      <c r="V858">
        <v>0</v>
      </c>
      <c r="W858" t="s">
        <v>36</v>
      </c>
      <c r="X858" t="s">
        <v>64</v>
      </c>
      <c r="Y858" t="s">
        <v>95</v>
      </c>
    </row>
    <row r="859" spans="1:25" x14ac:dyDescent="0.35">
      <c r="A859" t="s">
        <v>1845</v>
      </c>
      <c r="B859" t="s">
        <v>185</v>
      </c>
      <c r="C859" t="s">
        <v>186</v>
      </c>
      <c r="D859" t="s">
        <v>68</v>
      </c>
      <c r="E859">
        <v>7</v>
      </c>
      <c r="F859" t="s">
        <v>29</v>
      </c>
      <c r="G859">
        <v>324000</v>
      </c>
      <c r="H859">
        <v>140000</v>
      </c>
      <c r="I859">
        <v>270000</v>
      </c>
      <c r="J859" t="s">
        <v>47</v>
      </c>
      <c r="K859" t="s">
        <v>87</v>
      </c>
      <c r="L859" t="s">
        <v>53</v>
      </c>
      <c r="M859" t="s">
        <v>82</v>
      </c>
      <c r="N859" t="s">
        <v>110</v>
      </c>
      <c r="O859" t="s">
        <v>1846</v>
      </c>
      <c r="P859">
        <v>9</v>
      </c>
      <c r="Q859">
        <v>85</v>
      </c>
      <c r="R859">
        <v>14.3</v>
      </c>
      <c r="S859">
        <v>9.6999999999999993</v>
      </c>
      <c r="T859">
        <v>2026</v>
      </c>
      <c r="U859">
        <v>2</v>
      </c>
      <c r="V859">
        <v>1</v>
      </c>
      <c r="W859" t="s">
        <v>47</v>
      </c>
      <c r="X859" t="s">
        <v>64</v>
      </c>
      <c r="Y859" t="s">
        <v>56</v>
      </c>
    </row>
    <row r="860" spans="1:25" x14ac:dyDescent="0.35">
      <c r="A860" t="s">
        <v>1847</v>
      </c>
      <c r="B860" t="s">
        <v>163</v>
      </c>
      <c r="C860" t="s">
        <v>164</v>
      </c>
      <c r="D860" t="s">
        <v>74</v>
      </c>
      <c r="E860">
        <v>3</v>
      </c>
      <c r="F860" t="s">
        <v>41</v>
      </c>
      <c r="G860">
        <v>126000</v>
      </c>
      <c r="H860">
        <v>125000</v>
      </c>
      <c r="I860">
        <v>240000</v>
      </c>
      <c r="J860" t="s">
        <v>117</v>
      </c>
      <c r="K860" t="s">
        <v>118</v>
      </c>
      <c r="L860" t="s">
        <v>32</v>
      </c>
      <c r="M860" t="s">
        <v>45</v>
      </c>
      <c r="N860" t="s">
        <v>131</v>
      </c>
      <c r="O860" t="s">
        <v>1848</v>
      </c>
      <c r="P860">
        <v>8.8000000000000007</v>
      </c>
      <c r="Q860">
        <v>76</v>
      </c>
      <c r="R860">
        <v>19.399999999999999</v>
      </c>
      <c r="S860">
        <v>9.4</v>
      </c>
      <c r="T860">
        <v>2025</v>
      </c>
      <c r="U860">
        <v>1</v>
      </c>
      <c r="V860">
        <v>0</v>
      </c>
      <c r="W860" t="s">
        <v>36</v>
      </c>
      <c r="X860" t="s">
        <v>64</v>
      </c>
      <c r="Y860" t="s">
        <v>95</v>
      </c>
    </row>
    <row r="861" spans="1:25" x14ac:dyDescent="0.35">
      <c r="A861" t="s">
        <v>1849</v>
      </c>
      <c r="B861" t="s">
        <v>224</v>
      </c>
      <c r="C861" t="s">
        <v>27</v>
      </c>
      <c r="D861" t="s">
        <v>68</v>
      </c>
      <c r="E861">
        <v>9</v>
      </c>
      <c r="F861" t="s">
        <v>128</v>
      </c>
      <c r="G861">
        <v>305000</v>
      </c>
      <c r="H861">
        <v>145000</v>
      </c>
      <c r="I861">
        <v>280000</v>
      </c>
      <c r="J861" t="s">
        <v>170</v>
      </c>
      <c r="K861" t="s">
        <v>171</v>
      </c>
      <c r="L861" t="s">
        <v>44</v>
      </c>
      <c r="M861" t="s">
        <v>61</v>
      </c>
      <c r="N861" t="s">
        <v>155</v>
      </c>
      <c r="O861" t="s">
        <v>1850</v>
      </c>
      <c r="P861">
        <v>8.1</v>
      </c>
      <c r="Q861">
        <v>87</v>
      </c>
      <c r="R861">
        <v>27.1</v>
      </c>
      <c r="S861">
        <v>7.3</v>
      </c>
      <c r="T861">
        <v>2026</v>
      </c>
      <c r="U861">
        <v>3</v>
      </c>
      <c r="V861">
        <v>1</v>
      </c>
      <c r="W861" t="s">
        <v>47</v>
      </c>
      <c r="X861" t="s">
        <v>64</v>
      </c>
      <c r="Y861" t="s">
        <v>56</v>
      </c>
    </row>
    <row r="862" spans="1:25" x14ac:dyDescent="0.35">
      <c r="A862" t="s">
        <v>1851</v>
      </c>
      <c r="B862" t="s">
        <v>153</v>
      </c>
      <c r="C862" t="s">
        <v>154</v>
      </c>
      <c r="D862" t="s">
        <v>74</v>
      </c>
      <c r="E862">
        <v>8</v>
      </c>
      <c r="F862" t="s">
        <v>69</v>
      </c>
      <c r="G862">
        <v>101000</v>
      </c>
      <c r="H862">
        <v>95000</v>
      </c>
      <c r="I862">
        <v>180000</v>
      </c>
      <c r="J862" t="s">
        <v>137</v>
      </c>
      <c r="K862" t="s">
        <v>138</v>
      </c>
      <c r="L862" t="s">
        <v>44</v>
      </c>
      <c r="M862" t="s">
        <v>54</v>
      </c>
      <c r="N862" t="s">
        <v>119</v>
      </c>
      <c r="O862" t="s">
        <v>1852</v>
      </c>
      <c r="P862">
        <v>15.5</v>
      </c>
      <c r="Q862">
        <v>78</v>
      </c>
      <c r="R862">
        <v>17.600000000000001</v>
      </c>
      <c r="S862">
        <v>9.3000000000000007</v>
      </c>
      <c r="T862">
        <v>2025</v>
      </c>
      <c r="U862">
        <v>5</v>
      </c>
      <c r="V862">
        <v>0</v>
      </c>
      <c r="W862" t="s">
        <v>47</v>
      </c>
      <c r="X862" t="s">
        <v>64</v>
      </c>
      <c r="Y862" t="s">
        <v>95</v>
      </c>
    </row>
    <row r="863" spans="1:25" x14ac:dyDescent="0.35">
      <c r="A863" t="s">
        <v>1853</v>
      </c>
      <c r="B863" t="s">
        <v>127</v>
      </c>
      <c r="C863" t="s">
        <v>27</v>
      </c>
      <c r="D863" t="s">
        <v>28</v>
      </c>
      <c r="E863">
        <v>7</v>
      </c>
      <c r="F863" t="s">
        <v>128</v>
      </c>
      <c r="G863">
        <v>336000</v>
      </c>
      <c r="H863">
        <v>120000</v>
      </c>
      <c r="I863">
        <v>280000</v>
      </c>
      <c r="J863" t="s">
        <v>296</v>
      </c>
      <c r="K863" t="s">
        <v>31</v>
      </c>
      <c r="L863" t="s">
        <v>53</v>
      </c>
      <c r="M863" t="s">
        <v>45</v>
      </c>
      <c r="N863" t="s">
        <v>124</v>
      </c>
      <c r="O863" t="s">
        <v>1854</v>
      </c>
      <c r="P863">
        <v>10.9</v>
      </c>
      <c r="Q863">
        <v>97</v>
      </c>
      <c r="R863">
        <v>54.2</v>
      </c>
      <c r="S863">
        <v>8.9</v>
      </c>
      <c r="T863">
        <v>2026</v>
      </c>
      <c r="U863">
        <v>2</v>
      </c>
      <c r="V863">
        <v>1</v>
      </c>
      <c r="W863" t="s">
        <v>47</v>
      </c>
      <c r="X863" t="s">
        <v>64</v>
      </c>
      <c r="Y863" t="s">
        <v>56</v>
      </c>
    </row>
    <row r="864" spans="1:25" x14ac:dyDescent="0.35">
      <c r="A864" t="s">
        <v>1855</v>
      </c>
      <c r="B864" t="s">
        <v>146</v>
      </c>
      <c r="C864" t="s">
        <v>27</v>
      </c>
      <c r="D864" t="s">
        <v>68</v>
      </c>
      <c r="E864">
        <v>6</v>
      </c>
      <c r="F864" t="s">
        <v>69</v>
      </c>
      <c r="G864">
        <v>160000</v>
      </c>
      <c r="H864">
        <v>160000</v>
      </c>
      <c r="I864">
        <v>300000</v>
      </c>
      <c r="J864" t="s">
        <v>108</v>
      </c>
      <c r="K864" t="s">
        <v>109</v>
      </c>
      <c r="L864" t="s">
        <v>32</v>
      </c>
      <c r="M864" t="s">
        <v>33</v>
      </c>
      <c r="N864" t="s">
        <v>62</v>
      </c>
      <c r="O864" t="s">
        <v>1856</v>
      </c>
      <c r="P864">
        <v>16.3</v>
      </c>
      <c r="Q864">
        <v>90</v>
      </c>
      <c r="R864">
        <v>18.5</v>
      </c>
      <c r="S864">
        <v>8.6</v>
      </c>
      <c r="T864">
        <v>2026</v>
      </c>
      <c r="U864">
        <v>2</v>
      </c>
      <c r="V864">
        <v>1</v>
      </c>
      <c r="W864" t="s">
        <v>36</v>
      </c>
      <c r="X864" t="s">
        <v>64</v>
      </c>
      <c r="Y864" t="s">
        <v>48</v>
      </c>
    </row>
    <row r="865" spans="1:25" x14ac:dyDescent="0.35">
      <c r="A865" t="s">
        <v>1857</v>
      </c>
      <c r="B865" t="s">
        <v>58</v>
      </c>
      <c r="C865" t="s">
        <v>59</v>
      </c>
      <c r="D865" t="s">
        <v>74</v>
      </c>
      <c r="E865">
        <v>5</v>
      </c>
      <c r="F865" t="s">
        <v>41</v>
      </c>
      <c r="G865">
        <v>216000</v>
      </c>
      <c r="H865">
        <v>130000</v>
      </c>
      <c r="I865">
        <v>220000</v>
      </c>
      <c r="J865" t="s">
        <v>174</v>
      </c>
      <c r="K865" t="s">
        <v>31</v>
      </c>
      <c r="L865" t="s">
        <v>53</v>
      </c>
      <c r="M865" t="s">
        <v>54</v>
      </c>
      <c r="N865" t="s">
        <v>165</v>
      </c>
      <c r="O865" t="s">
        <v>1858</v>
      </c>
      <c r="P865">
        <v>17.8</v>
      </c>
      <c r="Q865">
        <v>88</v>
      </c>
      <c r="R865">
        <v>13.1</v>
      </c>
      <c r="S865">
        <v>8.1</v>
      </c>
      <c r="T865">
        <v>2026</v>
      </c>
      <c r="U865">
        <v>2</v>
      </c>
      <c r="V865">
        <v>0</v>
      </c>
      <c r="W865" t="s">
        <v>47</v>
      </c>
      <c r="X865" t="s">
        <v>64</v>
      </c>
      <c r="Y865" t="s">
        <v>38</v>
      </c>
    </row>
    <row r="866" spans="1:25" x14ac:dyDescent="0.35">
      <c r="A866" t="s">
        <v>1859</v>
      </c>
      <c r="B866" t="s">
        <v>158</v>
      </c>
      <c r="C866" t="s">
        <v>27</v>
      </c>
      <c r="D866" t="s">
        <v>81</v>
      </c>
      <c r="E866">
        <v>7</v>
      </c>
      <c r="F866" t="s">
        <v>128</v>
      </c>
      <c r="G866">
        <v>167000</v>
      </c>
      <c r="H866">
        <v>145000</v>
      </c>
      <c r="I866">
        <v>280000</v>
      </c>
      <c r="J866" t="s">
        <v>42</v>
      </c>
      <c r="K866" t="s">
        <v>43</v>
      </c>
      <c r="L866" t="s">
        <v>44</v>
      </c>
      <c r="M866" t="s">
        <v>82</v>
      </c>
      <c r="N866" t="s">
        <v>110</v>
      </c>
      <c r="O866" t="s">
        <v>1860</v>
      </c>
      <c r="P866">
        <v>3.5</v>
      </c>
      <c r="Q866">
        <v>94</v>
      </c>
      <c r="R866">
        <v>46</v>
      </c>
      <c r="S866">
        <v>9.8000000000000007</v>
      </c>
      <c r="T866">
        <v>2025</v>
      </c>
      <c r="U866">
        <v>5</v>
      </c>
      <c r="V866">
        <v>0</v>
      </c>
      <c r="W866" t="s">
        <v>47</v>
      </c>
      <c r="X866" t="s">
        <v>37</v>
      </c>
      <c r="Y866" t="s">
        <v>48</v>
      </c>
    </row>
    <row r="867" spans="1:25" x14ac:dyDescent="0.35">
      <c r="A867" t="s">
        <v>1861</v>
      </c>
      <c r="B867" t="s">
        <v>146</v>
      </c>
      <c r="C867" t="s">
        <v>27</v>
      </c>
      <c r="D867" t="s">
        <v>28</v>
      </c>
      <c r="E867">
        <v>7</v>
      </c>
      <c r="F867" t="s">
        <v>69</v>
      </c>
      <c r="G867">
        <v>194000</v>
      </c>
      <c r="H867">
        <v>160000</v>
      </c>
      <c r="I867">
        <v>300000</v>
      </c>
      <c r="J867" t="s">
        <v>60</v>
      </c>
      <c r="K867" t="s">
        <v>60</v>
      </c>
      <c r="L867" t="s">
        <v>44</v>
      </c>
      <c r="M867" t="s">
        <v>82</v>
      </c>
      <c r="N867" t="s">
        <v>165</v>
      </c>
      <c r="O867" t="s">
        <v>1862</v>
      </c>
      <c r="P867">
        <v>12.5</v>
      </c>
      <c r="Q867">
        <v>90</v>
      </c>
      <c r="R867">
        <v>24.6</v>
      </c>
      <c r="S867">
        <v>6.4</v>
      </c>
      <c r="T867">
        <v>2026</v>
      </c>
      <c r="U867">
        <v>3</v>
      </c>
      <c r="V867">
        <v>1</v>
      </c>
      <c r="W867" t="s">
        <v>47</v>
      </c>
      <c r="X867" t="s">
        <v>64</v>
      </c>
      <c r="Y867" t="s">
        <v>48</v>
      </c>
    </row>
    <row r="868" spans="1:25" x14ac:dyDescent="0.35">
      <c r="A868" t="s">
        <v>1863</v>
      </c>
      <c r="B868" t="s">
        <v>233</v>
      </c>
      <c r="C868" t="s">
        <v>180</v>
      </c>
      <c r="D868" t="s">
        <v>74</v>
      </c>
      <c r="E868">
        <v>7</v>
      </c>
      <c r="F868" t="s">
        <v>29</v>
      </c>
      <c r="G868">
        <v>100000</v>
      </c>
      <c r="H868">
        <v>100000</v>
      </c>
      <c r="I868">
        <v>200000</v>
      </c>
      <c r="J868" t="s">
        <v>113</v>
      </c>
      <c r="K868" t="s">
        <v>114</v>
      </c>
      <c r="L868" t="s">
        <v>53</v>
      </c>
      <c r="M868" t="s">
        <v>61</v>
      </c>
      <c r="N868" t="s">
        <v>165</v>
      </c>
      <c r="O868" t="s">
        <v>1864</v>
      </c>
      <c r="P868">
        <v>16.399999999999999</v>
      </c>
      <c r="Q868">
        <v>68</v>
      </c>
      <c r="R868">
        <v>7.6</v>
      </c>
      <c r="S868">
        <v>9.1999999999999993</v>
      </c>
      <c r="T868">
        <v>2026</v>
      </c>
      <c r="U868">
        <v>2</v>
      </c>
      <c r="V868">
        <v>0</v>
      </c>
      <c r="W868" t="s">
        <v>47</v>
      </c>
      <c r="X868" t="s">
        <v>64</v>
      </c>
      <c r="Y868" t="s">
        <v>98</v>
      </c>
    </row>
    <row r="869" spans="1:25" x14ac:dyDescent="0.35">
      <c r="A869" t="s">
        <v>1865</v>
      </c>
      <c r="B869" t="s">
        <v>50</v>
      </c>
      <c r="C869" t="s">
        <v>27</v>
      </c>
      <c r="D869" t="s">
        <v>74</v>
      </c>
      <c r="E869">
        <v>5</v>
      </c>
      <c r="F869" t="s">
        <v>51</v>
      </c>
      <c r="G869">
        <v>160000</v>
      </c>
      <c r="H869">
        <v>160000</v>
      </c>
      <c r="I869">
        <v>300000</v>
      </c>
      <c r="J869" t="s">
        <v>42</v>
      </c>
      <c r="K869" t="s">
        <v>43</v>
      </c>
      <c r="L869" t="s">
        <v>44</v>
      </c>
      <c r="M869" t="s">
        <v>33</v>
      </c>
      <c r="N869" t="s">
        <v>71</v>
      </c>
      <c r="O869" t="s">
        <v>1866</v>
      </c>
      <c r="P869">
        <v>3.7</v>
      </c>
      <c r="Q869">
        <v>98</v>
      </c>
      <c r="R869">
        <v>86.2</v>
      </c>
      <c r="S869">
        <v>9.6999999999999993</v>
      </c>
      <c r="T869">
        <v>2026</v>
      </c>
      <c r="U869">
        <v>2</v>
      </c>
      <c r="V869">
        <v>0</v>
      </c>
      <c r="W869" t="s">
        <v>47</v>
      </c>
      <c r="X869" t="s">
        <v>37</v>
      </c>
      <c r="Y869" t="s">
        <v>48</v>
      </c>
    </row>
    <row r="870" spans="1:25" x14ac:dyDescent="0.35">
      <c r="A870" t="s">
        <v>1867</v>
      </c>
      <c r="B870" t="s">
        <v>196</v>
      </c>
      <c r="C870" t="s">
        <v>27</v>
      </c>
      <c r="D870" t="s">
        <v>81</v>
      </c>
      <c r="E870">
        <v>6</v>
      </c>
      <c r="F870" t="s">
        <v>29</v>
      </c>
      <c r="G870">
        <v>126000</v>
      </c>
      <c r="H870">
        <v>100000</v>
      </c>
      <c r="I870">
        <v>250000</v>
      </c>
      <c r="J870" t="s">
        <v>137</v>
      </c>
      <c r="K870" t="s">
        <v>138</v>
      </c>
      <c r="L870" t="s">
        <v>53</v>
      </c>
      <c r="M870" t="s">
        <v>61</v>
      </c>
      <c r="N870" t="s">
        <v>62</v>
      </c>
      <c r="O870" t="s">
        <v>1868</v>
      </c>
      <c r="P870">
        <v>8.1</v>
      </c>
      <c r="Q870">
        <v>95</v>
      </c>
      <c r="R870">
        <v>31.8</v>
      </c>
      <c r="S870">
        <v>9.4</v>
      </c>
      <c r="T870">
        <v>2025</v>
      </c>
      <c r="U870">
        <v>12</v>
      </c>
      <c r="V870">
        <v>0</v>
      </c>
      <c r="W870" t="s">
        <v>47</v>
      </c>
      <c r="X870" t="s">
        <v>64</v>
      </c>
      <c r="Y870" t="s">
        <v>95</v>
      </c>
    </row>
    <row r="871" spans="1:25" x14ac:dyDescent="0.35">
      <c r="A871" t="s">
        <v>1869</v>
      </c>
      <c r="B871" t="s">
        <v>79</v>
      </c>
      <c r="C871" t="s">
        <v>80</v>
      </c>
      <c r="D871" t="s">
        <v>68</v>
      </c>
      <c r="E871">
        <v>3</v>
      </c>
      <c r="F871" t="s">
        <v>69</v>
      </c>
      <c r="G871">
        <v>208000</v>
      </c>
      <c r="H871">
        <v>140000</v>
      </c>
      <c r="I871">
        <v>260000</v>
      </c>
      <c r="J871" t="s">
        <v>137</v>
      </c>
      <c r="K871" t="s">
        <v>138</v>
      </c>
      <c r="L871" t="s">
        <v>53</v>
      </c>
      <c r="M871" t="s">
        <v>45</v>
      </c>
      <c r="N871" t="s">
        <v>34</v>
      </c>
      <c r="O871" t="s">
        <v>1870</v>
      </c>
      <c r="P871">
        <v>9.9</v>
      </c>
      <c r="Q871">
        <v>80</v>
      </c>
      <c r="R871">
        <v>14.6</v>
      </c>
      <c r="S871">
        <v>6.4</v>
      </c>
      <c r="T871">
        <v>2025</v>
      </c>
      <c r="U871">
        <v>12</v>
      </c>
      <c r="V871">
        <v>1</v>
      </c>
      <c r="W871" t="s">
        <v>47</v>
      </c>
      <c r="X871" t="s">
        <v>64</v>
      </c>
      <c r="Y871" t="s">
        <v>38</v>
      </c>
    </row>
    <row r="872" spans="1:25" x14ac:dyDescent="0.35">
      <c r="A872" t="s">
        <v>1871</v>
      </c>
      <c r="B872" t="s">
        <v>91</v>
      </c>
      <c r="C872" t="s">
        <v>27</v>
      </c>
      <c r="D872" t="s">
        <v>28</v>
      </c>
      <c r="E872">
        <v>4</v>
      </c>
      <c r="F872" t="s">
        <v>29</v>
      </c>
      <c r="G872">
        <v>216000</v>
      </c>
      <c r="H872">
        <v>145000</v>
      </c>
      <c r="I872">
        <v>290000</v>
      </c>
      <c r="J872" t="s">
        <v>102</v>
      </c>
      <c r="K872" t="s">
        <v>103</v>
      </c>
      <c r="L872" t="s">
        <v>44</v>
      </c>
      <c r="M872" t="s">
        <v>82</v>
      </c>
      <c r="N872" t="s">
        <v>110</v>
      </c>
      <c r="O872" t="s">
        <v>1872</v>
      </c>
      <c r="P872">
        <v>9.9</v>
      </c>
      <c r="Q872">
        <v>91</v>
      </c>
      <c r="R872">
        <v>38.1</v>
      </c>
      <c r="S872">
        <v>8.6</v>
      </c>
      <c r="T872">
        <v>2025</v>
      </c>
      <c r="U872">
        <v>1</v>
      </c>
      <c r="V872">
        <v>1</v>
      </c>
      <c r="W872" t="s">
        <v>47</v>
      </c>
      <c r="X872" t="s">
        <v>64</v>
      </c>
      <c r="Y872" t="s">
        <v>38</v>
      </c>
    </row>
    <row r="873" spans="1:25" x14ac:dyDescent="0.35">
      <c r="A873" t="s">
        <v>1873</v>
      </c>
      <c r="B873" t="s">
        <v>141</v>
      </c>
      <c r="C873" t="s">
        <v>27</v>
      </c>
      <c r="D873" t="s">
        <v>68</v>
      </c>
      <c r="E873">
        <v>7</v>
      </c>
      <c r="F873" t="s">
        <v>29</v>
      </c>
      <c r="G873">
        <v>324000</v>
      </c>
      <c r="H873">
        <v>141000</v>
      </c>
      <c r="I873">
        <v>270000</v>
      </c>
      <c r="J873" t="s">
        <v>174</v>
      </c>
      <c r="K873" t="s">
        <v>31</v>
      </c>
      <c r="L873" t="s">
        <v>44</v>
      </c>
      <c r="M873" t="s">
        <v>45</v>
      </c>
      <c r="N873" t="s">
        <v>76</v>
      </c>
      <c r="O873" t="s">
        <v>1874</v>
      </c>
      <c r="P873">
        <v>9.3000000000000007</v>
      </c>
      <c r="Q873">
        <v>89</v>
      </c>
      <c r="R873">
        <v>14.7</v>
      </c>
      <c r="S873">
        <v>7</v>
      </c>
      <c r="T873">
        <v>2025</v>
      </c>
      <c r="U873">
        <v>11</v>
      </c>
      <c r="V873">
        <v>1</v>
      </c>
      <c r="W873" t="s">
        <v>47</v>
      </c>
      <c r="X873" t="s">
        <v>64</v>
      </c>
      <c r="Y873" t="s">
        <v>56</v>
      </c>
    </row>
    <row r="874" spans="1:25" x14ac:dyDescent="0.35">
      <c r="A874" t="s">
        <v>1875</v>
      </c>
      <c r="B874" t="s">
        <v>50</v>
      </c>
      <c r="C874" t="s">
        <v>27</v>
      </c>
      <c r="D874" t="s">
        <v>74</v>
      </c>
      <c r="E874">
        <v>3</v>
      </c>
      <c r="F874" t="s">
        <v>41</v>
      </c>
      <c r="G874">
        <v>160000</v>
      </c>
      <c r="H874">
        <v>160000</v>
      </c>
      <c r="I874">
        <v>300000</v>
      </c>
      <c r="J874" t="s">
        <v>60</v>
      </c>
      <c r="K874" t="s">
        <v>60</v>
      </c>
      <c r="L874" t="s">
        <v>44</v>
      </c>
      <c r="M874" t="s">
        <v>82</v>
      </c>
      <c r="N874" t="s">
        <v>62</v>
      </c>
      <c r="O874" t="s">
        <v>1876</v>
      </c>
      <c r="P874">
        <v>3.1</v>
      </c>
      <c r="Q874">
        <v>98</v>
      </c>
      <c r="R874">
        <v>71.400000000000006</v>
      </c>
      <c r="S874">
        <v>8.9</v>
      </c>
      <c r="T874">
        <v>2026</v>
      </c>
      <c r="U874">
        <v>3</v>
      </c>
      <c r="V874">
        <v>0</v>
      </c>
      <c r="W874" t="s">
        <v>47</v>
      </c>
      <c r="X874" t="s">
        <v>37</v>
      </c>
      <c r="Y874" t="s">
        <v>48</v>
      </c>
    </row>
    <row r="875" spans="1:25" x14ac:dyDescent="0.35">
      <c r="A875" t="s">
        <v>1877</v>
      </c>
      <c r="B875" t="s">
        <v>141</v>
      </c>
      <c r="C875" t="s">
        <v>27</v>
      </c>
      <c r="D875" t="s">
        <v>81</v>
      </c>
      <c r="E875">
        <v>9</v>
      </c>
      <c r="F875" t="s">
        <v>69</v>
      </c>
      <c r="G875">
        <v>179000</v>
      </c>
      <c r="H875">
        <v>141000</v>
      </c>
      <c r="I875">
        <v>270000</v>
      </c>
      <c r="J875" t="s">
        <v>129</v>
      </c>
      <c r="K875" t="s">
        <v>130</v>
      </c>
      <c r="L875" t="s">
        <v>44</v>
      </c>
      <c r="M875" t="s">
        <v>54</v>
      </c>
      <c r="N875" t="s">
        <v>155</v>
      </c>
      <c r="O875" t="s">
        <v>1878</v>
      </c>
      <c r="P875">
        <v>9.3000000000000007</v>
      </c>
      <c r="Q875">
        <v>89</v>
      </c>
      <c r="R875">
        <v>19.100000000000001</v>
      </c>
      <c r="S875">
        <v>7.8</v>
      </c>
      <c r="T875">
        <v>2026</v>
      </c>
      <c r="U875">
        <v>3</v>
      </c>
      <c r="V875">
        <v>0</v>
      </c>
      <c r="W875" t="s">
        <v>47</v>
      </c>
      <c r="X875" t="s">
        <v>64</v>
      </c>
      <c r="Y875" t="s">
        <v>48</v>
      </c>
    </row>
    <row r="876" spans="1:25" x14ac:dyDescent="0.35">
      <c r="A876" t="s">
        <v>1879</v>
      </c>
      <c r="B876" t="s">
        <v>26</v>
      </c>
      <c r="C876" t="s">
        <v>27</v>
      </c>
      <c r="D876" t="s">
        <v>74</v>
      </c>
      <c r="E876">
        <v>6</v>
      </c>
      <c r="F876" t="s">
        <v>128</v>
      </c>
      <c r="G876">
        <v>229000</v>
      </c>
      <c r="H876">
        <v>155000</v>
      </c>
      <c r="I876">
        <v>290000</v>
      </c>
      <c r="J876" t="s">
        <v>47</v>
      </c>
      <c r="K876" t="s">
        <v>87</v>
      </c>
      <c r="L876" t="s">
        <v>32</v>
      </c>
      <c r="M876" t="s">
        <v>54</v>
      </c>
      <c r="N876" t="s">
        <v>71</v>
      </c>
      <c r="O876" t="s">
        <v>1880</v>
      </c>
      <c r="P876">
        <v>17.399999999999999</v>
      </c>
      <c r="Q876">
        <v>96</v>
      </c>
      <c r="R876">
        <v>24.7</v>
      </c>
      <c r="S876">
        <v>9.3000000000000007</v>
      </c>
      <c r="T876">
        <v>2026</v>
      </c>
      <c r="U876">
        <v>2</v>
      </c>
      <c r="V876">
        <v>0</v>
      </c>
      <c r="W876" t="s">
        <v>36</v>
      </c>
      <c r="X876" t="s">
        <v>37</v>
      </c>
      <c r="Y876" t="s">
        <v>38</v>
      </c>
    </row>
    <row r="877" spans="1:25" x14ac:dyDescent="0.35">
      <c r="A877" t="s">
        <v>1881</v>
      </c>
      <c r="B877" t="s">
        <v>100</v>
      </c>
      <c r="C877" t="s">
        <v>101</v>
      </c>
      <c r="D877" t="s">
        <v>81</v>
      </c>
      <c r="E877">
        <v>7</v>
      </c>
      <c r="F877" t="s">
        <v>69</v>
      </c>
      <c r="G877">
        <v>213000</v>
      </c>
      <c r="H877">
        <v>180000</v>
      </c>
      <c r="I877">
        <v>320000</v>
      </c>
      <c r="J877" t="s">
        <v>117</v>
      </c>
      <c r="K877" t="s">
        <v>118</v>
      </c>
      <c r="L877" t="s">
        <v>44</v>
      </c>
      <c r="M877" t="s">
        <v>54</v>
      </c>
      <c r="N877" t="s">
        <v>83</v>
      </c>
      <c r="O877" t="s">
        <v>1882</v>
      </c>
      <c r="P877">
        <v>11.1</v>
      </c>
      <c r="Q877">
        <v>84</v>
      </c>
      <c r="R877">
        <v>28.9</v>
      </c>
      <c r="S877">
        <v>7.8</v>
      </c>
      <c r="T877">
        <v>2026</v>
      </c>
      <c r="U877">
        <v>3</v>
      </c>
      <c r="V877">
        <v>0</v>
      </c>
      <c r="W877" t="s">
        <v>47</v>
      </c>
      <c r="X877" t="s">
        <v>64</v>
      </c>
      <c r="Y877" t="s">
        <v>38</v>
      </c>
    </row>
    <row r="878" spans="1:25" x14ac:dyDescent="0.35">
      <c r="A878" t="s">
        <v>1883</v>
      </c>
      <c r="B878" t="s">
        <v>86</v>
      </c>
      <c r="C878" t="s">
        <v>27</v>
      </c>
      <c r="D878" t="s">
        <v>28</v>
      </c>
      <c r="E878">
        <v>6</v>
      </c>
      <c r="F878" t="s">
        <v>69</v>
      </c>
      <c r="G878">
        <v>307000</v>
      </c>
      <c r="H878">
        <v>180000</v>
      </c>
      <c r="I878">
        <v>312000</v>
      </c>
      <c r="J878" t="s">
        <v>191</v>
      </c>
      <c r="K878" t="s">
        <v>31</v>
      </c>
      <c r="L878" t="s">
        <v>44</v>
      </c>
      <c r="M878" t="s">
        <v>45</v>
      </c>
      <c r="N878" t="s">
        <v>131</v>
      </c>
      <c r="O878" t="s">
        <v>1884</v>
      </c>
      <c r="P878">
        <v>9.8000000000000007</v>
      </c>
      <c r="Q878">
        <v>96</v>
      </c>
      <c r="R878">
        <v>25.3</v>
      </c>
      <c r="S878">
        <v>9.6</v>
      </c>
      <c r="T878">
        <v>2025</v>
      </c>
      <c r="U878">
        <v>10</v>
      </c>
      <c r="V878">
        <v>1</v>
      </c>
      <c r="W878" t="s">
        <v>47</v>
      </c>
      <c r="X878" t="s">
        <v>64</v>
      </c>
      <c r="Y878" t="s">
        <v>56</v>
      </c>
    </row>
    <row r="879" spans="1:25" x14ac:dyDescent="0.35">
      <c r="A879" t="s">
        <v>1885</v>
      </c>
      <c r="B879" t="s">
        <v>86</v>
      </c>
      <c r="C879" t="s">
        <v>27</v>
      </c>
      <c r="D879" t="s">
        <v>28</v>
      </c>
      <c r="E879">
        <v>7</v>
      </c>
      <c r="F879" t="s">
        <v>128</v>
      </c>
      <c r="G879">
        <v>253000</v>
      </c>
      <c r="H879">
        <v>180000</v>
      </c>
      <c r="I879">
        <v>312000</v>
      </c>
      <c r="J879" t="s">
        <v>170</v>
      </c>
      <c r="K879" t="s">
        <v>171</v>
      </c>
      <c r="L879" t="s">
        <v>44</v>
      </c>
      <c r="M879" t="s">
        <v>33</v>
      </c>
      <c r="N879" t="s">
        <v>83</v>
      </c>
      <c r="O879" t="s">
        <v>1886</v>
      </c>
      <c r="P879">
        <v>13.1</v>
      </c>
      <c r="Q879">
        <v>96</v>
      </c>
      <c r="R879">
        <v>15.2</v>
      </c>
      <c r="S879">
        <v>8.1999999999999993</v>
      </c>
      <c r="T879">
        <v>2025</v>
      </c>
      <c r="U879">
        <v>6</v>
      </c>
      <c r="V879">
        <v>1</v>
      </c>
      <c r="W879" t="s">
        <v>47</v>
      </c>
      <c r="X879" t="s">
        <v>64</v>
      </c>
      <c r="Y879" t="s">
        <v>38</v>
      </c>
    </row>
    <row r="880" spans="1:25" x14ac:dyDescent="0.35">
      <c r="A880" t="s">
        <v>1887</v>
      </c>
      <c r="B880" t="s">
        <v>179</v>
      </c>
      <c r="C880" t="s">
        <v>180</v>
      </c>
      <c r="D880" t="s">
        <v>74</v>
      </c>
      <c r="E880">
        <v>10</v>
      </c>
      <c r="F880" t="s">
        <v>41</v>
      </c>
      <c r="G880">
        <v>177000</v>
      </c>
      <c r="H880">
        <v>110000</v>
      </c>
      <c r="I880">
        <v>210000</v>
      </c>
      <c r="J880" t="s">
        <v>174</v>
      </c>
      <c r="K880" t="s">
        <v>31</v>
      </c>
      <c r="L880" t="s">
        <v>32</v>
      </c>
      <c r="M880" t="s">
        <v>54</v>
      </c>
      <c r="N880" t="s">
        <v>131</v>
      </c>
      <c r="O880" t="s">
        <v>1888</v>
      </c>
      <c r="P880">
        <v>9.4</v>
      </c>
      <c r="Q880">
        <v>72</v>
      </c>
      <c r="R880">
        <v>26.2</v>
      </c>
      <c r="S880">
        <v>7.8</v>
      </c>
      <c r="T880">
        <v>2025</v>
      </c>
      <c r="U880">
        <v>3</v>
      </c>
      <c r="V880">
        <v>0</v>
      </c>
      <c r="W880" t="s">
        <v>36</v>
      </c>
      <c r="X880" t="s">
        <v>64</v>
      </c>
      <c r="Y880" t="s">
        <v>48</v>
      </c>
    </row>
    <row r="881" spans="1:25" x14ac:dyDescent="0.35">
      <c r="A881" t="s">
        <v>1889</v>
      </c>
      <c r="B881" t="s">
        <v>163</v>
      </c>
      <c r="C881" t="s">
        <v>164</v>
      </c>
      <c r="D881" t="s">
        <v>28</v>
      </c>
      <c r="E881">
        <v>10</v>
      </c>
      <c r="F881" t="s">
        <v>41</v>
      </c>
      <c r="G881">
        <v>125000</v>
      </c>
      <c r="H881">
        <v>125000</v>
      </c>
      <c r="I881">
        <v>240000</v>
      </c>
      <c r="J881" t="s">
        <v>108</v>
      </c>
      <c r="K881" t="s">
        <v>109</v>
      </c>
      <c r="L881" t="s">
        <v>32</v>
      </c>
      <c r="M881" t="s">
        <v>82</v>
      </c>
      <c r="N881" t="s">
        <v>76</v>
      </c>
      <c r="O881" t="s">
        <v>1890</v>
      </c>
      <c r="P881">
        <v>17.399999999999999</v>
      </c>
      <c r="Q881">
        <v>76</v>
      </c>
      <c r="R881">
        <v>18.600000000000001</v>
      </c>
      <c r="S881">
        <v>9.5</v>
      </c>
      <c r="T881">
        <v>2026</v>
      </c>
      <c r="U881">
        <v>1</v>
      </c>
      <c r="V881">
        <v>1</v>
      </c>
      <c r="W881" t="s">
        <v>36</v>
      </c>
      <c r="X881" t="s">
        <v>64</v>
      </c>
      <c r="Y881" t="s">
        <v>95</v>
      </c>
    </row>
    <row r="882" spans="1:25" x14ac:dyDescent="0.35">
      <c r="A882" t="s">
        <v>1891</v>
      </c>
      <c r="B882" t="s">
        <v>179</v>
      </c>
      <c r="C882" t="s">
        <v>180</v>
      </c>
      <c r="D882" t="s">
        <v>28</v>
      </c>
      <c r="E882">
        <v>4</v>
      </c>
      <c r="F882" t="s">
        <v>51</v>
      </c>
      <c r="G882">
        <v>159000</v>
      </c>
      <c r="H882">
        <v>110000</v>
      </c>
      <c r="I882">
        <v>210000</v>
      </c>
      <c r="J882" t="s">
        <v>52</v>
      </c>
      <c r="K882" t="s">
        <v>31</v>
      </c>
      <c r="L882" t="s">
        <v>32</v>
      </c>
      <c r="M882" t="s">
        <v>33</v>
      </c>
      <c r="N882" t="s">
        <v>119</v>
      </c>
      <c r="O882" t="s">
        <v>1892</v>
      </c>
      <c r="P882">
        <v>9.9</v>
      </c>
      <c r="Q882">
        <v>72</v>
      </c>
      <c r="R882">
        <v>7</v>
      </c>
      <c r="S882">
        <v>9.3000000000000007</v>
      </c>
      <c r="T882">
        <v>2026</v>
      </c>
      <c r="U882">
        <v>1</v>
      </c>
      <c r="V882">
        <v>1</v>
      </c>
      <c r="W882" t="s">
        <v>36</v>
      </c>
      <c r="X882" t="s">
        <v>64</v>
      </c>
      <c r="Y882" t="s">
        <v>48</v>
      </c>
    </row>
    <row r="883" spans="1:25" x14ac:dyDescent="0.35">
      <c r="A883" t="s">
        <v>1893</v>
      </c>
      <c r="B883" t="s">
        <v>100</v>
      </c>
      <c r="C883" t="s">
        <v>101</v>
      </c>
      <c r="D883" t="s">
        <v>81</v>
      </c>
      <c r="E883">
        <v>13</v>
      </c>
      <c r="F883" t="s">
        <v>29</v>
      </c>
      <c r="G883">
        <v>344000</v>
      </c>
      <c r="H883">
        <v>180000</v>
      </c>
      <c r="I883">
        <v>320000</v>
      </c>
      <c r="J883" t="s">
        <v>296</v>
      </c>
      <c r="K883" t="s">
        <v>31</v>
      </c>
      <c r="L883" t="s">
        <v>53</v>
      </c>
      <c r="M883" t="s">
        <v>54</v>
      </c>
      <c r="N883" t="s">
        <v>110</v>
      </c>
      <c r="O883" t="s">
        <v>1894</v>
      </c>
      <c r="P883">
        <v>16.3</v>
      </c>
      <c r="Q883">
        <v>84</v>
      </c>
      <c r="R883">
        <v>21.3</v>
      </c>
      <c r="S883">
        <v>9.3000000000000007</v>
      </c>
      <c r="T883">
        <v>2026</v>
      </c>
      <c r="U883">
        <v>2</v>
      </c>
      <c r="V883">
        <v>0</v>
      </c>
      <c r="W883" t="s">
        <v>47</v>
      </c>
      <c r="X883" t="s">
        <v>64</v>
      </c>
      <c r="Y883" t="s">
        <v>56</v>
      </c>
    </row>
    <row r="884" spans="1:25" x14ac:dyDescent="0.35">
      <c r="A884" t="s">
        <v>1895</v>
      </c>
      <c r="B884" t="s">
        <v>163</v>
      </c>
      <c r="C884" t="s">
        <v>164</v>
      </c>
      <c r="D884" t="s">
        <v>81</v>
      </c>
      <c r="E884">
        <v>10</v>
      </c>
      <c r="F884" t="s">
        <v>29</v>
      </c>
      <c r="G884">
        <v>149000</v>
      </c>
      <c r="H884">
        <v>125000</v>
      </c>
      <c r="I884">
        <v>240000</v>
      </c>
      <c r="J884" t="s">
        <v>113</v>
      </c>
      <c r="K884" t="s">
        <v>114</v>
      </c>
      <c r="L884" t="s">
        <v>44</v>
      </c>
      <c r="M884" t="s">
        <v>82</v>
      </c>
      <c r="N884" t="s">
        <v>34</v>
      </c>
      <c r="O884" t="s">
        <v>1896</v>
      </c>
      <c r="P884">
        <v>15.3</v>
      </c>
      <c r="Q884">
        <v>76</v>
      </c>
      <c r="R884">
        <v>29</v>
      </c>
      <c r="S884">
        <v>9</v>
      </c>
      <c r="T884">
        <v>2026</v>
      </c>
      <c r="U884">
        <v>1</v>
      </c>
      <c r="V884">
        <v>0</v>
      </c>
      <c r="W884" t="s">
        <v>47</v>
      </c>
      <c r="X884" t="s">
        <v>64</v>
      </c>
      <c r="Y884" t="s">
        <v>95</v>
      </c>
    </row>
    <row r="885" spans="1:25" x14ac:dyDescent="0.35">
      <c r="A885" t="s">
        <v>1897</v>
      </c>
      <c r="B885" t="s">
        <v>179</v>
      </c>
      <c r="C885" t="s">
        <v>180</v>
      </c>
      <c r="D885" t="s">
        <v>74</v>
      </c>
      <c r="E885">
        <v>5</v>
      </c>
      <c r="F885" t="s">
        <v>29</v>
      </c>
      <c r="G885">
        <v>144000</v>
      </c>
      <c r="H885">
        <v>110000</v>
      </c>
      <c r="I885">
        <v>210000</v>
      </c>
      <c r="J885" t="s">
        <v>70</v>
      </c>
      <c r="K885" t="s">
        <v>31</v>
      </c>
      <c r="L885" t="s">
        <v>44</v>
      </c>
      <c r="M885" t="s">
        <v>82</v>
      </c>
      <c r="N885" t="s">
        <v>155</v>
      </c>
      <c r="O885" t="s">
        <v>1898</v>
      </c>
      <c r="P885">
        <v>12</v>
      </c>
      <c r="Q885">
        <v>72</v>
      </c>
      <c r="R885">
        <v>22.1</v>
      </c>
      <c r="S885">
        <v>6.3</v>
      </c>
      <c r="T885">
        <v>2026</v>
      </c>
      <c r="U885">
        <v>1</v>
      </c>
      <c r="V885">
        <v>0</v>
      </c>
      <c r="W885" t="s">
        <v>47</v>
      </c>
      <c r="X885" t="s">
        <v>64</v>
      </c>
      <c r="Y885" t="s">
        <v>95</v>
      </c>
    </row>
    <row r="886" spans="1:25" x14ac:dyDescent="0.35">
      <c r="A886" t="s">
        <v>1899</v>
      </c>
      <c r="B886" t="s">
        <v>134</v>
      </c>
      <c r="C886" t="s">
        <v>27</v>
      </c>
      <c r="D886" t="s">
        <v>28</v>
      </c>
      <c r="E886">
        <v>8</v>
      </c>
      <c r="F886" t="s">
        <v>51</v>
      </c>
      <c r="G886">
        <v>232000</v>
      </c>
      <c r="H886">
        <v>150000</v>
      </c>
      <c r="I886">
        <v>295000</v>
      </c>
      <c r="J886" t="s">
        <v>60</v>
      </c>
      <c r="K886" t="s">
        <v>60</v>
      </c>
      <c r="L886" t="s">
        <v>53</v>
      </c>
      <c r="M886" t="s">
        <v>45</v>
      </c>
      <c r="N886" t="s">
        <v>110</v>
      </c>
      <c r="O886" t="s">
        <v>1900</v>
      </c>
      <c r="P886">
        <v>12.4</v>
      </c>
      <c r="Q886">
        <v>95</v>
      </c>
      <c r="R886">
        <v>69.400000000000006</v>
      </c>
      <c r="S886">
        <v>7.7</v>
      </c>
      <c r="T886">
        <v>2026</v>
      </c>
      <c r="U886">
        <v>1</v>
      </c>
      <c r="V886">
        <v>1</v>
      </c>
      <c r="W886" t="s">
        <v>47</v>
      </c>
      <c r="X886" t="s">
        <v>37</v>
      </c>
      <c r="Y886" t="s">
        <v>38</v>
      </c>
    </row>
    <row r="887" spans="1:25" x14ac:dyDescent="0.35">
      <c r="A887" t="s">
        <v>1901</v>
      </c>
      <c r="B887" t="s">
        <v>185</v>
      </c>
      <c r="C887" t="s">
        <v>186</v>
      </c>
      <c r="D887" t="s">
        <v>81</v>
      </c>
      <c r="E887">
        <v>4</v>
      </c>
      <c r="F887" t="s">
        <v>51</v>
      </c>
      <c r="G887">
        <v>140000</v>
      </c>
      <c r="H887">
        <v>140000</v>
      </c>
      <c r="I887">
        <v>270000</v>
      </c>
      <c r="J887" t="s">
        <v>142</v>
      </c>
      <c r="K887" t="s">
        <v>143</v>
      </c>
      <c r="L887" t="s">
        <v>44</v>
      </c>
      <c r="M887" t="s">
        <v>82</v>
      </c>
      <c r="N887" t="s">
        <v>62</v>
      </c>
      <c r="O887" t="s">
        <v>1902</v>
      </c>
      <c r="P887">
        <v>12.4</v>
      </c>
      <c r="Q887">
        <v>85</v>
      </c>
      <c r="R887">
        <v>11.9</v>
      </c>
      <c r="S887">
        <v>6.2</v>
      </c>
      <c r="T887">
        <v>2025</v>
      </c>
      <c r="U887">
        <v>10</v>
      </c>
      <c r="V887">
        <v>0</v>
      </c>
      <c r="W887" t="s">
        <v>47</v>
      </c>
      <c r="X887" t="s">
        <v>64</v>
      </c>
      <c r="Y887" t="s">
        <v>95</v>
      </c>
    </row>
    <row r="888" spans="1:25" x14ac:dyDescent="0.35">
      <c r="A888" t="s">
        <v>1903</v>
      </c>
      <c r="B888" t="s">
        <v>66</v>
      </c>
      <c r="C888" t="s">
        <v>67</v>
      </c>
      <c r="D888" t="s">
        <v>28</v>
      </c>
      <c r="E888">
        <v>8</v>
      </c>
      <c r="F888" t="s">
        <v>69</v>
      </c>
      <c r="G888">
        <v>145000</v>
      </c>
      <c r="H888">
        <v>140000</v>
      </c>
      <c r="I888">
        <v>260000</v>
      </c>
      <c r="J888" t="s">
        <v>60</v>
      </c>
      <c r="K888" t="s">
        <v>60</v>
      </c>
      <c r="L888" t="s">
        <v>44</v>
      </c>
      <c r="M888" t="s">
        <v>33</v>
      </c>
      <c r="N888" t="s">
        <v>62</v>
      </c>
      <c r="O888" t="s">
        <v>1904</v>
      </c>
      <c r="P888">
        <v>15</v>
      </c>
      <c r="Q888">
        <v>85</v>
      </c>
      <c r="R888">
        <v>23.3</v>
      </c>
      <c r="S888">
        <v>8.5</v>
      </c>
      <c r="T888">
        <v>2026</v>
      </c>
      <c r="U888">
        <v>1</v>
      </c>
      <c r="V888">
        <v>1</v>
      </c>
      <c r="W888" t="s">
        <v>47</v>
      </c>
      <c r="X888" t="s">
        <v>64</v>
      </c>
      <c r="Y888" t="s">
        <v>95</v>
      </c>
    </row>
    <row r="889" spans="1:25" x14ac:dyDescent="0.35">
      <c r="A889" t="s">
        <v>1905</v>
      </c>
      <c r="B889" t="s">
        <v>203</v>
      </c>
      <c r="C889" t="s">
        <v>169</v>
      </c>
      <c r="D889" t="s">
        <v>68</v>
      </c>
      <c r="E889">
        <v>2</v>
      </c>
      <c r="F889" t="s">
        <v>51</v>
      </c>
      <c r="G889">
        <v>216000</v>
      </c>
      <c r="H889">
        <v>138000</v>
      </c>
      <c r="I889">
        <v>195000</v>
      </c>
      <c r="J889" t="s">
        <v>52</v>
      </c>
      <c r="K889" t="s">
        <v>31</v>
      </c>
      <c r="L889" t="s">
        <v>53</v>
      </c>
      <c r="M889" t="s">
        <v>33</v>
      </c>
      <c r="N889" t="s">
        <v>119</v>
      </c>
      <c r="O889" t="s">
        <v>1906</v>
      </c>
      <c r="P889">
        <v>4.2</v>
      </c>
      <c r="Q889">
        <v>92</v>
      </c>
      <c r="R889">
        <v>16.7</v>
      </c>
      <c r="S889">
        <v>8.6999999999999993</v>
      </c>
      <c r="T889">
        <v>2025</v>
      </c>
      <c r="U889">
        <v>4</v>
      </c>
      <c r="V889">
        <v>1</v>
      </c>
      <c r="W889" t="s">
        <v>47</v>
      </c>
      <c r="X889" t="s">
        <v>64</v>
      </c>
      <c r="Y889" t="s">
        <v>38</v>
      </c>
    </row>
    <row r="890" spans="1:25" x14ac:dyDescent="0.35">
      <c r="A890" t="s">
        <v>1907</v>
      </c>
      <c r="B890" t="s">
        <v>66</v>
      </c>
      <c r="C890" t="s">
        <v>67</v>
      </c>
      <c r="D890" t="s">
        <v>81</v>
      </c>
      <c r="E890">
        <v>9</v>
      </c>
      <c r="F890" t="s">
        <v>41</v>
      </c>
      <c r="G890">
        <v>140000</v>
      </c>
      <c r="H890">
        <v>140000</v>
      </c>
      <c r="I890">
        <v>260000</v>
      </c>
      <c r="J890" t="s">
        <v>142</v>
      </c>
      <c r="K890" t="s">
        <v>143</v>
      </c>
      <c r="L890" t="s">
        <v>53</v>
      </c>
      <c r="M890" t="s">
        <v>33</v>
      </c>
      <c r="N890" t="s">
        <v>131</v>
      </c>
      <c r="O890" t="s">
        <v>1908</v>
      </c>
      <c r="P890">
        <v>15.6</v>
      </c>
      <c r="Q890">
        <v>85</v>
      </c>
      <c r="R890">
        <v>22.5</v>
      </c>
      <c r="S890">
        <v>6.2</v>
      </c>
      <c r="T890">
        <v>2025</v>
      </c>
      <c r="U890">
        <v>6</v>
      </c>
      <c r="V890">
        <v>0</v>
      </c>
      <c r="W890" t="s">
        <v>47</v>
      </c>
      <c r="X890" t="s">
        <v>64</v>
      </c>
      <c r="Y890" t="s">
        <v>95</v>
      </c>
    </row>
    <row r="891" spans="1:25" x14ac:dyDescent="0.35">
      <c r="A891" t="s">
        <v>1909</v>
      </c>
      <c r="B891" t="s">
        <v>141</v>
      </c>
      <c r="C891" t="s">
        <v>27</v>
      </c>
      <c r="D891" t="s">
        <v>28</v>
      </c>
      <c r="E891">
        <v>8</v>
      </c>
      <c r="F891" t="s">
        <v>69</v>
      </c>
      <c r="G891">
        <v>216000</v>
      </c>
      <c r="H891">
        <v>141000</v>
      </c>
      <c r="I891">
        <v>270000</v>
      </c>
      <c r="J891" t="s">
        <v>75</v>
      </c>
      <c r="K891" t="s">
        <v>31</v>
      </c>
      <c r="L891" t="s">
        <v>32</v>
      </c>
      <c r="M891" t="s">
        <v>82</v>
      </c>
      <c r="N891" t="s">
        <v>124</v>
      </c>
      <c r="O891" t="s">
        <v>1910</v>
      </c>
      <c r="P891">
        <v>3.9</v>
      </c>
      <c r="Q891">
        <v>89</v>
      </c>
      <c r="R891">
        <v>19.899999999999999</v>
      </c>
      <c r="S891">
        <v>6.2</v>
      </c>
      <c r="T891">
        <v>2025</v>
      </c>
      <c r="U891">
        <v>12</v>
      </c>
      <c r="V891">
        <v>1</v>
      </c>
      <c r="W891" t="s">
        <v>36</v>
      </c>
      <c r="X891" t="s">
        <v>64</v>
      </c>
      <c r="Y891" t="s">
        <v>38</v>
      </c>
    </row>
    <row r="892" spans="1:25" x14ac:dyDescent="0.35">
      <c r="A892" t="s">
        <v>1911</v>
      </c>
      <c r="B892" t="s">
        <v>153</v>
      </c>
      <c r="C892" t="s">
        <v>154</v>
      </c>
      <c r="D892" t="s">
        <v>81</v>
      </c>
      <c r="E892">
        <v>5</v>
      </c>
      <c r="F892" t="s">
        <v>41</v>
      </c>
      <c r="G892">
        <v>95000</v>
      </c>
      <c r="H892">
        <v>95000</v>
      </c>
      <c r="I892">
        <v>180000</v>
      </c>
      <c r="J892" t="s">
        <v>60</v>
      </c>
      <c r="K892" t="s">
        <v>60</v>
      </c>
      <c r="L892" t="s">
        <v>32</v>
      </c>
      <c r="M892" t="s">
        <v>33</v>
      </c>
      <c r="N892" t="s">
        <v>34</v>
      </c>
      <c r="O892" t="s">
        <v>1912</v>
      </c>
      <c r="P892">
        <v>11.5</v>
      </c>
      <c r="Q892">
        <v>78</v>
      </c>
      <c r="R892">
        <v>28.4</v>
      </c>
      <c r="S892">
        <v>9.3000000000000007</v>
      </c>
      <c r="T892">
        <v>2026</v>
      </c>
      <c r="U892">
        <v>3</v>
      </c>
      <c r="V892">
        <v>0</v>
      </c>
      <c r="W892" t="s">
        <v>36</v>
      </c>
      <c r="X892" t="s">
        <v>64</v>
      </c>
      <c r="Y892" t="s">
        <v>98</v>
      </c>
    </row>
    <row r="893" spans="1:25" x14ac:dyDescent="0.35">
      <c r="A893" t="s">
        <v>1913</v>
      </c>
      <c r="B893" t="s">
        <v>158</v>
      </c>
      <c r="C893" t="s">
        <v>27</v>
      </c>
      <c r="D893" t="s">
        <v>74</v>
      </c>
      <c r="E893">
        <v>6</v>
      </c>
      <c r="F893" t="s">
        <v>51</v>
      </c>
      <c r="G893">
        <v>145000</v>
      </c>
      <c r="H893">
        <v>145000</v>
      </c>
      <c r="I893">
        <v>280000</v>
      </c>
      <c r="J893" t="s">
        <v>129</v>
      </c>
      <c r="K893" t="s">
        <v>130</v>
      </c>
      <c r="L893" t="s">
        <v>44</v>
      </c>
      <c r="M893" t="s">
        <v>33</v>
      </c>
      <c r="N893" t="s">
        <v>83</v>
      </c>
      <c r="O893" t="s">
        <v>1914</v>
      </c>
      <c r="P893">
        <v>5.4</v>
      </c>
      <c r="Q893">
        <v>94</v>
      </c>
      <c r="R893">
        <v>18.3</v>
      </c>
      <c r="S893">
        <v>7.5</v>
      </c>
      <c r="T893">
        <v>2025</v>
      </c>
      <c r="U893">
        <v>7</v>
      </c>
      <c r="V893">
        <v>0</v>
      </c>
      <c r="W893" t="s">
        <v>47</v>
      </c>
      <c r="X893" t="s">
        <v>37</v>
      </c>
      <c r="Y893" t="s">
        <v>95</v>
      </c>
    </row>
    <row r="894" spans="1:25" x14ac:dyDescent="0.35">
      <c r="A894" t="s">
        <v>1915</v>
      </c>
      <c r="B894" t="s">
        <v>179</v>
      </c>
      <c r="C894" t="s">
        <v>180</v>
      </c>
      <c r="D894" t="s">
        <v>74</v>
      </c>
      <c r="E894">
        <v>10</v>
      </c>
      <c r="F894" t="s">
        <v>41</v>
      </c>
      <c r="G894">
        <v>110000</v>
      </c>
      <c r="H894">
        <v>110000</v>
      </c>
      <c r="I894">
        <v>210000</v>
      </c>
      <c r="J894" t="s">
        <v>92</v>
      </c>
      <c r="K894" t="s">
        <v>93</v>
      </c>
      <c r="L894" t="s">
        <v>53</v>
      </c>
      <c r="M894" t="s">
        <v>54</v>
      </c>
      <c r="N894" t="s">
        <v>124</v>
      </c>
      <c r="O894" t="s">
        <v>1916</v>
      </c>
      <c r="P894">
        <v>18</v>
      </c>
      <c r="Q894">
        <v>72</v>
      </c>
      <c r="R894">
        <v>17.5</v>
      </c>
      <c r="S894">
        <v>8.6</v>
      </c>
      <c r="T894">
        <v>2025</v>
      </c>
      <c r="U894">
        <v>4</v>
      </c>
      <c r="V894">
        <v>0</v>
      </c>
      <c r="W894" t="s">
        <v>47</v>
      </c>
      <c r="X894" t="s">
        <v>64</v>
      </c>
      <c r="Y894" t="s">
        <v>95</v>
      </c>
    </row>
    <row r="895" spans="1:25" x14ac:dyDescent="0.35">
      <c r="A895" t="s">
        <v>1917</v>
      </c>
      <c r="B895" t="s">
        <v>146</v>
      </c>
      <c r="C895" t="s">
        <v>27</v>
      </c>
      <c r="D895" t="s">
        <v>28</v>
      </c>
      <c r="E895">
        <v>5</v>
      </c>
      <c r="F895" t="s">
        <v>128</v>
      </c>
      <c r="G895">
        <v>360000</v>
      </c>
      <c r="H895">
        <v>160000</v>
      </c>
      <c r="I895">
        <v>300000</v>
      </c>
      <c r="J895" t="s">
        <v>70</v>
      </c>
      <c r="K895" t="s">
        <v>31</v>
      </c>
      <c r="L895" t="s">
        <v>44</v>
      </c>
      <c r="M895" t="s">
        <v>54</v>
      </c>
      <c r="N895" t="s">
        <v>131</v>
      </c>
      <c r="O895" t="s">
        <v>1918</v>
      </c>
      <c r="P895">
        <v>8.1</v>
      </c>
      <c r="Q895">
        <v>90</v>
      </c>
      <c r="R895">
        <v>9</v>
      </c>
      <c r="S895">
        <v>7.3</v>
      </c>
      <c r="T895">
        <v>2025</v>
      </c>
      <c r="U895">
        <v>8</v>
      </c>
      <c r="V895">
        <v>1</v>
      </c>
      <c r="W895" t="s">
        <v>47</v>
      </c>
      <c r="X895" t="s">
        <v>64</v>
      </c>
      <c r="Y895" t="s">
        <v>56</v>
      </c>
    </row>
    <row r="896" spans="1:25" x14ac:dyDescent="0.35">
      <c r="A896" t="s">
        <v>1919</v>
      </c>
      <c r="B896" t="s">
        <v>141</v>
      </c>
      <c r="C896" t="s">
        <v>27</v>
      </c>
      <c r="D896" t="s">
        <v>28</v>
      </c>
      <c r="E896">
        <v>5</v>
      </c>
      <c r="F896" t="s">
        <v>29</v>
      </c>
      <c r="G896">
        <v>229000</v>
      </c>
      <c r="H896">
        <v>141000</v>
      </c>
      <c r="I896">
        <v>270000</v>
      </c>
      <c r="J896" t="s">
        <v>137</v>
      </c>
      <c r="K896" t="s">
        <v>138</v>
      </c>
      <c r="L896" t="s">
        <v>44</v>
      </c>
      <c r="M896" t="s">
        <v>82</v>
      </c>
      <c r="N896" t="s">
        <v>71</v>
      </c>
      <c r="O896" t="s">
        <v>1920</v>
      </c>
      <c r="P896">
        <v>9</v>
      </c>
      <c r="Q896">
        <v>89</v>
      </c>
      <c r="R896">
        <v>6.7</v>
      </c>
      <c r="S896">
        <v>8.8000000000000007</v>
      </c>
      <c r="T896">
        <v>2025</v>
      </c>
      <c r="U896">
        <v>1</v>
      </c>
      <c r="V896">
        <v>1</v>
      </c>
      <c r="W896" t="s">
        <v>47</v>
      </c>
      <c r="X896" t="s">
        <v>64</v>
      </c>
      <c r="Y896" t="s">
        <v>38</v>
      </c>
    </row>
    <row r="897" spans="1:25" x14ac:dyDescent="0.35">
      <c r="A897" t="s">
        <v>1921</v>
      </c>
      <c r="B897" t="s">
        <v>26</v>
      </c>
      <c r="C897" t="s">
        <v>27</v>
      </c>
      <c r="D897" t="s">
        <v>28</v>
      </c>
      <c r="E897">
        <v>6</v>
      </c>
      <c r="F897" t="s">
        <v>29</v>
      </c>
      <c r="G897">
        <v>170000</v>
      </c>
      <c r="H897">
        <v>155000</v>
      </c>
      <c r="I897">
        <v>290000</v>
      </c>
      <c r="J897" t="s">
        <v>122</v>
      </c>
      <c r="K897" t="s">
        <v>123</v>
      </c>
      <c r="L897" t="s">
        <v>44</v>
      </c>
      <c r="M897" t="s">
        <v>33</v>
      </c>
      <c r="N897" t="s">
        <v>76</v>
      </c>
      <c r="O897" t="s">
        <v>1922</v>
      </c>
      <c r="P897">
        <v>15.9</v>
      </c>
      <c r="Q897">
        <v>96</v>
      </c>
      <c r="R897">
        <v>60</v>
      </c>
      <c r="S897">
        <v>6</v>
      </c>
      <c r="T897">
        <v>2026</v>
      </c>
      <c r="U897">
        <v>2</v>
      </c>
      <c r="V897">
        <v>1</v>
      </c>
      <c r="W897" t="s">
        <v>47</v>
      </c>
      <c r="X897" t="s">
        <v>37</v>
      </c>
      <c r="Y897" t="s">
        <v>48</v>
      </c>
    </row>
    <row r="898" spans="1:25" x14ac:dyDescent="0.35">
      <c r="A898" t="s">
        <v>1923</v>
      </c>
      <c r="B898" t="s">
        <v>100</v>
      </c>
      <c r="C898" t="s">
        <v>101</v>
      </c>
      <c r="D898" t="s">
        <v>68</v>
      </c>
      <c r="E898">
        <v>8</v>
      </c>
      <c r="F898" t="s">
        <v>128</v>
      </c>
      <c r="G898">
        <v>384000</v>
      </c>
      <c r="H898">
        <v>180000</v>
      </c>
      <c r="I898">
        <v>320000</v>
      </c>
      <c r="J898" t="s">
        <v>113</v>
      </c>
      <c r="K898" t="s">
        <v>114</v>
      </c>
      <c r="L898" t="s">
        <v>32</v>
      </c>
      <c r="M898" t="s">
        <v>54</v>
      </c>
      <c r="N898" t="s">
        <v>62</v>
      </c>
      <c r="O898" t="s">
        <v>1924</v>
      </c>
      <c r="P898">
        <v>16.399999999999999</v>
      </c>
      <c r="Q898">
        <v>84</v>
      </c>
      <c r="R898">
        <v>15.5</v>
      </c>
      <c r="S898">
        <v>9.1</v>
      </c>
      <c r="T898">
        <v>2025</v>
      </c>
      <c r="U898">
        <v>1</v>
      </c>
      <c r="V898">
        <v>1</v>
      </c>
      <c r="W898" t="s">
        <v>36</v>
      </c>
      <c r="X898" t="s">
        <v>64</v>
      </c>
      <c r="Y898" t="s">
        <v>56</v>
      </c>
    </row>
    <row r="899" spans="1:25" x14ac:dyDescent="0.35">
      <c r="A899" t="s">
        <v>1925</v>
      </c>
      <c r="B899" t="s">
        <v>185</v>
      </c>
      <c r="C899" t="s">
        <v>186</v>
      </c>
      <c r="D899" t="s">
        <v>28</v>
      </c>
      <c r="E899">
        <v>3</v>
      </c>
      <c r="F899" t="s">
        <v>128</v>
      </c>
      <c r="G899">
        <v>307000</v>
      </c>
      <c r="H899">
        <v>140000</v>
      </c>
      <c r="I899">
        <v>270000</v>
      </c>
      <c r="J899" t="s">
        <v>191</v>
      </c>
      <c r="K899" t="s">
        <v>31</v>
      </c>
      <c r="L899" t="s">
        <v>32</v>
      </c>
      <c r="M899" t="s">
        <v>45</v>
      </c>
      <c r="N899" t="s">
        <v>34</v>
      </c>
      <c r="O899" t="s">
        <v>1926</v>
      </c>
      <c r="P899">
        <v>11.4</v>
      </c>
      <c r="Q899">
        <v>85</v>
      </c>
      <c r="R899">
        <v>9.1</v>
      </c>
      <c r="S899">
        <v>8.6999999999999993</v>
      </c>
      <c r="T899">
        <v>2026</v>
      </c>
      <c r="U899">
        <v>1</v>
      </c>
      <c r="V899">
        <v>1</v>
      </c>
      <c r="W899" t="s">
        <v>36</v>
      </c>
      <c r="X899" t="s">
        <v>64</v>
      </c>
      <c r="Y899" t="s">
        <v>56</v>
      </c>
    </row>
    <row r="900" spans="1:25" x14ac:dyDescent="0.35">
      <c r="A900" t="s">
        <v>1927</v>
      </c>
      <c r="B900" t="s">
        <v>141</v>
      </c>
      <c r="C900" t="s">
        <v>27</v>
      </c>
      <c r="D900" t="s">
        <v>74</v>
      </c>
      <c r="E900">
        <v>5</v>
      </c>
      <c r="F900" t="s">
        <v>51</v>
      </c>
      <c r="G900">
        <v>141000</v>
      </c>
      <c r="H900">
        <v>141000</v>
      </c>
      <c r="I900">
        <v>270000</v>
      </c>
      <c r="J900" t="s">
        <v>122</v>
      </c>
      <c r="K900" t="s">
        <v>123</v>
      </c>
      <c r="L900" t="s">
        <v>44</v>
      </c>
      <c r="M900" t="s">
        <v>61</v>
      </c>
      <c r="N900" t="s">
        <v>119</v>
      </c>
      <c r="O900" t="s">
        <v>1928</v>
      </c>
      <c r="P900">
        <v>3.7</v>
      </c>
      <c r="Q900">
        <v>89</v>
      </c>
      <c r="R900">
        <v>7.7</v>
      </c>
      <c r="S900">
        <v>6.4</v>
      </c>
      <c r="T900">
        <v>2026</v>
      </c>
      <c r="U900">
        <v>3</v>
      </c>
      <c r="V900">
        <v>0</v>
      </c>
      <c r="W900" t="s">
        <v>47</v>
      </c>
      <c r="X900" t="s">
        <v>64</v>
      </c>
      <c r="Y900" t="s">
        <v>95</v>
      </c>
    </row>
    <row r="901" spans="1:25" x14ac:dyDescent="0.35">
      <c r="A901" t="s">
        <v>1929</v>
      </c>
      <c r="B901" t="s">
        <v>58</v>
      </c>
      <c r="C901" t="s">
        <v>59</v>
      </c>
      <c r="D901" t="s">
        <v>74</v>
      </c>
      <c r="E901">
        <v>6</v>
      </c>
      <c r="F901" t="s">
        <v>51</v>
      </c>
      <c r="G901">
        <v>130000</v>
      </c>
      <c r="H901">
        <v>130000</v>
      </c>
      <c r="I901">
        <v>220000</v>
      </c>
      <c r="J901" t="s">
        <v>113</v>
      </c>
      <c r="K901" t="s">
        <v>114</v>
      </c>
      <c r="L901" t="s">
        <v>44</v>
      </c>
      <c r="M901" t="s">
        <v>54</v>
      </c>
      <c r="N901" t="s">
        <v>88</v>
      </c>
      <c r="O901" t="s">
        <v>1930</v>
      </c>
      <c r="P901">
        <v>16.100000000000001</v>
      </c>
      <c r="Q901">
        <v>88</v>
      </c>
      <c r="R901">
        <v>20.100000000000001</v>
      </c>
      <c r="S901">
        <v>6.8</v>
      </c>
      <c r="T901">
        <v>2026</v>
      </c>
      <c r="U901">
        <v>2</v>
      </c>
      <c r="V901">
        <v>0</v>
      </c>
      <c r="W901" t="s">
        <v>47</v>
      </c>
      <c r="X901" t="s">
        <v>64</v>
      </c>
      <c r="Y901" t="s">
        <v>95</v>
      </c>
    </row>
    <row r="902" spans="1:25" x14ac:dyDescent="0.35">
      <c r="A902" t="s">
        <v>1931</v>
      </c>
      <c r="B902" t="s">
        <v>158</v>
      </c>
      <c r="C902" t="s">
        <v>27</v>
      </c>
      <c r="D902" t="s">
        <v>68</v>
      </c>
      <c r="E902">
        <v>4</v>
      </c>
      <c r="F902" t="s">
        <v>29</v>
      </c>
      <c r="G902">
        <v>336000</v>
      </c>
      <c r="H902">
        <v>145000</v>
      </c>
      <c r="I902">
        <v>280000</v>
      </c>
      <c r="J902" t="s">
        <v>191</v>
      </c>
      <c r="K902" t="s">
        <v>31</v>
      </c>
      <c r="L902" t="s">
        <v>32</v>
      </c>
      <c r="M902" t="s">
        <v>54</v>
      </c>
      <c r="N902" t="s">
        <v>131</v>
      </c>
      <c r="O902" t="s">
        <v>1932</v>
      </c>
      <c r="P902">
        <v>4.2</v>
      </c>
      <c r="Q902">
        <v>94</v>
      </c>
      <c r="R902">
        <v>30.6</v>
      </c>
      <c r="S902">
        <v>7.1</v>
      </c>
      <c r="T902">
        <v>2025</v>
      </c>
      <c r="U902">
        <v>4</v>
      </c>
      <c r="V902">
        <v>1</v>
      </c>
      <c r="W902" t="s">
        <v>36</v>
      </c>
      <c r="X902" t="s">
        <v>37</v>
      </c>
      <c r="Y902" t="s">
        <v>56</v>
      </c>
    </row>
    <row r="903" spans="1:25" x14ac:dyDescent="0.35">
      <c r="A903" t="s">
        <v>1933</v>
      </c>
      <c r="B903" t="s">
        <v>168</v>
      </c>
      <c r="C903" t="s">
        <v>169</v>
      </c>
      <c r="D903" t="s">
        <v>28</v>
      </c>
      <c r="E903">
        <v>12</v>
      </c>
      <c r="F903" t="s">
        <v>41</v>
      </c>
      <c r="G903">
        <v>177000</v>
      </c>
      <c r="H903">
        <v>157000</v>
      </c>
      <c r="I903">
        <v>218000</v>
      </c>
      <c r="J903" t="s">
        <v>191</v>
      </c>
      <c r="K903" t="s">
        <v>31</v>
      </c>
      <c r="L903" t="s">
        <v>44</v>
      </c>
      <c r="M903" t="s">
        <v>33</v>
      </c>
      <c r="N903" t="s">
        <v>83</v>
      </c>
      <c r="O903" t="s">
        <v>1934</v>
      </c>
      <c r="P903">
        <v>8</v>
      </c>
      <c r="Q903">
        <v>90</v>
      </c>
      <c r="R903">
        <v>22.5</v>
      </c>
      <c r="S903">
        <v>8.6</v>
      </c>
      <c r="T903">
        <v>2026</v>
      </c>
      <c r="U903">
        <v>3</v>
      </c>
      <c r="V903">
        <v>1</v>
      </c>
      <c r="W903" t="s">
        <v>47</v>
      </c>
      <c r="X903" t="s">
        <v>64</v>
      </c>
      <c r="Y903" t="s">
        <v>48</v>
      </c>
    </row>
    <row r="904" spans="1:25" x14ac:dyDescent="0.35">
      <c r="A904" t="s">
        <v>1935</v>
      </c>
      <c r="B904" t="s">
        <v>196</v>
      </c>
      <c r="C904" t="s">
        <v>27</v>
      </c>
      <c r="D904" t="s">
        <v>81</v>
      </c>
      <c r="E904">
        <v>7</v>
      </c>
      <c r="F904" t="s">
        <v>41</v>
      </c>
      <c r="G904">
        <v>125000</v>
      </c>
      <c r="H904">
        <v>100000</v>
      </c>
      <c r="I904">
        <v>250000</v>
      </c>
      <c r="J904" t="s">
        <v>191</v>
      </c>
      <c r="K904" t="s">
        <v>31</v>
      </c>
      <c r="L904" t="s">
        <v>53</v>
      </c>
      <c r="M904" t="s">
        <v>33</v>
      </c>
      <c r="N904" t="s">
        <v>124</v>
      </c>
      <c r="O904" t="s">
        <v>1936</v>
      </c>
      <c r="P904">
        <v>10.4</v>
      </c>
      <c r="Q904">
        <v>95</v>
      </c>
      <c r="R904">
        <v>67.400000000000006</v>
      </c>
      <c r="S904">
        <v>6.2</v>
      </c>
      <c r="T904">
        <v>2026</v>
      </c>
      <c r="U904">
        <v>1</v>
      </c>
      <c r="V904">
        <v>0</v>
      </c>
      <c r="W904" t="s">
        <v>47</v>
      </c>
      <c r="X904" t="s">
        <v>64</v>
      </c>
      <c r="Y904" t="s">
        <v>95</v>
      </c>
    </row>
    <row r="905" spans="1:25" x14ac:dyDescent="0.35">
      <c r="A905" t="s">
        <v>1937</v>
      </c>
      <c r="B905" t="s">
        <v>79</v>
      </c>
      <c r="C905" t="s">
        <v>80</v>
      </c>
      <c r="D905" t="s">
        <v>28</v>
      </c>
      <c r="E905">
        <v>9</v>
      </c>
      <c r="F905" t="s">
        <v>41</v>
      </c>
      <c r="G905">
        <v>270000</v>
      </c>
      <c r="H905">
        <v>140000</v>
      </c>
      <c r="I905">
        <v>260000</v>
      </c>
      <c r="J905" t="s">
        <v>52</v>
      </c>
      <c r="K905" t="s">
        <v>31</v>
      </c>
      <c r="L905" t="s">
        <v>44</v>
      </c>
      <c r="M905" t="s">
        <v>45</v>
      </c>
      <c r="N905" t="s">
        <v>88</v>
      </c>
      <c r="O905" t="s">
        <v>1938</v>
      </c>
      <c r="P905">
        <v>12</v>
      </c>
      <c r="Q905">
        <v>80</v>
      </c>
      <c r="R905">
        <v>19.600000000000001</v>
      </c>
      <c r="S905">
        <v>8.3000000000000007</v>
      </c>
      <c r="T905">
        <v>2025</v>
      </c>
      <c r="U905">
        <v>2</v>
      </c>
      <c r="V905">
        <v>1</v>
      </c>
      <c r="W905" t="s">
        <v>47</v>
      </c>
      <c r="X905" t="s">
        <v>64</v>
      </c>
      <c r="Y905" t="s">
        <v>38</v>
      </c>
    </row>
    <row r="906" spans="1:25" x14ac:dyDescent="0.35">
      <c r="A906" t="s">
        <v>1939</v>
      </c>
      <c r="B906" t="s">
        <v>146</v>
      </c>
      <c r="C906" t="s">
        <v>27</v>
      </c>
      <c r="D906" t="s">
        <v>74</v>
      </c>
      <c r="E906">
        <v>9</v>
      </c>
      <c r="F906" t="s">
        <v>69</v>
      </c>
      <c r="G906">
        <v>190000</v>
      </c>
      <c r="H906">
        <v>160000</v>
      </c>
      <c r="I906">
        <v>300000</v>
      </c>
      <c r="J906" t="s">
        <v>174</v>
      </c>
      <c r="K906" t="s">
        <v>31</v>
      </c>
      <c r="L906" t="s">
        <v>53</v>
      </c>
      <c r="M906" t="s">
        <v>61</v>
      </c>
      <c r="N906" t="s">
        <v>124</v>
      </c>
      <c r="O906" t="s">
        <v>1940</v>
      </c>
      <c r="P906">
        <v>10.199999999999999</v>
      </c>
      <c r="Q906">
        <v>90</v>
      </c>
      <c r="R906">
        <v>28.6</v>
      </c>
      <c r="S906">
        <v>6.1</v>
      </c>
      <c r="T906">
        <v>2025</v>
      </c>
      <c r="U906">
        <v>12</v>
      </c>
      <c r="V906">
        <v>0</v>
      </c>
      <c r="W906" t="s">
        <v>47</v>
      </c>
      <c r="X906" t="s">
        <v>64</v>
      </c>
      <c r="Y906" t="s">
        <v>48</v>
      </c>
    </row>
    <row r="907" spans="1:25" x14ac:dyDescent="0.35">
      <c r="A907" t="s">
        <v>1941</v>
      </c>
      <c r="B907" t="s">
        <v>163</v>
      </c>
      <c r="C907" t="s">
        <v>164</v>
      </c>
      <c r="D907" t="s">
        <v>68</v>
      </c>
      <c r="E907">
        <v>4</v>
      </c>
      <c r="F907" t="s">
        <v>69</v>
      </c>
      <c r="G907">
        <v>137000</v>
      </c>
      <c r="H907">
        <v>125000</v>
      </c>
      <c r="I907">
        <v>240000</v>
      </c>
      <c r="J907" t="s">
        <v>142</v>
      </c>
      <c r="K907" t="s">
        <v>143</v>
      </c>
      <c r="L907" t="s">
        <v>53</v>
      </c>
      <c r="M907" t="s">
        <v>33</v>
      </c>
      <c r="N907" t="s">
        <v>155</v>
      </c>
      <c r="O907" t="s">
        <v>1942</v>
      </c>
      <c r="P907">
        <v>17.7</v>
      </c>
      <c r="Q907">
        <v>76</v>
      </c>
      <c r="R907">
        <v>15.4</v>
      </c>
      <c r="S907">
        <v>9.6999999999999993</v>
      </c>
      <c r="T907">
        <v>2025</v>
      </c>
      <c r="U907">
        <v>1</v>
      </c>
      <c r="V907">
        <v>1</v>
      </c>
      <c r="W907" t="s">
        <v>47</v>
      </c>
      <c r="X907" t="s">
        <v>64</v>
      </c>
      <c r="Y907" t="s">
        <v>95</v>
      </c>
    </row>
    <row r="908" spans="1:25" x14ac:dyDescent="0.35">
      <c r="A908" t="s">
        <v>1943</v>
      </c>
      <c r="B908" t="s">
        <v>50</v>
      </c>
      <c r="C908" t="s">
        <v>27</v>
      </c>
      <c r="D908" t="s">
        <v>81</v>
      </c>
      <c r="E908">
        <v>8</v>
      </c>
      <c r="F908" t="s">
        <v>41</v>
      </c>
      <c r="G908">
        <v>193000</v>
      </c>
      <c r="H908">
        <v>160000</v>
      </c>
      <c r="I908">
        <v>300000</v>
      </c>
      <c r="J908" t="s">
        <v>42</v>
      </c>
      <c r="K908" t="s">
        <v>43</v>
      </c>
      <c r="L908" t="s">
        <v>44</v>
      </c>
      <c r="M908" t="s">
        <v>45</v>
      </c>
      <c r="N908" t="s">
        <v>76</v>
      </c>
      <c r="O908" t="s">
        <v>1944</v>
      </c>
      <c r="P908">
        <v>4.4000000000000004</v>
      </c>
      <c r="Q908">
        <v>98</v>
      </c>
      <c r="R908">
        <v>37.4</v>
      </c>
      <c r="S908">
        <v>8.9</v>
      </c>
      <c r="T908">
        <v>2026</v>
      </c>
      <c r="U908">
        <v>3</v>
      </c>
      <c r="V908">
        <v>0</v>
      </c>
      <c r="W908" t="s">
        <v>47</v>
      </c>
      <c r="X908" t="s">
        <v>37</v>
      </c>
      <c r="Y908" t="s">
        <v>48</v>
      </c>
    </row>
    <row r="909" spans="1:25" x14ac:dyDescent="0.35">
      <c r="A909" t="s">
        <v>1945</v>
      </c>
      <c r="B909" t="s">
        <v>40</v>
      </c>
      <c r="C909" t="s">
        <v>27</v>
      </c>
      <c r="D909" t="s">
        <v>28</v>
      </c>
      <c r="E909">
        <v>4</v>
      </c>
      <c r="F909" t="s">
        <v>51</v>
      </c>
      <c r="G909">
        <v>109000</v>
      </c>
      <c r="H909">
        <v>90000</v>
      </c>
      <c r="I909">
        <v>200000</v>
      </c>
      <c r="J909" t="s">
        <v>60</v>
      </c>
      <c r="K909" t="s">
        <v>60</v>
      </c>
      <c r="L909" t="s">
        <v>53</v>
      </c>
      <c r="M909" t="s">
        <v>33</v>
      </c>
      <c r="N909" t="s">
        <v>110</v>
      </c>
      <c r="O909" t="s">
        <v>1946</v>
      </c>
      <c r="P909">
        <v>4.8</v>
      </c>
      <c r="Q909">
        <v>82</v>
      </c>
      <c r="R909">
        <v>24.6</v>
      </c>
      <c r="S909">
        <v>8.5</v>
      </c>
      <c r="T909">
        <v>2026</v>
      </c>
      <c r="U909">
        <v>3</v>
      </c>
      <c r="V909">
        <v>1</v>
      </c>
      <c r="W909" t="s">
        <v>47</v>
      </c>
      <c r="X909" t="s">
        <v>37</v>
      </c>
      <c r="Y909" t="s">
        <v>95</v>
      </c>
    </row>
    <row r="910" spans="1:25" x14ac:dyDescent="0.35">
      <c r="A910" t="s">
        <v>1947</v>
      </c>
      <c r="B910" t="s">
        <v>66</v>
      </c>
      <c r="C910" t="s">
        <v>67</v>
      </c>
      <c r="D910" t="s">
        <v>28</v>
      </c>
      <c r="E910">
        <v>8</v>
      </c>
      <c r="F910" t="s">
        <v>29</v>
      </c>
      <c r="G910">
        <v>175000</v>
      </c>
      <c r="H910">
        <v>140000</v>
      </c>
      <c r="I910">
        <v>260000</v>
      </c>
      <c r="J910" t="s">
        <v>102</v>
      </c>
      <c r="K910" t="s">
        <v>103</v>
      </c>
      <c r="L910" t="s">
        <v>44</v>
      </c>
      <c r="M910" t="s">
        <v>82</v>
      </c>
      <c r="N910" t="s">
        <v>124</v>
      </c>
      <c r="O910" t="s">
        <v>1948</v>
      </c>
      <c r="P910">
        <v>16.2</v>
      </c>
      <c r="Q910">
        <v>85</v>
      </c>
      <c r="R910">
        <v>7.1</v>
      </c>
      <c r="S910">
        <v>8.3000000000000007</v>
      </c>
      <c r="T910">
        <v>2026</v>
      </c>
      <c r="U910">
        <v>2</v>
      </c>
      <c r="V910">
        <v>1</v>
      </c>
      <c r="W910" t="s">
        <v>47</v>
      </c>
      <c r="X910" t="s">
        <v>64</v>
      </c>
      <c r="Y910" t="s">
        <v>48</v>
      </c>
    </row>
    <row r="911" spans="1:25" x14ac:dyDescent="0.35">
      <c r="A911" t="s">
        <v>1949</v>
      </c>
      <c r="B911" t="s">
        <v>91</v>
      </c>
      <c r="C911" t="s">
        <v>27</v>
      </c>
      <c r="D911" t="s">
        <v>28</v>
      </c>
      <c r="E911">
        <v>7</v>
      </c>
      <c r="F911" t="s">
        <v>29</v>
      </c>
      <c r="G911">
        <v>348000</v>
      </c>
      <c r="H911">
        <v>145000</v>
      </c>
      <c r="I911">
        <v>290000</v>
      </c>
      <c r="J911" t="s">
        <v>70</v>
      </c>
      <c r="K911" t="s">
        <v>31</v>
      </c>
      <c r="L911" t="s">
        <v>53</v>
      </c>
      <c r="M911" t="s">
        <v>54</v>
      </c>
      <c r="N911" t="s">
        <v>71</v>
      </c>
      <c r="O911" t="s">
        <v>1950</v>
      </c>
      <c r="P911">
        <v>3.2</v>
      </c>
      <c r="Q911">
        <v>91</v>
      </c>
      <c r="R911">
        <v>65.3</v>
      </c>
      <c r="S911">
        <v>6.3</v>
      </c>
      <c r="T911">
        <v>2026</v>
      </c>
      <c r="U911">
        <v>2</v>
      </c>
      <c r="V911">
        <v>1</v>
      </c>
      <c r="W911" t="s">
        <v>47</v>
      </c>
      <c r="X911" t="s">
        <v>64</v>
      </c>
      <c r="Y911" t="s">
        <v>56</v>
      </c>
    </row>
    <row r="912" spans="1:25" x14ac:dyDescent="0.35">
      <c r="A912" t="s">
        <v>1951</v>
      </c>
      <c r="B912" t="s">
        <v>146</v>
      </c>
      <c r="C912" t="s">
        <v>27</v>
      </c>
      <c r="D912" t="s">
        <v>68</v>
      </c>
      <c r="E912">
        <v>8</v>
      </c>
      <c r="F912" t="s">
        <v>41</v>
      </c>
      <c r="G912">
        <v>300000</v>
      </c>
      <c r="H912">
        <v>160000</v>
      </c>
      <c r="I912">
        <v>300000</v>
      </c>
      <c r="J912" t="s">
        <v>117</v>
      </c>
      <c r="K912" t="s">
        <v>118</v>
      </c>
      <c r="L912" t="s">
        <v>53</v>
      </c>
      <c r="M912" t="s">
        <v>45</v>
      </c>
      <c r="N912" t="s">
        <v>83</v>
      </c>
      <c r="O912" t="s">
        <v>1952</v>
      </c>
      <c r="P912">
        <v>12</v>
      </c>
      <c r="Q912">
        <v>90</v>
      </c>
      <c r="R912">
        <v>22.8</v>
      </c>
      <c r="S912">
        <v>8.6999999999999993</v>
      </c>
      <c r="T912">
        <v>2026</v>
      </c>
      <c r="U912">
        <v>3</v>
      </c>
      <c r="V912">
        <v>1</v>
      </c>
      <c r="W912" t="s">
        <v>47</v>
      </c>
      <c r="X912" t="s">
        <v>64</v>
      </c>
      <c r="Y912" t="s">
        <v>38</v>
      </c>
    </row>
    <row r="913" spans="1:25" x14ac:dyDescent="0.35">
      <c r="A913" t="s">
        <v>1953</v>
      </c>
      <c r="B913" t="s">
        <v>233</v>
      </c>
      <c r="C913" t="s">
        <v>180</v>
      </c>
      <c r="D913" t="s">
        <v>28</v>
      </c>
      <c r="E913">
        <v>10</v>
      </c>
      <c r="F913" t="s">
        <v>29</v>
      </c>
      <c r="G913">
        <v>137000</v>
      </c>
      <c r="H913">
        <v>100000</v>
      </c>
      <c r="I913">
        <v>200000</v>
      </c>
      <c r="J913" t="s">
        <v>113</v>
      </c>
      <c r="K913" t="s">
        <v>114</v>
      </c>
      <c r="L913" t="s">
        <v>53</v>
      </c>
      <c r="M913" t="s">
        <v>61</v>
      </c>
      <c r="N913" t="s">
        <v>71</v>
      </c>
      <c r="O913" t="s">
        <v>1954</v>
      </c>
      <c r="P913">
        <v>9.3000000000000007</v>
      </c>
      <c r="Q913">
        <v>68</v>
      </c>
      <c r="R913">
        <v>9.4</v>
      </c>
      <c r="S913">
        <v>7.1</v>
      </c>
      <c r="T913">
        <v>2025</v>
      </c>
      <c r="U913">
        <v>12</v>
      </c>
      <c r="V913">
        <v>1</v>
      </c>
      <c r="W913" t="s">
        <v>47</v>
      </c>
      <c r="X913" t="s">
        <v>64</v>
      </c>
      <c r="Y913" t="s">
        <v>95</v>
      </c>
    </row>
    <row r="914" spans="1:25" x14ac:dyDescent="0.35">
      <c r="A914" t="s">
        <v>1955</v>
      </c>
      <c r="B914" t="s">
        <v>196</v>
      </c>
      <c r="C914" t="s">
        <v>27</v>
      </c>
      <c r="D914" t="s">
        <v>28</v>
      </c>
      <c r="E914">
        <v>4</v>
      </c>
      <c r="F914" t="s">
        <v>51</v>
      </c>
      <c r="G914">
        <v>100000</v>
      </c>
      <c r="H914">
        <v>100000</v>
      </c>
      <c r="I914">
        <v>250000</v>
      </c>
      <c r="J914" t="s">
        <v>92</v>
      </c>
      <c r="K914" t="s">
        <v>93</v>
      </c>
      <c r="L914" t="s">
        <v>44</v>
      </c>
      <c r="M914" t="s">
        <v>82</v>
      </c>
      <c r="N914" t="s">
        <v>76</v>
      </c>
      <c r="O914" t="s">
        <v>1956</v>
      </c>
      <c r="P914">
        <v>12.5</v>
      </c>
      <c r="Q914">
        <v>95</v>
      </c>
      <c r="R914">
        <v>23.2</v>
      </c>
      <c r="S914">
        <v>9.5</v>
      </c>
      <c r="T914">
        <v>2025</v>
      </c>
      <c r="U914">
        <v>5</v>
      </c>
      <c r="V914">
        <v>1</v>
      </c>
      <c r="W914" t="s">
        <v>47</v>
      </c>
      <c r="X914" t="s">
        <v>64</v>
      </c>
      <c r="Y914" t="s">
        <v>98</v>
      </c>
    </row>
    <row r="915" spans="1:25" x14ac:dyDescent="0.35">
      <c r="A915" t="s">
        <v>1957</v>
      </c>
      <c r="B915" t="s">
        <v>168</v>
      </c>
      <c r="C915" t="s">
        <v>169</v>
      </c>
      <c r="D915" t="s">
        <v>74</v>
      </c>
      <c r="E915">
        <v>6</v>
      </c>
      <c r="F915" t="s">
        <v>128</v>
      </c>
      <c r="G915">
        <v>157000</v>
      </c>
      <c r="H915">
        <v>157000</v>
      </c>
      <c r="I915">
        <v>218000</v>
      </c>
      <c r="J915" t="s">
        <v>42</v>
      </c>
      <c r="K915" t="s">
        <v>43</v>
      </c>
      <c r="L915" t="s">
        <v>53</v>
      </c>
      <c r="M915" t="s">
        <v>82</v>
      </c>
      <c r="N915" t="s">
        <v>83</v>
      </c>
      <c r="O915" t="s">
        <v>1958</v>
      </c>
      <c r="P915">
        <v>4.5</v>
      </c>
      <c r="Q915">
        <v>90</v>
      </c>
      <c r="R915">
        <v>25.2</v>
      </c>
      <c r="S915">
        <v>7.7</v>
      </c>
      <c r="T915">
        <v>2026</v>
      </c>
      <c r="U915">
        <v>3</v>
      </c>
      <c r="V915">
        <v>0</v>
      </c>
      <c r="W915" t="s">
        <v>47</v>
      </c>
      <c r="X915" t="s">
        <v>64</v>
      </c>
      <c r="Y915" t="s">
        <v>48</v>
      </c>
    </row>
    <row r="916" spans="1:25" x14ac:dyDescent="0.35">
      <c r="A916" t="s">
        <v>1959</v>
      </c>
      <c r="B916" t="s">
        <v>233</v>
      </c>
      <c r="C916" t="s">
        <v>180</v>
      </c>
      <c r="D916" t="s">
        <v>74</v>
      </c>
      <c r="E916">
        <v>4</v>
      </c>
      <c r="F916" t="s">
        <v>41</v>
      </c>
      <c r="G916">
        <v>100000</v>
      </c>
      <c r="H916">
        <v>100000</v>
      </c>
      <c r="I916">
        <v>200000</v>
      </c>
      <c r="J916" t="s">
        <v>170</v>
      </c>
      <c r="K916" t="s">
        <v>171</v>
      </c>
      <c r="L916" t="s">
        <v>53</v>
      </c>
      <c r="M916" t="s">
        <v>61</v>
      </c>
      <c r="N916" t="s">
        <v>83</v>
      </c>
      <c r="O916" t="s">
        <v>1960</v>
      </c>
      <c r="P916">
        <v>12.5</v>
      </c>
      <c r="Q916">
        <v>68</v>
      </c>
      <c r="R916">
        <v>27.9</v>
      </c>
      <c r="S916">
        <v>8.1</v>
      </c>
      <c r="T916">
        <v>2025</v>
      </c>
      <c r="U916">
        <v>4</v>
      </c>
      <c r="V916">
        <v>0</v>
      </c>
      <c r="W916" t="s">
        <v>47</v>
      </c>
      <c r="X916" t="s">
        <v>64</v>
      </c>
      <c r="Y916" t="s">
        <v>98</v>
      </c>
    </row>
    <row r="917" spans="1:25" x14ac:dyDescent="0.35">
      <c r="A917" t="s">
        <v>1961</v>
      </c>
      <c r="B917" t="s">
        <v>58</v>
      </c>
      <c r="C917" t="s">
        <v>59</v>
      </c>
      <c r="D917" t="s">
        <v>68</v>
      </c>
      <c r="E917">
        <v>4</v>
      </c>
      <c r="F917" t="s">
        <v>51</v>
      </c>
      <c r="G917">
        <v>156000</v>
      </c>
      <c r="H917">
        <v>130000</v>
      </c>
      <c r="I917">
        <v>220000</v>
      </c>
      <c r="J917" t="s">
        <v>142</v>
      </c>
      <c r="K917" t="s">
        <v>143</v>
      </c>
      <c r="L917" t="s">
        <v>53</v>
      </c>
      <c r="M917" t="s">
        <v>61</v>
      </c>
      <c r="N917" t="s">
        <v>119</v>
      </c>
      <c r="O917" t="s">
        <v>1962</v>
      </c>
      <c r="P917">
        <v>14.8</v>
      </c>
      <c r="Q917">
        <v>88</v>
      </c>
      <c r="R917">
        <v>22.3</v>
      </c>
      <c r="S917">
        <v>7.6</v>
      </c>
      <c r="T917">
        <v>2025</v>
      </c>
      <c r="U917">
        <v>12</v>
      </c>
      <c r="V917">
        <v>1</v>
      </c>
      <c r="W917" t="s">
        <v>47</v>
      </c>
      <c r="X917" t="s">
        <v>64</v>
      </c>
      <c r="Y917" t="s">
        <v>48</v>
      </c>
    </row>
    <row r="918" spans="1:25" x14ac:dyDescent="0.35">
      <c r="A918" t="s">
        <v>1963</v>
      </c>
      <c r="B918" t="s">
        <v>168</v>
      </c>
      <c r="C918" t="s">
        <v>169</v>
      </c>
      <c r="D918" t="s">
        <v>68</v>
      </c>
      <c r="E918">
        <v>11</v>
      </c>
      <c r="F918" t="s">
        <v>69</v>
      </c>
      <c r="G918">
        <v>200000</v>
      </c>
      <c r="H918">
        <v>157000</v>
      </c>
      <c r="I918">
        <v>218000</v>
      </c>
      <c r="J918" t="s">
        <v>42</v>
      </c>
      <c r="K918" t="s">
        <v>43</v>
      </c>
      <c r="L918" t="s">
        <v>53</v>
      </c>
      <c r="M918" t="s">
        <v>45</v>
      </c>
      <c r="N918" t="s">
        <v>110</v>
      </c>
      <c r="O918" t="s">
        <v>1964</v>
      </c>
      <c r="P918">
        <v>7.5</v>
      </c>
      <c r="Q918">
        <v>90</v>
      </c>
      <c r="R918">
        <v>6.2</v>
      </c>
      <c r="S918">
        <v>8.9</v>
      </c>
      <c r="T918">
        <v>2026</v>
      </c>
      <c r="U918">
        <v>1</v>
      </c>
      <c r="V918">
        <v>1</v>
      </c>
      <c r="W918" t="s">
        <v>47</v>
      </c>
      <c r="X918" t="s">
        <v>64</v>
      </c>
      <c r="Y918" t="s">
        <v>48</v>
      </c>
    </row>
    <row r="919" spans="1:25" x14ac:dyDescent="0.35">
      <c r="A919" t="s">
        <v>1965</v>
      </c>
      <c r="B919" t="s">
        <v>100</v>
      </c>
      <c r="C919" t="s">
        <v>101</v>
      </c>
      <c r="D919" t="s">
        <v>74</v>
      </c>
      <c r="E919">
        <v>14</v>
      </c>
      <c r="F919" t="s">
        <v>128</v>
      </c>
      <c r="G919">
        <v>180000</v>
      </c>
      <c r="H919">
        <v>180000</v>
      </c>
      <c r="I919">
        <v>320000</v>
      </c>
      <c r="J919" t="s">
        <v>102</v>
      </c>
      <c r="K919" t="s">
        <v>103</v>
      </c>
      <c r="L919" t="s">
        <v>44</v>
      </c>
      <c r="M919" t="s">
        <v>33</v>
      </c>
      <c r="N919" t="s">
        <v>34</v>
      </c>
      <c r="O919" t="s">
        <v>1966</v>
      </c>
      <c r="P919">
        <v>11.2</v>
      </c>
      <c r="Q919">
        <v>84</v>
      </c>
      <c r="R919">
        <v>21.6</v>
      </c>
      <c r="S919">
        <v>9.6</v>
      </c>
      <c r="T919">
        <v>2025</v>
      </c>
      <c r="U919">
        <v>1</v>
      </c>
      <c r="V919">
        <v>0</v>
      </c>
      <c r="W919" t="s">
        <v>47</v>
      </c>
      <c r="X919" t="s">
        <v>64</v>
      </c>
      <c r="Y919" t="s">
        <v>48</v>
      </c>
    </row>
    <row r="920" spans="1:25" x14ac:dyDescent="0.35">
      <c r="A920" t="s">
        <v>1967</v>
      </c>
      <c r="B920" t="s">
        <v>158</v>
      </c>
      <c r="C920" t="s">
        <v>27</v>
      </c>
      <c r="D920" t="s">
        <v>74</v>
      </c>
      <c r="E920">
        <v>6</v>
      </c>
      <c r="F920" t="s">
        <v>29</v>
      </c>
      <c r="G920">
        <v>145000</v>
      </c>
      <c r="H920">
        <v>145000</v>
      </c>
      <c r="I920">
        <v>280000</v>
      </c>
      <c r="J920" t="s">
        <v>129</v>
      </c>
      <c r="K920" t="s">
        <v>130</v>
      </c>
      <c r="L920" t="s">
        <v>44</v>
      </c>
      <c r="M920" t="s">
        <v>61</v>
      </c>
      <c r="N920" t="s">
        <v>71</v>
      </c>
      <c r="O920" t="s">
        <v>1968</v>
      </c>
      <c r="P920">
        <v>5.4</v>
      </c>
      <c r="Q920">
        <v>94</v>
      </c>
      <c r="R920">
        <v>66.8</v>
      </c>
      <c r="S920">
        <v>8</v>
      </c>
      <c r="T920">
        <v>2025</v>
      </c>
      <c r="U920">
        <v>12</v>
      </c>
      <c r="V920">
        <v>0</v>
      </c>
      <c r="W920" t="s">
        <v>47</v>
      </c>
      <c r="X920" t="s">
        <v>37</v>
      </c>
      <c r="Y920" t="s">
        <v>95</v>
      </c>
    </row>
    <row r="921" spans="1:25" x14ac:dyDescent="0.35">
      <c r="A921" t="s">
        <v>1969</v>
      </c>
      <c r="B921" t="s">
        <v>196</v>
      </c>
      <c r="C921" t="s">
        <v>27</v>
      </c>
      <c r="D921" t="s">
        <v>68</v>
      </c>
      <c r="E921">
        <v>7</v>
      </c>
      <c r="F921" t="s">
        <v>29</v>
      </c>
      <c r="G921">
        <v>100000</v>
      </c>
      <c r="H921">
        <v>100000</v>
      </c>
      <c r="I921">
        <v>250000</v>
      </c>
      <c r="J921" t="s">
        <v>108</v>
      </c>
      <c r="K921" t="s">
        <v>109</v>
      </c>
      <c r="L921" t="s">
        <v>32</v>
      </c>
      <c r="M921" t="s">
        <v>61</v>
      </c>
      <c r="N921" t="s">
        <v>131</v>
      </c>
      <c r="O921" t="s">
        <v>1970</v>
      </c>
      <c r="P921">
        <v>14.9</v>
      </c>
      <c r="Q921">
        <v>95</v>
      </c>
      <c r="R921">
        <v>74.5</v>
      </c>
      <c r="S921">
        <v>6.9</v>
      </c>
      <c r="T921">
        <v>2026</v>
      </c>
      <c r="U921">
        <v>3</v>
      </c>
      <c r="V921">
        <v>1</v>
      </c>
      <c r="W921" t="s">
        <v>36</v>
      </c>
      <c r="X921" t="s">
        <v>64</v>
      </c>
      <c r="Y921" t="s">
        <v>98</v>
      </c>
    </row>
    <row r="922" spans="1:25" x14ac:dyDescent="0.35">
      <c r="A922" t="s">
        <v>1971</v>
      </c>
      <c r="B922" t="s">
        <v>158</v>
      </c>
      <c r="C922" t="s">
        <v>27</v>
      </c>
      <c r="D922" t="s">
        <v>74</v>
      </c>
      <c r="E922">
        <v>5</v>
      </c>
      <c r="F922" t="s">
        <v>128</v>
      </c>
      <c r="G922">
        <v>145000</v>
      </c>
      <c r="H922">
        <v>145000</v>
      </c>
      <c r="I922">
        <v>280000</v>
      </c>
      <c r="J922" t="s">
        <v>108</v>
      </c>
      <c r="K922" t="s">
        <v>109</v>
      </c>
      <c r="L922" t="s">
        <v>44</v>
      </c>
      <c r="M922" t="s">
        <v>61</v>
      </c>
      <c r="N922" t="s">
        <v>155</v>
      </c>
      <c r="O922" t="s">
        <v>1972</v>
      </c>
      <c r="P922">
        <v>3.2</v>
      </c>
      <c r="Q922">
        <v>94</v>
      </c>
      <c r="R922">
        <v>44</v>
      </c>
      <c r="S922">
        <v>9.4</v>
      </c>
      <c r="T922">
        <v>2026</v>
      </c>
      <c r="U922">
        <v>2</v>
      </c>
      <c r="V922">
        <v>0</v>
      </c>
      <c r="W922" t="s">
        <v>47</v>
      </c>
      <c r="X922" t="s">
        <v>37</v>
      </c>
      <c r="Y922" t="s">
        <v>95</v>
      </c>
    </row>
    <row r="923" spans="1:25" x14ac:dyDescent="0.35">
      <c r="A923" t="s">
        <v>1973</v>
      </c>
      <c r="B923" t="s">
        <v>127</v>
      </c>
      <c r="C923" t="s">
        <v>27</v>
      </c>
      <c r="D923" t="s">
        <v>68</v>
      </c>
      <c r="E923">
        <v>4</v>
      </c>
      <c r="F923" t="s">
        <v>51</v>
      </c>
      <c r="G923">
        <v>194000</v>
      </c>
      <c r="H923">
        <v>120000</v>
      </c>
      <c r="I923">
        <v>280000</v>
      </c>
      <c r="J923" t="s">
        <v>117</v>
      </c>
      <c r="K923" t="s">
        <v>118</v>
      </c>
      <c r="L923" t="s">
        <v>32</v>
      </c>
      <c r="M923" t="s">
        <v>61</v>
      </c>
      <c r="N923" t="s">
        <v>34</v>
      </c>
      <c r="O923" t="s">
        <v>1974</v>
      </c>
      <c r="P923">
        <v>9</v>
      </c>
      <c r="Q923">
        <v>97</v>
      </c>
      <c r="R923">
        <v>62.1</v>
      </c>
      <c r="S923">
        <v>9.6</v>
      </c>
      <c r="T923">
        <v>2026</v>
      </c>
      <c r="U923">
        <v>1</v>
      </c>
      <c r="V923">
        <v>1</v>
      </c>
      <c r="W923" t="s">
        <v>36</v>
      </c>
      <c r="X923" t="s">
        <v>64</v>
      </c>
      <c r="Y923" t="s">
        <v>48</v>
      </c>
    </row>
    <row r="924" spans="1:25" x14ac:dyDescent="0.35">
      <c r="A924" t="s">
        <v>1975</v>
      </c>
      <c r="B924" t="s">
        <v>163</v>
      </c>
      <c r="C924" t="s">
        <v>164</v>
      </c>
      <c r="D924" t="s">
        <v>74</v>
      </c>
      <c r="E924">
        <v>9</v>
      </c>
      <c r="F924" t="s">
        <v>69</v>
      </c>
      <c r="G924">
        <v>125000</v>
      </c>
      <c r="H924">
        <v>125000</v>
      </c>
      <c r="I924">
        <v>240000</v>
      </c>
      <c r="J924" t="s">
        <v>102</v>
      </c>
      <c r="K924" t="s">
        <v>103</v>
      </c>
      <c r="L924" t="s">
        <v>32</v>
      </c>
      <c r="M924" t="s">
        <v>61</v>
      </c>
      <c r="N924" t="s">
        <v>131</v>
      </c>
      <c r="O924" t="s">
        <v>1976</v>
      </c>
      <c r="P924">
        <v>17.8</v>
      </c>
      <c r="Q924">
        <v>76</v>
      </c>
      <c r="R924">
        <v>29.1</v>
      </c>
      <c r="S924">
        <v>9.6999999999999993</v>
      </c>
      <c r="T924">
        <v>2026</v>
      </c>
      <c r="U924">
        <v>1</v>
      </c>
      <c r="V924">
        <v>0</v>
      </c>
      <c r="W924" t="s">
        <v>36</v>
      </c>
      <c r="X924" t="s">
        <v>64</v>
      </c>
      <c r="Y924" t="s">
        <v>95</v>
      </c>
    </row>
    <row r="925" spans="1:25" x14ac:dyDescent="0.35">
      <c r="A925" t="s">
        <v>1977</v>
      </c>
      <c r="B925" t="s">
        <v>609</v>
      </c>
      <c r="C925" t="s">
        <v>124</v>
      </c>
      <c r="D925" t="s">
        <v>74</v>
      </c>
      <c r="E925">
        <v>6</v>
      </c>
      <c r="F925" t="s">
        <v>51</v>
      </c>
      <c r="G925">
        <v>115000</v>
      </c>
      <c r="H925">
        <v>115000</v>
      </c>
      <c r="I925">
        <v>280000</v>
      </c>
      <c r="J925" t="s">
        <v>117</v>
      </c>
      <c r="K925" t="s">
        <v>118</v>
      </c>
      <c r="L925" t="s">
        <v>32</v>
      </c>
      <c r="M925" t="s">
        <v>33</v>
      </c>
      <c r="N925" t="s">
        <v>76</v>
      </c>
      <c r="O925" t="s">
        <v>1978</v>
      </c>
      <c r="P925">
        <v>9.8000000000000007</v>
      </c>
      <c r="Q925">
        <v>88</v>
      </c>
      <c r="R925">
        <v>27.2</v>
      </c>
      <c r="S925">
        <v>9.8000000000000007</v>
      </c>
      <c r="T925">
        <v>2025</v>
      </c>
      <c r="U925">
        <v>6</v>
      </c>
      <c r="V925">
        <v>0</v>
      </c>
      <c r="W925" t="s">
        <v>36</v>
      </c>
      <c r="X925" t="s">
        <v>64</v>
      </c>
      <c r="Y925" t="s">
        <v>95</v>
      </c>
    </row>
    <row r="926" spans="1:25" x14ac:dyDescent="0.35">
      <c r="A926" t="s">
        <v>1979</v>
      </c>
      <c r="B926" t="s">
        <v>26</v>
      </c>
      <c r="C926" t="s">
        <v>27</v>
      </c>
      <c r="D926" t="s">
        <v>81</v>
      </c>
      <c r="E926">
        <v>3</v>
      </c>
      <c r="F926" t="s">
        <v>69</v>
      </c>
      <c r="G926">
        <v>261000</v>
      </c>
      <c r="H926">
        <v>155000</v>
      </c>
      <c r="I926">
        <v>290000</v>
      </c>
      <c r="J926" t="s">
        <v>296</v>
      </c>
      <c r="K926" t="s">
        <v>31</v>
      </c>
      <c r="L926" t="s">
        <v>32</v>
      </c>
      <c r="M926" t="s">
        <v>45</v>
      </c>
      <c r="N926" t="s">
        <v>110</v>
      </c>
      <c r="O926" t="s">
        <v>1980</v>
      </c>
      <c r="P926">
        <v>10.4</v>
      </c>
      <c r="Q926">
        <v>96</v>
      </c>
      <c r="R926">
        <v>50.4</v>
      </c>
      <c r="S926">
        <v>7.2</v>
      </c>
      <c r="T926">
        <v>2026</v>
      </c>
      <c r="U926">
        <v>2</v>
      </c>
      <c r="V926">
        <v>0</v>
      </c>
      <c r="W926" t="s">
        <v>36</v>
      </c>
      <c r="X926" t="s">
        <v>37</v>
      </c>
      <c r="Y926" t="s">
        <v>38</v>
      </c>
    </row>
    <row r="927" spans="1:25" x14ac:dyDescent="0.35">
      <c r="A927" t="s">
        <v>1981</v>
      </c>
      <c r="B927" t="s">
        <v>233</v>
      </c>
      <c r="C927" t="s">
        <v>180</v>
      </c>
      <c r="D927" t="s">
        <v>28</v>
      </c>
      <c r="E927">
        <v>4</v>
      </c>
      <c r="F927" t="s">
        <v>29</v>
      </c>
      <c r="G927">
        <v>240000</v>
      </c>
      <c r="H927">
        <v>100000</v>
      </c>
      <c r="I927">
        <v>200000</v>
      </c>
      <c r="J927" t="s">
        <v>30</v>
      </c>
      <c r="K927" t="s">
        <v>31</v>
      </c>
      <c r="L927" t="s">
        <v>44</v>
      </c>
      <c r="M927" t="s">
        <v>54</v>
      </c>
      <c r="N927" t="s">
        <v>119</v>
      </c>
      <c r="O927" t="s">
        <v>1982</v>
      </c>
      <c r="P927">
        <v>13.7</v>
      </c>
      <c r="Q927">
        <v>68</v>
      </c>
      <c r="R927">
        <v>23</v>
      </c>
      <c r="S927">
        <v>8.5</v>
      </c>
      <c r="T927">
        <v>2025</v>
      </c>
      <c r="U927">
        <v>6</v>
      </c>
      <c r="V927">
        <v>1</v>
      </c>
      <c r="W927" t="s">
        <v>47</v>
      </c>
      <c r="X927" t="s">
        <v>64</v>
      </c>
      <c r="Y927" t="s">
        <v>38</v>
      </c>
    </row>
    <row r="928" spans="1:25" x14ac:dyDescent="0.35">
      <c r="A928" t="s">
        <v>1983</v>
      </c>
      <c r="B928" t="s">
        <v>134</v>
      </c>
      <c r="C928" t="s">
        <v>27</v>
      </c>
      <c r="D928" t="s">
        <v>74</v>
      </c>
      <c r="E928">
        <v>6</v>
      </c>
      <c r="F928" t="s">
        <v>128</v>
      </c>
      <c r="G928">
        <v>150000</v>
      </c>
      <c r="H928">
        <v>150000</v>
      </c>
      <c r="I928">
        <v>295000</v>
      </c>
      <c r="J928" t="s">
        <v>142</v>
      </c>
      <c r="K928" t="s">
        <v>143</v>
      </c>
      <c r="L928" t="s">
        <v>44</v>
      </c>
      <c r="M928" t="s">
        <v>45</v>
      </c>
      <c r="N928" t="s">
        <v>124</v>
      </c>
      <c r="O928" t="s">
        <v>1984</v>
      </c>
      <c r="P928">
        <v>8.8000000000000007</v>
      </c>
      <c r="Q928">
        <v>95</v>
      </c>
      <c r="R928">
        <v>70.900000000000006</v>
      </c>
      <c r="S928">
        <v>8.6</v>
      </c>
      <c r="T928">
        <v>2025</v>
      </c>
      <c r="U928">
        <v>5</v>
      </c>
      <c r="V928">
        <v>0</v>
      </c>
      <c r="W928" t="s">
        <v>47</v>
      </c>
      <c r="X928" t="s">
        <v>37</v>
      </c>
      <c r="Y928" t="s">
        <v>95</v>
      </c>
    </row>
    <row r="929" spans="1:25" x14ac:dyDescent="0.35">
      <c r="A929" t="s">
        <v>1985</v>
      </c>
      <c r="B929" t="s">
        <v>196</v>
      </c>
      <c r="C929" t="s">
        <v>27</v>
      </c>
      <c r="D929" t="s">
        <v>68</v>
      </c>
      <c r="E929">
        <v>6</v>
      </c>
      <c r="F929" t="s">
        <v>51</v>
      </c>
      <c r="G929">
        <v>100000</v>
      </c>
      <c r="H929">
        <v>100000</v>
      </c>
      <c r="I929">
        <v>250000</v>
      </c>
      <c r="J929" t="s">
        <v>92</v>
      </c>
      <c r="K929" t="s">
        <v>93</v>
      </c>
      <c r="L929" t="s">
        <v>53</v>
      </c>
      <c r="M929" t="s">
        <v>33</v>
      </c>
      <c r="N929" t="s">
        <v>62</v>
      </c>
      <c r="O929" t="s">
        <v>1986</v>
      </c>
      <c r="P929">
        <v>8.1999999999999993</v>
      </c>
      <c r="Q929">
        <v>95</v>
      </c>
      <c r="R929">
        <v>27.3</v>
      </c>
      <c r="S929">
        <v>9.6999999999999993</v>
      </c>
      <c r="T929">
        <v>2026</v>
      </c>
      <c r="U929">
        <v>1</v>
      </c>
      <c r="V929">
        <v>1</v>
      </c>
      <c r="W929" t="s">
        <v>47</v>
      </c>
      <c r="X929" t="s">
        <v>64</v>
      </c>
      <c r="Y929" t="s">
        <v>98</v>
      </c>
    </row>
    <row r="930" spans="1:25" x14ac:dyDescent="0.35">
      <c r="A930" t="s">
        <v>1987</v>
      </c>
      <c r="B930" t="s">
        <v>158</v>
      </c>
      <c r="C930" t="s">
        <v>27</v>
      </c>
      <c r="D930" t="s">
        <v>81</v>
      </c>
      <c r="E930">
        <v>2</v>
      </c>
      <c r="F930" t="s">
        <v>41</v>
      </c>
      <c r="G930">
        <v>154000</v>
      </c>
      <c r="H930">
        <v>145000</v>
      </c>
      <c r="I930">
        <v>280000</v>
      </c>
      <c r="J930" t="s">
        <v>47</v>
      </c>
      <c r="K930" t="s">
        <v>87</v>
      </c>
      <c r="L930" t="s">
        <v>44</v>
      </c>
      <c r="M930" t="s">
        <v>33</v>
      </c>
      <c r="N930" t="s">
        <v>165</v>
      </c>
      <c r="O930" t="s">
        <v>1988</v>
      </c>
      <c r="P930">
        <v>5.8</v>
      </c>
      <c r="Q930">
        <v>94</v>
      </c>
      <c r="R930">
        <v>56.3</v>
      </c>
      <c r="S930">
        <v>8</v>
      </c>
      <c r="T930">
        <v>2025</v>
      </c>
      <c r="U930">
        <v>3</v>
      </c>
      <c r="V930">
        <v>0</v>
      </c>
      <c r="W930" t="s">
        <v>47</v>
      </c>
      <c r="X930" t="s">
        <v>37</v>
      </c>
      <c r="Y930" t="s">
        <v>48</v>
      </c>
    </row>
    <row r="931" spans="1:25" x14ac:dyDescent="0.35">
      <c r="A931" t="s">
        <v>1989</v>
      </c>
      <c r="B931" t="s">
        <v>40</v>
      </c>
      <c r="C931" t="s">
        <v>27</v>
      </c>
      <c r="D931" t="s">
        <v>81</v>
      </c>
      <c r="E931">
        <v>2</v>
      </c>
      <c r="F931" t="s">
        <v>41</v>
      </c>
      <c r="G931">
        <v>162000</v>
      </c>
      <c r="H931">
        <v>90000</v>
      </c>
      <c r="I931">
        <v>200000</v>
      </c>
      <c r="J931" t="s">
        <v>47</v>
      </c>
      <c r="K931" t="s">
        <v>87</v>
      </c>
      <c r="L931" t="s">
        <v>44</v>
      </c>
      <c r="M931" t="s">
        <v>45</v>
      </c>
      <c r="N931" t="s">
        <v>155</v>
      </c>
      <c r="O931" t="s">
        <v>1990</v>
      </c>
      <c r="P931">
        <v>7.5</v>
      </c>
      <c r="Q931">
        <v>82</v>
      </c>
      <c r="R931">
        <v>15.5</v>
      </c>
      <c r="S931">
        <v>6.9</v>
      </c>
      <c r="T931">
        <v>2026</v>
      </c>
      <c r="U931">
        <v>1</v>
      </c>
      <c r="V931">
        <v>0</v>
      </c>
      <c r="W931" t="s">
        <v>47</v>
      </c>
      <c r="X931" t="s">
        <v>37</v>
      </c>
      <c r="Y931" t="s">
        <v>48</v>
      </c>
    </row>
    <row r="932" spans="1:25" x14ac:dyDescent="0.35">
      <c r="A932" t="s">
        <v>1991</v>
      </c>
      <c r="B932" t="s">
        <v>26</v>
      </c>
      <c r="C932" t="s">
        <v>27</v>
      </c>
      <c r="D932" t="s">
        <v>81</v>
      </c>
      <c r="E932">
        <v>7</v>
      </c>
      <c r="F932" t="s">
        <v>41</v>
      </c>
      <c r="G932">
        <v>155000</v>
      </c>
      <c r="H932">
        <v>155000</v>
      </c>
      <c r="I932">
        <v>290000</v>
      </c>
      <c r="J932" t="s">
        <v>92</v>
      </c>
      <c r="K932" t="s">
        <v>93</v>
      </c>
      <c r="L932" t="s">
        <v>32</v>
      </c>
      <c r="M932" t="s">
        <v>82</v>
      </c>
      <c r="N932" t="s">
        <v>131</v>
      </c>
      <c r="O932" t="s">
        <v>1992</v>
      </c>
      <c r="P932">
        <v>9.1999999999999993</v>
      </c>
      <c r="Q932">
        <v>96</v>
      </c>
      <c r="R932">
        <v>20.100000000000001</v>
      </c>
      <c r="S932">
        <v>9.1999999999999993</v>
      </c>
      <c r="T932">
        <v>2026</v>
      </c>
      <c r="U932">
        <v>2</v>
      </c>
      <c r="V932">
        <v>0</v>
      </c>
      <c r="W932" t="s">
        <v>36</v>
      </c>
      <c r="X932" t="s">
        <v>37</v>
      </c>
      <c r="Y932" t="s">
        <v>48</v>
      </c>
    </row>
    <row r="933" spans="1:25" x14ac:dyDescent="0.35">
      <c r="A933" t="s">
        <v>1993</v>
      </c>
      <c r="B933" t="s">
        <v>50</v>
      </c>
      <c r="C933" t="s">
        <v>27</v>
      </c>
      <c r="D933" t="s">
        <v>68</v>
      </c>
      <c r="E933">
        <v>7</v>
      </c>
      <c r="F933" t="s">
        <v>128</v>
      </c>
      <c r="G933">
        <v>289000</v>
      </c>
      <c r="H933">
        <v>160000</v>
      </c>
      <c r="I933">
        <v>300000</v>
      </c>
      <c r="J933" t="s">
        <v>142</v>
      </c>
      <c r="K933" t="s">
        <v>143</v>
      </c>
      <c r="L933" t="s">
        <v>44</v>
      </c>
      <c r="M933" t="s">
        <v>82</v>
      </c>
      <c r="N933" t="s">
        <v>110</v>
      </c>
      <c r="O933" t="s">
        <v>1994</v>
      </c>
      <c r="P933">
        <v>8.3000000000000007</v>
      </c>
      <c r="Q933">
        <v>98</v>
      </c>
      <c r="R933">
        <v>51.2</v>
      </c>
      <c r="S933">
        <v>7.1</v>
      </c>
      <c r="T933">
        <v>2026</v>
      </c>
      <c r="U933">
        <v>2</v>
      </c>
      <c r="V933">
        <v>1</v>
      </c>
      <c r="W933" t="s">
        <v>47</v>
      </c>
      <c r="X933" t="s">
        <v>37</v>
      </c>
      <c r="Y933" t="s">
        <v>38</v>
      </c>
    </row>
    <row r="934" spans="1:25" x14ac:dyDescent="0.35">
      <c r="A934" t="s">
        <v>1995</v>
      </c>
      <c r="B934" t="s">
        <v>149</v>
      </c>
      <c r="C934" t="s">
        <v>150</v>
      </c>
      <c r="D934" t="s">
        <v>81</v>
      </c>
      <c r="E934">
        <v>6</v>
      </c>
      <c r="F934" t="s">
        <v>69</v>
      </c>
      <c r="G934">
        <v>212000</v>
      </c>
      <c r="H934">
        <v>130000</v>
      </c>
      <c r="I934">
        <v>260000</v>
      </c>
      <c r="J934" t="s">
        <v>52</v>
      </c>
      <c r="K934" t="s">
        <v>31</v>
      </c>
      <c r="L934" t="s">
        <v>44</v>
      </c>
      <c r="M934" t="s">
        <v>45</v>
      </c>
      <c r="N934" t="s">
        <v>71</v>
      </c>
      <c r="O934" t="s">
        <v>1996</v>
      </c>
      <c r="P934">
        <v>15</v>
      </c>
      <c r="Q934">
        <v>93</v>
      </c>
      <c r="R934">
        <v>49.3</v>
      </c>
      <c r="S934">
        <v>6.1</v>
      </c>
      <c r="T934">
        <v>2026</v>
      </c>
      <c r="U934">
        <v>2</v>
      </c>
      <c r="V934">
        <v>0</v>
      </c>
      <c r="W934" t="s">
        <v>47</v>
      </c>
      <c r="X934" t="s">
        <v>64</v>
      </c>
      <c r="Y934" t="s">
        <v>38</v>
      </c>
    </row>
    <row r="935" spans="1:25" x14ac:dyDescent="0.35">
      <c r="A935" t="s">
        <v>1997</v>
      </c>
      <c r="B935" t="s">
        <v>153</v>
      </c>
      <c r="C935" t="s">
        <v>154</v>
      </c>
      <c r="D935" t="s">
        <v>81</v>
      </c>
      <c r="E935">
        <v>2</v>
      </c>
      <c r="F935" t="s">
        <v>69</v>
      </c>
      <c r="G935">
        <v>123000</v>
      </c>
      <c r="H935">
        <v>95000</v>
      </c>
      <c r="I935">
        <v>180000</v>
      </c>
      <c r="J935" t="s">
        <v>122</v>
      </c>
      <c r="K935" t="s">
        <v>123</v>
      </c>
      <c r="L935" t="s">
        <v>44</v>
      </c>
      <c r="M935" t="s">
        <v>54</v>
      </c>
      <c r="N935" t="s">
        <v>124</v>
      </c>
      <c r="O935" t="s">
        <v>1998</v>
      </c>
      <c r="P935">
        <v>12.7</v>
      </c>
      <c r="Q935">
        <v>78</v>
      </c>
      <c r="R935">
        <v>5.2</v>
      </c>
      <c r="S935">
        <v>7.4</v>
      </c>
      <c r="T935">
        <v>2025</v>
      </c>
      <c r="U935">
        <v>9</v>
      </c>
      <c r="V935">
        <v>0</v>
      </c>
      <c r="W935" t="s">
        <v>47</v>
      </c>
      <c r="X935" t="s">
        <v>64</v>
      </c>
      <c r="Y935" t="s">
        <v>95</v>
      </c>
    </row>
    <row r="936" spans="1:25" x14ac:dyDescent="0.35">
      <c r="A936" t="s">
        <v>1999</v>
      </c>
      <c r="B936" t="s">
        <v>609</v>
      </c>
      <c r="C936" t="s">
        <v>124</v>
      </c>
      <c r="D936" t="s">
        <v>81</v>
      </c>
      <c r="E936">
        <v>5</v>
      </c>
      <c r="F936" t="s">
        <v>69</v>
      </c>
      <c r="G936">
        <v>152000</v>
      </c>
      <c r="H936">
        <v>115000</v>
      </c>
      <c r="I936">
        <v>280000</v>
      </c>
      <c r="J936" t="s">
        <v>170</v>
      </c>
      <c r="K936" t="s">
        <v>171</v>
      </c>
      <c r="L936" t="s">
        <v>44</v>
      </c>
      <c r="M936" t="s">
        <v>45</v>
      </c>
      <c r="N936" t="s">
        <v>119</v>
      </c>
      <c r="O936" t="s">
        <v>2000</v>
      </c>
      <c r="P936">
        <v>11</v>
      </c>
      <c r="Q936">
        <v>88</v>
      </c>
      <c r="R936">
        <v>13.3</v>
      </c>
      <c r="S936">
        <v>7</v>
      </c>
      <c r="T936">
        <v>2026</v>
      </c>
      <c r="U936">
        <v>2</v>
      </c>
      <c r="V936">
        <v>0</v>
      </c>
      <c r="W936" t="s">
        <v>47</v>
      </c>
      <c r="X936" t="s">
        <v>64</v>
      </c>
      <c r="Y936" t="s">
        <v>48</v>
      </c>
    </row>
    <row r="937" spans="1:25" x14ac:dyDescent="0.35">
      <c r="A937" t="s">
        <v>2001</v>
      </c>
      <c r="B937" t="s">
        <v>134</v>
      </c>
      <c r="C937" t="s">
        <v>27</v>
      </c>
      <c r="D937" t="s">
        <v>28</v>
      </c>
      <c r="E937">
        <v>4</v>
      </c>
      <c r="F937" t="s">
        <v>41</v>
      </c>
      <c r="G937">
        <v>228000</v>
      </c>
      <c r="H937">
        <v>150000</v>
      </c>
      <c r="I937">
        <v>295000</v>
      </c>
      <c r="J937" t="s">
        <v>42</v>
      </c>
      <c r="K937" t="s">
        <v>43</v>
      </c>
      <c r="L937" t="s">
        <v>44</v>
      </c>
      <c r="M937" t="s">
        <v>82</v>
      </c>
      <c r="N937" t="s">
        <v>165</v>
      </c>
      <c r="O937" t="s">
        <v>2002</v>
      </c>
      <c r="P937">
        <v>10.3</v>
      </c>
      <c r="Q937">
        <v>95</v>
      </c>
      <c r="R937">
        <v>79.3</v>
      </c>
      <c r="S937">
        <v>9.3000000000000007</v>
      </c>
      <c r="T937">
        <v>2025</v>
      </c>
      <c r="U937">
        <v>9</v>
      </c>
      <c r="V937">
        <v>1</v>
      </c>
      <c r="W937" t="s">
        <v>47</v>
      </c>
      <c r="X937" t="s">
        <v>37</v>
      </c>
      <c r="Y937" t="s">
        <v>38</v>
      </c>
    </row>
    <row r="938" spans="1:25" x14ac:dyDescent="0.35">
      <c r="A938" t="s">
        <v>2003</v>
      </c>
      <c r="B938" t="s">
        <v>233</v>
      </c>
      <c r="C938" t="s">
        <v>180</v>
      </c>
      <c r="D938" t="s">
        <v>81</v>
      </c>
      <c r="E938">
        <v>8</v>
      </c>
      <c r="F938" t="s">
        <v>29</v>
      </c>
      <c r="G938">
        <v>100000</v>
      </c>
      <c r="H938">
        <v>100000</v>
      </c>
      <c r="I938">
        <v>200000</v>
      </c>
      <c r="J938" t="s">
        <v>102</v>
      </c>
      <c r="K938" t="s">
        <v>103</v>
      </c>
      <c r="L938" t="s">
        <v>32</v>
      </c>
      <c r="M938" t="s">
        <v>61</v>
      </c>
      <c r="N938" t="s">
        <v>34</v>
      </c>
      <c r="O938" t="s">
        <v>2004</v>
      </c>
      <c r="P938">
        <v>9</v>
      </c>
      <c r="Q938">
        <v>68</v>
      </c>
      <c r="R938">
        <v>5.2</v>
      </c>
      <c r="S938">
        <v>9.4</v>
      </c>
      <c r="T938">
        <v>2026</v>
      </c>
      <c r="U938">
        <v>1</v>
      </c>
      <c r="V938">
        <v>0</v>
      </c>
      <c r="W938" t="s">
        <v>36</v>
      </c>
      <c r="X938" t="s">
        <v>64</v>
      </c>
      <c r="Y938" t="s">
        <v>98</v>
      </c>
    </row>
    <row r="939" spans="1:25" x14ac:dyDescent="0.35">
      <c r="A939" t="s">
        <v>2005</v>
      </c>
      <c r="B939" t="s">
        <v>127</v>
      </c>
      <c r="C939" t="s">
        <v>27</v>
      </c>
      <c r="D939" t="s">
        <v>68</v>
      </c>
      <c r="E939">
        <v>7</v>
      </c>
      <c r="F939" t="s">
        <v>41</v>
      </c>
      <c r="G939">
        <v>231000</v>
      </c>
      <c r="H939">
        <v>120000</v>
      </c>
      <c r="I939">
        <v>280000</v>
      </c>
      <c r="J939" t="s">
        <v>75</v>
      </c>
      <c r="K939" t="s">
        <v>31</v>
      </c>
      <c r="L939" t="s">
        <v>32</v>
      </c>
      <c r="M939" t="s">
        <v>33</v>
      </c>
      <c r="N939" t="s">
        <v>131</v>
      </c>
      <c r="O939" t="s">
        <v>2006</v>
      </c>
      <c r="P939">
        <v>8.1</v>
      </c>
      <c r="Q939">
        <v>97</v>
      </c>
      <c r="R939">
        <v>37</v>
      </c>
      <c r="S939">
        <v>8.1999999999999993</v>
      </c>
      <c r="T939">
        <v>2026</v>
      </c>
      <c r="U939">
        <v>2</v>
      </c>
      <c r="V939">
        <v>1</v>
      </c>
      <c r="W939" t="s">
        <v>36</v>
      </c>
      <c r="X939" t="s">
        <v>64</v>
      </c>
      <c r="Y939" t="s">
        <v>38</v>
      </c>
    </row>
    <row r="940" spans="1:25" x14ac:dyDescent="0.35">
      <c r="A940" t="s">
        <v>2007</v>
      </c>
      <c r="B940" t="s">
        <v>86</v>
      </c>
      <c r="C940" t="s">
        <v>27</v>
      </c>
      <c r="D940" t="s">
        <v>81</v>
      </c>
      <c r="E940">
        <v>5</v>
      </c>
      <c r="F940" t="s">
        <v>51</v>
      </c>
      <c r="G940">
        <v>246000</v>
      </c>
      <c r="H940">
        <v>180000</v>
      </c>
      <c r="I940">
        <v>312000</v>
      </c>
      <c r="J940" t="s">
        <v>191</v>
      </c>
      <c r="K940" t="s">
        <v>31</v>
      </c>
      <c r="L940" t="s">
        <v>53</v>
      </c>
      <c r="M940" t="s">
        <v>54</v>
      </c>
      <c r="N940" t="s">
        <v>124</v>
      </c>
      <c r="O940" t="s">
        <v>2008</v>
      </c>
      <c r="P940">
        <v>11.3</v>
      </c>
      <c r="Q940">
        <v>96</v>
      </c>
      <c r="R940">
        <v>43.7</v>
      </c>
      <c r="S940">
        <v>7.4</v>
      </c>
      <c r="T940">
        <v>2026</v>
      </c>
      <c r="U940">
        <v>2</v>
      </c>
      <c r="V940">
        <v>0</v>
      </c>
      <c r="W940" t="s">
        <v>47</v>
      </c>
      <c r="X940" t="s">
        <v>64</v>
      </c>
      <c r="Y940" t="s">
        <v>38</v>
      </c>
    </row>
    <row r="941" spans="1:25" x14ac:dyDescent="0.35">
      <c r="A941" t="s">
        <v>2009</v>
      </c>
      <c r="B941" t="s">
        <v>141</v>
      </c>
      <c r="C941" t="s">
        <v>27</v>
      </c>
      <c r="D941" t="s">
        <v>28</v>
      </c>
      <c r="E941">
        <v>9</v>
      </c>
      <c r="F941" t="s">
        <v>69</v>
      </c>
      <c r="G941">
        <v>258000</v>
      </c>
      <c r="H941">
        <v>141000</v>
      </c>
      <c r="I941">
        <v>270000</v>
      </c>
      <c r="J941" t="s">
        <v>113</v>
      </c>
      <c r="K941" t="s">
        <v>114</v>
      </c>
      <c r="L941" t="s">
        <v>44</v>
      </c>
      <c r="M941" t="s">
        <v>54</v>
      </c>
      <c r="N941" t="s">
        <v>124</v>
      </c>
      <c r="O941" t="s">
        <v>2010</v>
      </c>
      <c r="P941">
        <v>5.0999999999999996</v>
      </c>
      <c r="Q941">
        <v>89</v>
      </c>
      <c r="R941">
        <v>11.5</v>
      </c>
      <c r="S941">
        <v>7.2</v>
      </c>
      <c r="T941">
        <v>2025</v>
      </c>
      <c r="U941">
        <v>2</v>
      </c>
      <c r="V941">
        <v>1</v>
      </c>
      <c r="W941" t="s">
        <v>47</v>
      </c>
      <c r="X941" t="s">
        <v>64</v>
      </c>
      <c r="Y941" t="s">
        <v>38</v>
      </c>
    </row>
    <row r="942" spans="1:25" x14ac:dyDescent="0.35">
      <c r="A942" t="s">
        <v>2011</v>
      </c>
      <c r="B942" t="s">
        <v>86</v>
      </c>
      <c r="C942" t="s">
        <v>27</v>
      </c>
      <c r="D942" t="s">
        <v>28</v>
      </c>
      <c r="E942">
        <v>9</v>
      </c>
      <c r="F942" t="s">
        <v>41</v>
      </c>
      <c r="G942">
        <v>353000</v>
      </c>
      <c r="H942">
        <v>180000</v>
      </c>
      <c r="I942">
        <v>312000</v>
      </c>
      <c r="J942" t="s">
        <v>42</v>
      </c>
      <c r="K942" t="s">
        <v>43</v>
      </c>
      <c r="L942" t="s">
        <v>44</v>
      </c>
      <c r="M942" t="s">
        <v>54</v>
      </c>
      <c r="N942" t="s">
        <v>71</v>
      </c>
      <c r="O942" t="s">
        <v>2012</v>
      </c>
      <c r="P942">
        <v>10.9</v>
      </c>
      <c r="Q942">
        <v>96</v>
      </c>
      <c r="R942">
        <v>34.4</v>
      </c>
      <c r="S942">
        <v>6.8</v>
      </c>
      <c r="T942">
        <v>2025</v>
      </c>
      <c r="U942">
        <v>5</v>
      </c>
      <c r="V942">
        <v>1</v>
      </c>
      <c r="W942" t="s">
        <v>47</v>
      </c>
      <c r="X942" t="s">
        <v>64</v>
      </c>
      <c r="Y942" t="s">
        <v>56</v>
      </c>
    </row>
    <row r="943" spans="1:25" x14ac:dyDescent="0.35">
      <c r="A943" t="s">
        <v>2013</v>
      </c>
      <c r="B943" t="s">
        <v>91</v>
      </c>
      <c r="C943" t="s">
        <v>27</v>
      </c>
      <c r="D943" t="s">
        <v>68</v>
      </c>
      <c r="E943">
        <v>9</v>
      </c>
      <c r="F943" t="s">
        <v>51</v>
      </c>
      <c r="G943">
        <v>348000</v>
      </c>
      <c r="H943">
        <v>145000</v>
      </c>
      <c r="I943">
        <v>290000</v>
      </c>
      <c r="J943" t="s">
        <v>170</v>
      </c>
      <c r="K943" t="s">
        <v>171</v>
      </c>
      <c r="L943" t="s">
        <v>53</v>
      </c>
      <c r="M943" t="s">
        <v>54</v>
      </c>
      <c r="N943" t="s">
        <v>165</v>
      </c>
      <c r="O943" t="s">
        <v>2014</v>
      </c>
      <c r="P943">
        <v>4.0999999999999996</v>
      </c>
      <c r="Q943">
        <v>91</v>
      </c>
      <c r="R943">
        <v>73.7</v>
      </c>
      <c r="S943">
        <v>6.3</v>
      </c>
      <c r="T943">
        <v>2026</v>
      </c>
      <c r="U943">
        <v>2</v>
      </c>
      <c r="V943">
        <v>1</v>
      </c>
      <c r="W943" t="s">
        <v>47</v>
      </c>
      <c r="X943" t="s">
        <v>64</v>
      </c>
      <c r="Y943" t="s">
        <v>56</v>
      </c>
    </row>
    <row r="944" spans="1:25" x14ac:dyDescent="0.35">
      <c r="A944" t="s">
        <v>2015</v>
      </c>
      <c r="B944" t="s">
        <v>100</v>
      </c>
      <c r="C944" t="s">
        <v>101</v>
      </c>
      <c r="D944" t="s">
        <v>68</v>
      </c>
      <c r="E944">
        <v>6</v>
      </c>
      <c r="F944" t="s">
        <v>128</v>
      </c>
      <c r="G944">
        <v>255000</v>
      </c>
      <c r="H944">
        <v>180000</v>
      </c>
      <c r="I944">
        <v>320000</v>
      </c>
      <c r="J944" t="s">
        <v>129</v>
      </c>
      <c r="K944" t="s">
        <v>130</v>
      </c>
      <c r="L944" t="s">
        <v>53</v>
      </c>
      <c r="M944" t="s">
        <v>33</v>
      </c>
      <c r="N944" t="s">
        <v>131</v>
      </c>
      <c r="O944" t="s">
        <v>2016</v>
      </c>
      <c r="P944">
        <v>14.1</v>
      </c>
      <c r="Q944">
        <v>84</v>
      </c>
      <c r="R944">
        <v>12</v>
      </c>
      <c r="S944">
        <v>7.5</v>
      </c>
      <c r="T944">
        <v>2025</v>
      </c>
      <c r="U944">
        <v>6</v>
      </c>
      <c r="V944">
        <v>1</v>
      </c>
      <c r="W944" t="s">
        <v>47</v>
      </c>
      <c r="X944" t="s">
        <v>64</v>
      </c>
      <c r="Y944" t="s">
        <v>38</v>
      </c>
    </row>
    <row r="945" spans="1:25" x14ac:dyDescent="0.35">
      <c r="A945" t="s">
        <v>2017</v>
      </c>
      <c r="B945" t="s">
        <v>134</v>
      </c>
      <c r="C945" t="s">
        <v>27</v>
      </c>
      <c r="D945" t="s">
        <v>81</v>
      </c>
      <c r="E945">
        <v>3</v>
      </c>
      <c r="F945" t="s">
        <v>29</v>
      </c>
      <c r="G945">
        <v>196000</v>
      </c>
      <c r="H945">
        <v>150000</v>
      </c>
      <c r="I945">
        <v>295000</v>
      </c>
      <c r="J945" t="s">
        <v>75</v>
      </c>
      <c r="K945" t="s">
        <v>31</v>
      </c>
      <c r="L945" t="s">
        <v>32</v>
      </c>
      <c r="M945" t="s">
        <v>61</v>
      </c>
      <c r="N945" t="s">
        <v>71</v>
      </c>
      <c r="O945" t="s">
        <v>2018</v>
      </c>
      <c r="P945">
        <v>8.1</v>
      </c>
      <c r="Q945">
        <v>95</v>
      </c>
      <c r="R945">
        <v>16.600000000000001</v>
      </c>
      <c r="S945">
        <v>6.7</v>
      </c>
      <c r="T945">
        <v>2026</v>
      </c>
      <c r="U945">
        <v>2</v>
      </c>
      <c r="V945">
        <v>0</v>
      </c>
      <c r="W945" t="s">
        <v>36</v>
      </c>
      <c r="X945" t="s">
        <v>37</v>
      </c>
      <c r="Y945" t="s">
        <v>48</v>
      </c>
    </row>
    <row r="946" spans="1:25" x14ac:dyDescent="0.35">
      <c r="A946" t="s">
        <v>2019</v>
      </c>
      <c r="B946" t="s">
        <v>86</v>
      </c>
      <c r="C946" t="s">
        <v>27</v>
      </c>
      <c r="D946" t="s">
        <v>68</v>
      </c>
      <c r="E946">
        <v>5</v>
      </c>
      <c r="F946" t="s">
        <v>128</v>
      </c>
      <c r="G946">
        <v>374400</v>
      </c>
      <c r="H946">
        <v>180000</v>
      </c>
      <c r="I946">
        <v>312000</v>
      </c>
      <c r="J946" t="s">
        <v>30</v>
      </c>
      <c r="K946" t="s">
        <v>31</v>
      </c>
      <c r="L946" t="s">
        <v>44</v>
      </c>
      <c r="M946" t="s">
        <v>45</v>
      </c>
      <c r="N946" t="s">
        <v>131</v>
      </c>
      <c r="O946" t="s">
        <v>2020</v>
      </c>
      <c r="P946">
        <v>11.7</v>
      </c>
      <c r="Q946">
        <v>96</v>
      </c>
      <c r="R946">
        <v>19.100000000000001</v>
      </c>
      <c r="S946">
        <v>9.6</v>
      </c>
      <c r="T946">
        <v>2025</v>
      </c>
      <c r="U946">
        <v>4</v>
      </c>
      <c r="V946">
        <v>1</v>
      </c>
      <c r="W946" t="s">
        <v>47</v>
      </c>
      <c r="X946" t="s">
        <v>64</v>
      </c>
      <c r="Y946" t="s">
        <v>56</v>
      </c>
    </row>
    <row r="947" spans="1:25" x14ac:dyDescent="0.35">
      <c r="A947" t="s">
        <v>2021</v>
      </c>
      <c r="B947" t="s">
        <v>134</v>
      </c>
      <c r="C947" t="s">
        <v>27</v>
      </c>
      <c r="D947" t="s">
        <v>28</v>
      </c>
      <c r="E947">
        <v>2</v>
      </c>
      <c r="F947" t="s">
        <v>69</v>
      </c>
      <c r="G947">
        <v>150000</v>
      </c>
      <c r="H947">
        <v>150000</v>
      </c>
      <c r="I947">
        <v>295000</v>
      </c>
      <c r="J947" t="s">
        <v>92</v>
      </c>
      <c r="K947" t="s">
        <v>93</v>
      </c>
      <c r="L947" t="s">
        <v>53</v>
      </c>
      <c r="M947" t="s">
        <v>54</v>
      </c>
      <c r="N947" t="s">
        <v>165</v>
      </c>
      <c r="O947" t="s">
        <v>2022</v>
      </c>
      <c r="P947">
        <v>16</v>
      </c>
      <c r="Q947">
        <v>95</v>
      </c>
      <c r="R947">
        <v>82</v>
      </c>
      <c r="S947">
        <v>6.1</v>
      </c>
      <c r="T947">
        <v>2026</v>
      </c>
      <c r="U947">
        <v>1</v>
      </c>
      <c r="V947">
        <v>1</v>
      </c>
      <c r="W947" t="s">
        <v>47</v>
      </c>
      <c r="X947" t="s">
        <v>37</v>
      </c>
      <c r="Y947" t="s">
        <v>95</v>
      </c>
    </row>
    <row r="948" spans="1:25" x14ac:dyDescent="0.35">
      <c r="A948" t="s">
        <v>2023</v>
      </c>
      <c r="B948" t="s">
        <v>609</v>
      </c>
      <c r="C948" t="s">
        <v>124</v>
      </c>
      <c r="D948" t="s">
        <v>74</v>
      </c>
      <c r="E948">
        <v>10</v>
      </c>
      <c r="F948" t="s">
        <v>128</v>
      </c>
      <c r="G948">
        <v>143000</v>
      </c>
      <c r="H948">
        <v>115000</v>
      </c>
      <c r="I948">
        <v>280000</v>
      </c>
      <c r="J948" t="s">
        <v>191</v>
      </c>
      <c r="K948" t="s">
        <v>31</v>
      </c>
      <c r="L948" t="s">
        <v>44</v>
      </c>
      <c r="M948" t="s">
        <v>82</v>
      </c>
      <c r="N948" t="s">
        <v>110</v>
      </c>
      <c r="O948" t="s">
        <v>2024</v>
      </c>
      <c r="P948">
        <v>14.2</v>
      </c>
      <c r="Q948">
        <v>88</v>
      </c>
      <c r="R948">
        <v>25.8</v>
      </c>
      <c r="S948">
        <v>9.6</v>
      </c>
      <c r="T948">
        <v>2025</v>
      </c>
      <c r="U948">
        <v>5</v>
      </c>
      <c r="V948">
        <v>0</v>
      </c>
      <c r="W948" t="s">
        <v>47</v>
      </c>
      <c r="X948" t="s">
        <v>64</v>
      </c>
      <c r="Y948" t="s">
        <v>95</v>
      </c>
    </row>
    <row r="949" spans="1:25" x14ac:dyDescent="0.35">
      <c r="A949" t="s">
        <v>2025</v>
      </c>
      <c r="B949" t="s">
        <v>127</v>
      </c>
      <c r="C949" t="s">
        <v>27</v>
      </c>
      <c r="D949" t="s">
        <v>81</v>
      </c>
      <c r="E949">
        <v>10</v>
      </c>
      <c r="F949" t="s">
        <v>51</v>
      </c>
      <c r="G949">
        <v>143000</v>
      </c>
      <c r="H949">
        <v>120000</v>
      </c>
      <c r="I949">
        <v>280000</v>
      </c>
      <c r="J949" t="s">
        <v>137</v>
      </c>
      <c r="K949" t="s">
        <v>138</v>
      </c>
      <c r="L949" t="s">
        <v>44</v>
      </c>
      <c r="M949" t="s">
        <v>82</v>
      </c>
      <c r="N949" t="s">
        <v>83</v>
      </c>
      <c r="O949" t="s">
        <v>2026</v>
      </c>
      <c r="P949">
        <v>16</v>
      </c>
      <c r="Q949">
        <v>97</v>
      </c>
      <c r="R949">
        <v>57.7</v>
      </c>
      <c r="S949">
        <v>8.6</v>
      </c>
      <c r="T949">
        <v>2025</v>
      </c>
      <c r="U949">
        <v>9</v>
      </c>
      <c r="V949">
        <v>0</v>
      </c>
      <c r="W949" t="s">
        <v>47</v>
      </c>
      <c r="X949" t="s">
        <v>64</v>
      </c>
      <c r="Y949" t="s">
        <v>95</v>
      </c>
    </row>
    <row r="950" spans="1:25" x14ac:dyDescent="0.35">
      <c r="A950" t="s">
        <v>2027</v>
      </c>
      <c r="B950" t="s">
        <v>149</v>
      </c>
      <c r="C950" t="s">
        <v>150</v>
      </c>
      <c r="D950" t="s">
        <v>81</v>
      </c>
      <c r="E950">
        <v>8</v>
      </c>
      <c r="F950" t="s">
        <v>29</v>
      </c>
      <c r="G950">
        <v>189000</v>
      </c>
      <c r="H950">
        <v>130000</v>
      </c>
      <c r="I950">
        <v>260000</v>
      </c>
      <c r="J950" t="s">
        <v>142</v>
      </c>
      <c r="K950" t="s">
        <v>143</v>
      </c>
      <c r="L950" t="s">
        <v>32</v>
      </c>
      <c r="M950" t="s">
        <v>54</v>
      </c>
      <c r="N950" t="s">
        <v>34</v>
      </c>
      <c r="O950" t="s">
        <v>2028</v>
      </c>
      <c r="P950">
        <v>8.5</v>
      </c>
      <c r="Q950">
        <v>93</v>
      </c>
      <c r="R950">
        <v>53.8</v>
      </c>
      <c r="S950">
        <v>9.6999999999999993</v>
      </c>
      <c r="T950">
        <v>2025</v>
      </c>
      <c r="U950">
        <v>12</v>
      </c>
      <c r="V950">
        <v>0</v>
      </c>
      <c r="W950" t="s">
        <v>36</v>
      </c>
      <c r="X950" t="s">
        <v>64</v>
      </c>
      <c r="Y950" t="s">
        <v>48</v>
      </c>
    </row>
    <row r="951" spans="1:25" x14ac:dyDescent="0.35">
      <c r="A951" t="s">
        <v>2029</v>
      </c>
      <c r="B951" t="s">
        <v>58</v>
      </c>
      <c r="C951" t="s">
        <v>59</v>
      </c>
      <c r="D951" t="s">
        <v>74</v>
      </c>
      <c r="E951">
        <v>2</v>
      </c>
      <c r="F951" t="s">
        <v>41</v>
      </c>
      <c r="G951">
        <v>130000</v>
      </c>
      <c r="H951">
        <v>130000</v>
      </c>
      <c r="I951">
        <v>220000</v>
      </c>
      <c r="J951" t="s">
        <v>102</v>
      </c>
      <c r="K951" t="s">
        <v>103</v>
      </c>
      <c r="L951" t="s">
        <v>44</v>
      </c>
      <c r="M951" t="s">
        <v>45</v>
      </c>
      <c r="N951" t="s">
        <v>124</v>
      </c>
      <c r="O951" t="s">
        <v>2030</v>
      </c>
      <c r="P951">
        <v>14</v>
      </c>
      <c r="Q951">
        <v>88</v>
      </c>
      <c r="R951">
        <v>23.4</v>
      </c>
      <c r="S951">
        <v>9.4</v>
      </c>
      <c r="T951">
        <v>2025</v>
      </c>
      <c r="U951">
        <v>2</v>
      </c>
      <c r="V951">
        <v>0</v>
      </c>
      <c r="W951" t="s">
        <v>47</v>
      </c>
      <c r="X951" t="s">
        <v>64</v>
      </c>
      <c r="Y951" t="s">
        <v>95</v>
      </c>
    </row>
    <row r="952" spans="1:25" x14ac:dyDescent="0.35">
      <c r="A952" t="s">
        <v>2031</v>
      </c>
      <c r="B952" t="s">
        <v>609</v>
      </c>
      <c r="C952" t="s">
        <v>124</v>
      </c>
      <c r="D952" t="s">
        <v>68</v>
      </c>
      <c r="E952">
        <v>7</v>
      </c>
      <c r="F952" t="s">
        <v>69</v>
      </c>
      <c r="G952">
        <v>232000</v>
      </c>
      <c r="H952">
        <v>115000</v>
      </c>
      <c r="I952">
        <v>280000</v>
      </c>
      <c r="J952" t="s">
        <v>75</v>
      </c>
      <c r="K952" t="s">
        <v>31</v>
      </c>
      <c r="L952" t="s">
        <v>32</v>
      </c>
      <c r="M952" t="s">
        <v>61</v>
      </c>
      <c r="N952" t="s">
        <v>110</v>
      </c>
      <c r="O952" t="s">
        <v>2032</v>
      </c>
      <c r="P952">
        <v>9.1</v>
      </c>
      <c r="Q952">
        <v>88</v>
      </c>
      <c r="R952">
        <v>9.4</v>
      </c>
      <c r="S952">
        <v>8.6</v>
      </c>
      <c r="T952">
        <v>2026</v>
      </c>
      <c r="U952">
        <v>2</v>
      </c>
      <c r="V952">
        <v>1</v>
      </c>
      <c r="W952" t="s">
        <v>36</v>
      </c>
      <c r="X952" t="s">
        <v>64</v>
      </c>
      <c r="Y952" t="s">
        <v>38</v>
      </c>
    </row>
    <row r="953" spans="1:25" x14ac:dyDescent="0.35">
      <c r="A953" t="s">
        <v>2033</v>
      </c>
      <c r="B953" t="s">
        <v>153</v>
      </c>
      <c r="C953" t="s">
        <v>154</v>
      </c>
      <c r="D953" t="s">
        <v>81</v>
      </c>
      <c r="E953">
        <v>8</v>
      </c>
      <c r="F953" t="s">
        <v>41</v>
      </c>
      <c r="G953">
        <v>99000</v>
      </c>
      <c r="H953">
        <v>95000</v>
      </c>
      <c r="I953">
        <v>180000</v>
      </c>
      <c r="J953" t="s">
        <v>137</v>
      </c>
      <c r="K953" t="s">
        <v>138</v>
      </c>
      <c r="L953" t="s">
        <v>44</v>
      </c>
      <c r="M953" t="s">
        <v>61</v>
      </c>
      <c r="N953" t="s">
        <v>110</v>
      </c>
      <c r="O953" t="s">
        <v>2034</v>
      </c>
      <c r="P953">
        <v>13.2</v>
      </c>
      <c r="Q953">
        <v>78</v>
      </c>
      <c r="R953">
        <v>17.7</v>
      </c>
      <c r="S953">
        <v>8.1999999999999993</v>
      </c>
      <c r="T953">
        <v>2025</v>
      </c>
      <c r="U953">
        <v>5</v>
      </c>
      <c r="V953">
        <v>0</v>
      </c>
      <c r="W953" t="s">
        <v>47</v>
      </c>
      <c r="X953" t="s">
        <v>64</v>
      </c>
      <c r="Y953" t="s">
        <v>98</v>
      </c>
    </row>
    <row r="954" spans="1:25" x14ac:dyDescent="0.35">
      <c r="A954" t="s">
        <v>2035</v>
      </c>
      <c r="B954" t="s">
        <v>100</v>
      </c>
      <c r="C954" t="s">
        <v>101</v>
      </c>
      <c r="D954" t="s">
        <v>74</v>
      </c>
      <c r="E954">
        <v>12</v>
      </c>
      <c r="F954" t="s">
        <v>128</v>
      </c>
      <c r="G954">
        <v>258000</v>
      </c>
      <c r="H954">
        <v>180000</v>
      </c>
      <c r="I954">
        <v>320000</v>
      </c>
      <c r="J954" t="s">
        <v>174</v>
      </c>
      <c r="K954" t="s">
        <v>31</v>
      </c>
      <c r="L954" t="s">
        <v>44</v>
      </c>
      <c r="M954" t="s">
        <v>61</v>
      </c>
      <c r="N954" t="s">
        <v>76</v>
      </c>
      <c r="O954" t="s">
        <v>2036</v>
      </c>
      <c r="P954">
        <v>14.6</v>
      </c>
      <c r="Q954">
        <v>84</v>
      </c>
      <c r="R954">
        <v>9</v>
      </c>
      <c r="S954">
        <v>9.3000000000000007</v>
      </c>
      <c r="T954">
        <v>2026</v>
      </c>
      <c r="U954">
        <v>2</v>
      </c>
      <c r="V954">
        <v>0</v>
      </c>
      <c r="W954" t="s">
        <v>47</v>
      </c>
      <c r="X954" t="s">
        <v>64</v>
      </c>
      <c r="Y954" t="s">
        <v>38</v>
      </c>
    </row>
    <row r="955" spans="1:25" x14ac:dyDescent="0.35">
      <c r="A955" t="s">
        <v>2037</v>
      </c>
      <c r="B955" t="s">
        <v>91</v>
      </c>
      <c r="C955" t="s">
        <v>27</v>
      </c>
      <c r="D955" t="s">
        <v>68</v>
      </c>
      <c r="E955">
        <v>5</v>
      </c>
      <c r="F955" t="s">
        <v>69</v>
      </c>
      <c r="G955">
        <v>193000</v>
      </c>
      <c r="H955">
        <v>145000</v>
      </c>
      <c r="I955">
        <v>290000</v>
      </c>
      <c r="J955" t="s">
        <v>142</v>
      </c>
      <c r="K955" t="s">
        <v>143</v>
      </c>
      <c r="L955" t="s">
        <v>44</v>
      </c>
      <c r="M955" t="s">
        <v>61</v>
      </c>
      <c r="N955" t="s">
        <v>83</v>
      </c>
      <c r="O955" t="s">
        <v>2038</v>
      </c>
      <c r="P955">
        <v>4</v>
      </c>
      <c r="Q955">
        <v>91</v>
      </c>
      <c r="R955">
        <v>59.1</v>
      </c>
      <c r="S955">
        <v>6.1</v>
      </c>
      <c r="T955">
        <v>2025</v>
      </c>
      <c r="U955">
        <v>12</v>
      </c>
      <c r="V955">
        <v>1</v>
      </c>
      <c r="W955" t="s">
        <v>47</v>
      </c>
      <c r="X955" t="s">
        <v>64</v>
      </c>
      <c r="Y955" t="s">
        <v>48</v>
      </c>
    </row>
    <row r="956" spans="1:25" x14ac:dyDescent="0.35">
      <c r="A956" t="s">
        <v>2039</v>
      </c>
      <c r="B956" t="s">
        <v>609</v>
      </c>
      <c r="C956" t="s">
        <v>124</v>
      </c>
      <c r="D956" t="s">
        <v>28</v>
      </c>
      <c r="E956">
        <v>10</v>
      </c>
      <c r="F956" t="s">
        <v>41</v>
      </c>
      <c r="G956">
        <v>271000</v>
      </c>
      <c r="H956">
        <v>115000</v>
      </c>
      <c r="I956">
        <v>280000</v>
      </c>
      <c r="J956" t="s">
        <v>191</v>
      </c>
      <c r="K956" t="s">
        <v>31</v>
      </c>
      <c r="L956" t="s">
        <v>32</v>
      </c>
      <c r="M956" t="s">
        <v>54</v>
      </c>
      <c r="N956" t="s">
        <v>76</v>
      </c>
      <c r="O956" t="s">
        <v>2040</v>
      </c>
      <c r="P956">
        <v>14.7</v>
      </c>
      <c r="Q956">
        <v>88</v>
      </c>
      <c r="R956">
        <v>25.3</v>
      </c>
      <c r="S956">
        <v>8.5</v>
      </c>
      <c r="T956">
        <v>2025</v>
      </c>
      <c r="U956">
        <v>10</v>
      </c>
      <c r="V956">
        <v>1</v>
      </c>
      <c r="W956" t="s">
        <v>36</v>
      </c>
      <c r="X956" t="s">
        <v>64</v>
      </c>
      <c r="Y956" t="s">
        <v>38</v>
      </c>
    </row>
    <row r="957" spans="1:25" x14ac:dyDescent="0.35">
      <c r="A957" t="s">
        <v>2041</v>
      </c>
      <c r="B957" t="s">
        <v>134</v>
      </c>
      <c r="C957" t="s">
        <v>27</v>
      </c>
      <c r="D957" t="s">
        <v>74</v>
      </c>
      <c r="E957">
        <v>4</v>
      </c>
      <c r="F957" t="s">
        <v>69</v>
      </c>
      <c r="G957">
        <v>150000</v>
      </c>
      <c r="H957">
        <v>150000</v>
      </c>
      <c r="I957">
        <v>295000</v>
      </c>
      <c r="J957" t="s">
        <v>129</v>
      </c>
      <c r="K957" t="s">
        <v>130</v>
      </c>
      <c r="L957" t="s">
        <v>53</v>
      </c>
      <c r="M957" t="s">
        <v>61</v>
      </c>
      <c r="N957" t="s">
        <v>71</v>
      </c>
      <c r="O957" t="s">
        <v>2042</v>
      </c>
      <c r="P957">
        <v>10.199999999999999</v>
      </c>
      <c r="Q957">
        <v>95</v>
      </c>
      <c r="R957">
        <v>54.3</v>
      </c>
      <c r="S957">
        <v>9.1999999999999993</v>
      </c>
      <c r="T957">
        <v>2025</v>
      </c>
      <c r="U957">
        <v>10</v>
      </c>
      <c r="V957">
        <v>0</v>
      </c>
      <c r="W957" t="s">
        <v>47</v>
      </c>
      <c r="X957" t="s">
        <v>37</v>
      </c>
      <c r="Y957" t="s">
        <v>95</v>
      </c>
    </row>
    <row r="958" spans="1:25" x14ac:dyDescent="0.35">
      <c r="A958" t="s">
        <v>2043</v>
      </c>
      <c r="B958" t="s">
        <v>163</v>
      </c>
      <c r="C958" t="s">
        <v>164</v>
      </c>
      <c r="D958" t="s">
        <v>74</v>
      </c>
      <c r="E958">
        <v>5</v>
      </c>
      <c r="F958" t="s">
        <v>41</v>
      </c>
      <c r="G958">
        <v>125000</v>
      </c>
      <c r="H958">
        <v>125000</v>
      </c>
      <c r="I958">
        <v>240000</v>
      </c>
      <c r="J958" t="s">
        <v>42</v>
      </c>
      <c r="K958" t="s">
        <v>43</v>
      </c>
      <c r="L958" t="s">
        <v>44</v>
      </c>
      <c r="M958" t="s">
        <v>61</v>
      </c>
      <c r="N958" t="s">
        <v>124</v>
      </c>
      <c r="O958" t="s">
        <v>2044</v>
      </c>
      <c r="P958">
        <v>9.5</v>
      </c>
      <c r="Q958">
        <v>76</v>
      </c>
      <c r="R958">
        <v>15.9</v>
      </c>
      <c r="S958">
        <v>7.6</v>
      </c>
      <c r="T958">
        <v>2026</v>
      </c>
      <c r="U958">
        <v>2</v>
      </c>
      <c r="V958">
        <v>0</v>
      </c>
      <c r="W958" t="s">
        <v>47</v>
      </c>
      <c r="X958" t="s">
        <v>64</v>
      </c>
      <c r="Y958" t="s">
        <v>95</v>
      </c>
    </row>
    <row r="959" spans="1:25" x14ac:dyDescent="0.35">
      <c r="A959" t="s">
        <v>2045</v>
      </c>
      <c r="B959" t="s">
        <v>149</v>
      </c>
      <c r="C959" t="s">
        <v>150</v>
      </c>
      <c r="D959" t="s">
        <v>74</v>
      </c>
      <c r="E959">
        <v>7</v>
      </c>
      <c r="F959" t="s">
        <v>51</v>
      </c>
      <c r="G959">
        <v>130000</v>
      </c>
      <c r="H959">
        <v>130000</v>
      </c>
      <c r="I959">
        <v>260000</v>
      </c>
      <c r="J959" t="s">
        <v>174</v>
      </c>
      <c r="K959" t="s">
        <v>31</v>
      </c>
      <c r="L959" t="s">
        <v>44</v>
      </c>
      <c r="M959" t="s">
        <v>33</v>
      </c>
      <c r="N959" t="s">
        <v>88</v>
      </c>
      <c r="O959" t="s">
        <v>2046</v>
      </c>
      <c r="P959">
        <v>13.2</v>
      </c>
      <c r="Q959">
        <v>93</v>
      </c>
      <c r="R959">
        <v>32.9</v>
      </c>
      <c r="S959">
        <v>7.2</v>
      </c>
      <c r="T959">
        <v>2025</v>
      </c>
      <c r="U959">
        <v>12</v>
      </c>
      <c r="V959">
        <v>0</v>
      </c>
      <c r="W959" t="s">
        <v>47</v>
      </c>
      <c r="X959" t="s">
        <v>64</v>
      </c>
      <c r="Y959" t="s">
        <v>95</v>
      </c>
    </row>
    <row r="960" spans="1:25" x14ac:dyDescent="0.35">
      <c r="A960" t="s">
        <v>2047</v>
      </c>
      <c r="B960" t="s">
        <v>50</v>
      </c>
      <c r="C960" t="s">
        <v>27</v>
      </c>
      <c r="D960" t="s">
        <v>68</v>
      </c>
      <c r="E960">
        <v>2</v>
      </c>
      <c r="F960" t="s">
        <v>128</v>
      </c>
      <c r="G960">
        <v>337000</v>
      </c>
      <c r="H960">
        <v>160000</v>
      </c>
      <c r="I960">
        <v>300000</v>
      </c>
      <c r="J960" t="s">
        <v>137</v>
      </c>
      <c r="K960" t="s">
        <v>138</v>
      </c>
      <c r="L960" t="s">
        <v>32</v>
      </c>
      <c r="M960" t="s">
        <v>82</v>
      </c>
      <c r="N960" t="s">
        <v>131</v>
      </c>
      <c r="O960" t="s">
        <v>2048</v>
      </c>
      <c r="P960">
        <v>4.3</v>
      </c>
      <c r="Q960">
        <v>98</v>
      </c>
      <c r="R960">
        <v>37.299999999999997</v>
      </c>
      <c r="S960">
        <v>6.2</v>
      </c>
      <c r="T960">
        <v>2025</v>
      </c>
      <c r="U960">
        <v>10</v>
      </c>
      <c r="V960">
        <v>1</v>
      </c>
      <c r="W960" t="s">
        <v>36</v>
      </c>
      <c r="X960" t="s">
        <v>37</v>
      </c>
      <c r="Y960" t="s">
        <v>56</v>
      </c>
    </row>
    <row r="961" spans="1:25" x14ac:dyDescent="0.35">
      <c r="A961" t="s">
        <v>2049</v>
      </c>
      <c r="B961" t="s">
        <v>224</v>
      </c>
      <c r="C961" t="s">
        <v>27</v>
      </c>
      <c r="D961" t="s">
        <v>74</v>
      </c>
      <c r="E961">
        <v>4</v>
      </c>
      <c r="F961" t="s">
        <v>128</v>
      </c>
      <c r="G961">
        <v>145000</v>
      </c>
      <c r="H961">
        <v>145000</v>
      </c>
      <c r="I961">
        <v>280000</v>
      </c>
      <c r="J961" t="s">
        <v>102</v>
      </c>
      <c r="K961" t="s">
        <v>103</v>
      </c>
      <c r="L961" t="s">
        <v>44</v>
      </c>
      <c r="M961" t="s">
        <v>61</v>
      </c>
      <c r="N961" t="s">
        <v>165</v>
      </c>
      <c r="O961" t="s">
        <v>2050</v>
      </c>
      <c r="P961">
        <v>9.8000000000000007</v>
      </c>
      <c r="Q961">
        <v>87</v>
      </c>
      <c r="R961">
        <v>11.9</v>
      </c>
      <c r="S961">
        <v>8.6</v>
      </c>
      <c r="T961">
        <v>2025</v>
      </c>
      <c r="U961">
        <v>3</v>
      </c>
      <c r="V961">
        <v>0</v>
      </c>
      <c r="W961" t="s">
        <v>47</v>
      </c>
      <c r="X961" t="s">
        <v>64</v>
      </c>
      <c r="Y961" t="s">
        <v>95</v>
      </c>
    </row>
    <row r="962" spans="1:25" x14ac:dyDescent="0.35">
      <c r="A962" t="s">
        <v>2051</v>
      </c>
      <c r="B962" t="s">
        <v>79</v>
      </c>
      <c r="C962" t="s">
        <v>80</v>
      </c>
      <c r="D962" t="s">
        <v>74</v>
      </c>
      <c r="E962">
        <v>9</v>
      </c>
      <c r="F962" t="s">
        <v>41</v>
      </c>
      <c r="G962">
        <v>140000</v>
      </c>
      <c r="H962">
        <v>140000</v>
      </c>
      <c r="I962">
        <v>260000</v>
      </c>
      <c r="J962" t="s">
        <v>70</v>
      </c>
      <c r="K962" t="s">
        <v>31</v>
      </c>
      <c r="L962" t="s">
        <v>53</v>
      </c>
      <c r="M962" t="s">
        <v>33</v>
      </c>
      <c r="N962" t="s">
        <v>83</v>
      </c>
      <c r="O962" t="s">
        <v>2052</v>
      </c>
      <c r="P962">
        <v>15.5</v>
      </c>
      <c r="Q962">
        <v>80</v>
      </c>
      <c r="R962">
        <v>18.5</v>
      </c>
      <c r="S962">
        <v>6.7</v>
      </c>
      <c r="T962">
        <v>2025</v>
      </c>
      <c r="U962">
        <v>2</v>
      </c>
      <c r="V962">
        <v>0</v>
      </c>
      <c r="W962" t="s">
        <v>47</v>
      </c>
      <c r="X962" t="s">
        <v>64</v>
      </c>
      <c r="Y962" t="s">
        <v>95</v>
      </c>
    </row>
    <row r="963" spans="1:25" x14ac:dyDescent="0.35">
      <c r="A963" t="s">
        <v>2053</v>
      </c>
      <c r="B963" t="s">
        <v>196</v>
      </c>
      <c r="C963" t="s">
        <v>27</v>
      </c>
      <c r="D963" t="s">
        <v>28</v>
      </c>
      <c r="E963">
        <v>6</v>
      </c>
      <c r="F963" t="s">
        <v>29</v>
      </c>
      <c r="G963">
        <v>135000</v>
      </c>
      <c r="H963">
        <v>100000</v>
      </c>
      <c r="I963">
        <v>250000</v>
      </c>
      <c r="J963" t="s">
        <v>113</v>
      </c>
      <c r="K963" t="s">
        <v>114</v>
      </c>
      <c r="L963" t="s">
        <v>53</v>
      </c>
      <c r="M963" t="s">
        <v>33</v>
      </c>
      <c r="N963" t="s">
        <v>119</v>
      </c>
      <c r="O963" t="s">
        <v>2054</v>
      </c>
      <c r="P963">
        <v>15.7</v>
      </c>
      <c r="Q963">
        <v>95</v>
      </c>
      <c r="R963">
        <v>19.600000000000001</v>
      </c>
      <c r="S963">
        <v>7.7</v>
      </c>
      <c r="T963">
        <v>2026</v>
      </c>
      <c r="U963">
        <v>2</v>
      </c>
      <c r="V963">
        <v>1</v>
      </c>
      <c r="W963" t="s">
        <v>47</v>
      </c>
      <c r="X963" t="s">
        <v>64</v>
      </c>
      <c r="Y963" t="s">
        <v>95</v>
      </c>
    </row>
    <row r="964" spans="1:25" x14ac:dyDescent="0.35">
      <c r="A964" t="s">
        <v>2055</v>
      </c>
      <c r="B964" t="s">
        <v>609</v>
      </c>
      <c r="C964" t="s">
        <v>124</v>
      </c>
      <c r="D964" t="s">
        <v>81</v>
      </c>
      <c r="E964">
        <v>12</v>
      </c>
      <c r="F964" t="s">
        <v>29</v>
      </c>
      <c r="G964">
        <v>173000</v>
      </c>
      <c r="H964">
        <v>115000</v>
      </c>
      <c r="I964">
        <v>280000</v>
      </c>
      <c r="J964" t="s">
        <v>170</v>
      </c>
      <c r="K964" t="s">
        <v>171</v>
      </c>
      <c r="L964" t="s">
        <v>44</v>
      </c>
      <c r="M964" t="s">
        <v>45</v>
      </c>
      <c r="N964" t="s">
        <v>88</v>
      </c>
      <c r="O964" t="s">
        <v>2056</v>
      </c>
      <c r="P964">
        <v>15.5</v>
      </c>
      <c r="Q964">
        <v>88</v>
      </c>
      <c r="R964">
        <v>17.600000000000001</v>
      </c>
      <c r="S964">
        <v>8.4</v>
      </c>
      <c r="T964">
        <v>2026</v>
      </c>
      <c r="U964">
        <v>3</v>
      </c>
      <c r="V964">
        <v>0</v>
      </c>
      <c r="W964" t="s">
        <v>47</v>
      </c>
      <c r="X964" t="s">
        <v>64</v>
      </c>
      <c r="Y964" t="s">
        <v>48</v>
      </c>
    </row>
    <row r="965" spans="1:25" x14ac:dyDescent="0.35">
      <c r="A965" t="s">
        <v>2057</v>
      </c>
      <c r="B965" t="s">
        <v>233</v>
      </c>
      <c r="C965" t="s">
        <v>180</v>
      </c>
      <c r="D965" t="s">
        <v>68</v>
      </c>
      <c r="E965">
        <v>9</v>
      </c>
      <c r="F965" t="s">
        <v>69</v>
      </c>
      <c r="G965">
        <v>135000</v>
      </c>
      <c r="H965">
        <v>100000</v>
      </c>
      <c r="I965">
        <v>200000</v>
      </c>
      <c r="J965" t="s">
        <v>137</v>
      </c>
      <c r="K965" t="s">
        <v>138</v>
      </c>
      <c r="L965" t="s">
        <v>32</v>
      </c>
      <c r="M965" t="s">
        <v>61</v>
      </c>
      <c r="N965" t="s">
        <v>131</v>
      </c>
      <c r="O965" t="s">
        <v>2058</v>
      </c>
      <c r="P965">
        <v>10.3</v>
      </c>
      <c r="Q965">
        <v>68</v>
      </c>
      <c r="R965">
        <v>20.2</v>
      </c>
      <c r="S965">
        <v>6.4</v>
      </c>
      <c r="T965">
        <v>2026</v>
      </c>
      <c r="U965">
        <v>3</v>
      </c>
      <c r="V965">
        <v>1</v>
      </c>
      <c r="W965" t="s">
        <v>36</v>
      </c>
      <c r="X965" t="s">
        <v>64</v>
      </c>
      <c r="Y965" t="s">
        <v>95</v>
      </c>
    </row>
    <row r="966" spans="1:25" x14ac:dyDescent="0.35">
      <c r="A966" t="s">
        <v>2059</v>
      </c>
      <c r="B966" t="s">
        <v>134</v>
      </c>
      <c r="C966" t="s">
        <v>27</v>
      </c>
      <c r="D966" t="s">
        <v>81</v>
      </c>
      <c r="E966">
        <v>7</v>
      </c>
      <c r="F966" t="s">
        <v>69</v>
      </c>
      <c r="G966">
        <v>162000</v>
      </c>
      <c r="H966">
        <v>150000</v>
      </c>
      <c r="I966">
        <v>295000</v>
      </c>
      <c r="J966" t="s">
        <v>42</v>
      </c>
      <c r="K966" t="s">
        <v>43</v>
      </c>
      <c r="L966" t="s">
        <v>44</v>
      </c>
      <c r="M966" t="s">
        <v>82</v>
      </c>
      <c r="N966" t="s">
        <v>88</v>
      </c>
      <c r="O966" t="s">
        <v>2060</v>
      </c>
      <c r="P966">
        <v>14.5</v>
      </c>
      <c r="Q966">
        <v>95</v>
      </c>
      <c r="R966">
        <v>45.8</v>
      </c>
      <c r="S966">
        <v>8.4</v>
      </c>
      <c r="T966">
        <v>2025</v>
      </c>
      <c r="U966">
        <v>10</v>
      </c>
      <c r="V966">
        <v>0</v>
      </c>
      <c r="W966" t="s">
        <v>47</v>
      </c>
      <c r="X966" t="s">
        <v>37</v>
      </c>
      <c r="Y966" t="s">
        <v>48</v>
      </c>
    </row>
    <row r="967" spans="1:25" x14ac:dyDescent="0.35">
      <c r="A967" t="s">
        <v>2061</v>
      </c>
      <c r="B967" t="s">
        <v>609</v>
      </c>
      <c r="C967" t="s">
        <v>124</v>
      </c>
      <c r="D967" t="s">
        <v>74</v>
      </c>
      <c r="E967">
        <v>5</v>
      </c>
      <c r="F967" t="s">
        <v>128</v>
      </c>
      <c r="G967">
        <v>262000</v>
      </c>
      <c r="H967">
        <v>115000</v>
      </c>
      <c r="I967">
        <v>280000</v>
      </c>
      <c r="J967" t="s">
        <v>174</v>
      </c>
      <c r="K967" t="s">
        <v>31</v>
      </c>
      <c r="L967" t="s">
        <v>44</v>
      </c>
      <c r="M967" t="s">
        <v>54</v>
      </c>
      <c r="N967" t="s">
        <v>155</v>
      </c>
      <c r="O967" t="s">
        <v>2062</v>
      </c>
      <c r="P967">
        <v>11.5</v>
      </c>
      <c r="Q967">
        <v>88</v>
      </c>
      <c r="R967">
        <v>19.8</v>
      </c>
      <c r="S967">
        <v>8.1999999999999993</v>
      </c>
      <c r="T967">
        <v>2026</v>
      </c>
      <c r="U967">
        <v>1</v>
      </c>
      <c r="V967">
        <v>0</v>
      </c>
      <c r="W967" t="s">
        <v>47</v>
      </c>
      <c r="X967" t="s">
        <v>64</v>
      </c>
      <c r="Y967" t="s">
        <v>38</v>
      </c>
    </row>
    <row r="968" spans="1:25" x14ac:dyDescent="0.35">
      <c r="A968" t="s">
        <v>2063</v>
      </c>
      <c r="B968" t="s">
        <v>163</v>
      </c>
      <c r="C968" t="s">
        <v>164</v>
      </c>
      <c r="D968" t="s">
        <v>68</v>
      </c>
      <c r="E968">
        <v>3</v>
      </c>
      <c r="F968" t="s">
        <v>29</v>
      </c>
      <c r="G968">
        <v>224000</v>
      </c>
      <c r="H968">
        <v>125000</v>
      </c>
      <c r="I968">
        <v>240000</v>
      </c>
      <c r="J968" t="s">
        <v>129</v>
      </c>
      <c r="K968" t="s">
        <v>130</v>
      </c>
      <c r="L968" t="s">
        <v>44</v>
      </c>
      <c r="M968" t="s">
        <v>82</v>
      </c>
      <c r="N968" t="s">
        <v>131</v>
      </c>
      <c r="O968" t="s">
        <v>2064</v>
      </c>
      <c r="P968">
        <v>11.5</v>
      </c>
      <c r="Q968">
        <v>76</v>
      </c>
      <c r="R968">
        <v>25.7</v>
      </c>
      <c r="S968">
        <v>6.5</v>
      </c>
      <c r="T968">
        <v>2026</v>
      </c>
      <c r="U968">
        <v>2</v>
      </c>
      <c r="V968">
        <v>1</v>
      </c>
      <c r="W968" t="s">
        <v>47</v>
      </c>
      <c r="X968" t="s">
        <v>64</v>
      </c>
      <c r="Y968" t="s">
        <v>38</v>
      </c>
    </row>
    <row r="969" spans="1:25" x14ac:dyDescent="0.35">
      <c r="A969" t="s">
        <v>2065</v>
      </c>
      <c r="B969" t="s">
        <v>158</v>
      </c>
      <c r="C969" t="s">
        <v>27</v>
      </c>
      <c r="D969" t="s">
        <v>81</v>
      </c>
      <c r="E969">
        <v>6</v>
      </c>
      <c r="F969" t="s">
        <v>128</v>
      </c>
      <c r="G969">
        <v>254000</v>
      </c>
      <c r="H969">
        <v>145000</v>
      </c>
      <c r="I969">
        <v>280000</v>
      </c>
      <c r="J969" t="s">
        <v>117</v>
      </c>
      <c r="K969" t="s">
        <v>118</v>
      </c>
      <c r="L969" t="s">
        <v>32</v>
      </c>
      <c r="M969" t="s">
        <v>54</v>
      </c>
      <c r="N969" t="s">
        <v>165</v>
      </c>
      <c r="O969" t="s">
        <v>2066</v>
      </c>
      <c r="P969">
        <v>4.9000000000000004</v>
      </c>
      <c r="Q969">
        <v>94</v>
      </c>
      <c r="R969">
        <v>49.7</v>
      </c>
      <c r="S969">
        <v>8.9</v>
      </c>
      <c r="T969">
        <v>2026</v>
      </c>
      <c r="U969">
        <v>3</v>
      </c>
      <c r="V969">
        <v>0</v>
      </c>
      <c r="W969" t="s">
        <v>36</v>
      </c>
      <c r="X969" t="s">
        <v>37</v>
      </c>
      <c r="Y969" t="s">
        <v>38</v>
      </c>
    </row>
    <row r="970" spans="1:25" x14ac:dyDescent="0.35">
      <c r="A970" t="s">
        <v>2067</v>
      </c>
      <c r="B970" t="s">
        <v>149</v>
      </c>
      <c r="C970" t="s">
        <v>150</v>
      </c>
      <c r="D970" t="s">
        <v>68</v>
      </c>
      <c r="E970">
        <v>3</v>
      </c>
      <c r="F970" t="s">
        <v>69</v>
      </c>
      <c r="G970">
        <v>267000</v>
      </c>
      <c r="H970">
        <v>130000</v>
      </c>
      <c r="I970">
        <v>260000</v>
      </c>
      <c r="J970" t="s">
        <v>52</v>
      </c>
      <c r="K970" t="s">
        <v>31</v>
      </c>
      <c r="L970" t="s">
        <v>32</v>
      </c>
      <c r="M970" t="s">
        <v>45</v>
      </c>
      <c r="N970" t="s">
        <v>110</v>
      </c>
      <c r="O970" t="s">
        <v>2068</v>
      </c>
      <c r="P970">
        <v>13.1</v>
      </c>
      <c r="Q970">
        <v>93</v>
      </c>
      <c r="R970">
        <v>73.599999999999994</v>
      </c>
      <c r="S970">
        <v>9</v>
      </c>
      <c r="T970">
        <v>2026</v>
      </c>
      <c r="U970">
        <v>1</v>
      </c>
      <c r="V970">
        <v>1</v>
      </c>
      <c r="W970" t="s">
        <v>36</v>
      </c>
      <c r="X970" t="s">
        <v>64</v>
      </c>
      <c r="Y970" t="s">
        <v>38</v>
      </c>
    </row>
    <row r="971" spans="1:25" x14ac:dyDescent="0.35">
      <c r="A971" t="s">
        <v>2069</v>
      </c>
      <c r="B971" t="s">
        <v>40</v>
      </c>
      <c r="C971" t="s">
        <v>27</v>
      </c>
      <c r="D971" t="s">
        <v>28</v>
      </c>
      <c r="E971">
        <v>3</v>
      </c>
      <c r="F971" t="s">
        <v>69</v>
      </c>
      <c r="G971">
        <v>135000</v>
      </c>
      <c r="H971">
        <v>90000</v>
      </c>
      <c r="I971">
        <v>200000</v>
      </c>
      <c r="J971" t="s">
        <v>170</v>
      </c>
      <c r="K971" t="s">
        <v>171</v>
      </c>
      <c r="L971" t="s">
        <v>44</v>
      </c>
      <c r="M971" t="s">
        <v>61</v>
      </c>
      <c r="N971" t="s">
        <v>62</v>
      </c>
      <c r="O971" t="s">
        <v>2070</v>
      </c>
      <c r="P971">
        <v>5.2</v>
      </c>
      <c r="Q971">
        <v>82</v>
      </c>
      <c r="R971">
        <v>24.8</v>
      </c>
      <c r="S971">
        <v>6.6</v>
      </c>
      <c r="T971">
        <v>2026</v>
      </c>
      <c r="U971">
        <v>2</v>
      </c>
      <c r="V971">
        <v>1</v>
      </c>
      <c r="W971" t="s">
        <v>47</v>
      </c>
      <c r="X971" t="s">
        <v>37</v>
      </c>
      <c r="Y971" t="s">
        <v>95</v>
      </c>
    </row>
    <row r="972" spans="1:25" x14ac:dyDescent="0.35">
      <c r="A972" t="s">
        <v>2071</v>
      </c>
      <c r="B972" t="s">
        <v>196</v>
      </c>
      <c r="C972" t="s">
        <v>27</v>
      </c>
      <c r="D972" t="s">
        <v>74</v>
      </c>
      <c r="E972">
        <v>3</v>
      </c>
      <c r="F972" t="s">
        <v>41</v>
      </c>
      <c r="G972">
        <v>100000</v>
      </c>
      <c r="H972">
        <v>100000</v>
      </c>
      <c r="I972">
        <v>250000</v>
      </c>
      <c r="J972" t="s">
        <v>113</v>
      </c>
      <c r="K972" t="s">
        <v>114</v>
      </c>
      <c r="L972" t="s">
        <v>32</v>
      </c>
      <c r="M972" t="s">
        <v>61</v>
      </c>
      <c r="N972" t="s">
        <v>155</v>
      </c>
      <c r="O972" t="s">
        <v>2072</v>
      </c>
      <c r="P972">
        <v>13.3</v>
      </c>
      <c r="Q972">
        <v>95</v>
      </c>
      <c r="R972">
        <v>33.4</v>
      </c>
      <c r="S972">
        <v>8</v>
      </c>
      <c r="T972">
        <v>2026</v>
      </c>
      <c r="U972">
        <v>1</v>
      </c>
      <c r="V972">
        <v>0</v>
      </c>
      <c r="W972" t="s">
        <v>36</v>
      </c>
      <c r="X972" t="s">
        <v>64</v>
      </c>
      <c r="Y972" t="s">
        <v>98</v>
      </c>
    </row>
    <row r="973" spans="1:25" x14ac:dyDescent="0.35">
      <c r="A973" t="s">
        <v>2073</v>
      </c>
      <c r="B973" t="s">
        <v>163</v>
      </c>
      <c r="C973" t="s">
        <v>164</v>
      </c>
      <c r="D973" t="s">
        <v>81</v>
      </c>
      <c r="E973">
        <v>7</v>
      </c>
      <c r="F973" t="s">
        <v>41</v>
      </c>
      <c r="G973">
        <v>163000</v>
      </c>
      <c r="H973">
        <v>125000</v>
      </c>
      <c r="I973">
        <v>240000</v>
      </c>
      <c r="J973" t="s">
        <v>102</v>
      </c>
      <c r="K973" t="s">
        <v>103</v>
      </c>
      <c r="L973" t="s">
        <v>53</v>
      </c>
      <c r="M973" t="s">
        <v>54</v>
      </c>
      <c r="N973" t="s">
        <v>76</v>
      </c>
      <c r="O973" t="s">
        <v>2074</v>
      </c>
      <c r="P973">
        <v>10.4</v>
      </c>
      <c r="Q973">
        <v>76</v>
      </c>
      <c r="R973">
        <v>8.6999999999999993</v>
      </c>
      <c r="S973">
        <v>9.6</v>
      </c>
      <c r="T973">
        <v>2026</v>
      </c>
      <c r="U973">
        <v>1</v>
      </c>
      <c r="V973">
        <v>0</v>
      </c>
      <c r="W973" t="s">
        <v>47</v>
      </c>
      <c r="X973" t="s">
        <v>64</v>
      </c>
      <c r="Y973" t="s">
        <v>48</v>
      </c>
    </row>
    <row r="974" spans="1:25" x14ac:dyDescent="0.35">
      <c r="A974" t="s">
        <v>2075</v>
      </c>
      <c r="B974" t="s">
        <v>127</v>
      </c>
      <c r="C974" t="s">
        <v>27</v>
      </c>
      <c r="D974" t="s">
        <v>74</v>
      </c>
      <c r="E974">
        <v>9</v>
      </c>
      <c r="F974" t="s">
        <v>128</v>
      </c>
      <c r="G974">
        <v>211000</v>
      </c>
      <c r="H974">
        <v>120000</v>
      </c>
      <c r="I974">
        <v>280000</v>
      </c>
      <c r="J974" t="s">
        <v>174</v>
      </c>
      <c r="K974" t="s">
        <v>31</v>
      </c>
      <c r="L974" t="s">
        <v>44</v>
      </c>
      <c r="M974" t="s">
        <v>61</v>
      </c>
      <c r="N974" t="s">
        <v>76</v>
      </c>
      <c r="O974" t="s">
        <v>2076</v>
      </c>
      <c r="P974">
        <v>13.6</v>
      </c>
      <c r="Q974">
        <v>97</v>
      </c>
      <c r="R974">
        <v>71</v>
      </c>
      <c r="S974">
        <v>6.7</v>
      </c>
      <c r="T974">
        <v>2026</v>
      </c>
      <c r="U974">
        <v>3</v>
      </c>
      <c r="V974">
        <v>0</v>
      </c>
      <c r="W974" t="s">
        <v>47</v>
      </c>
      <c r="X974" t="s">
        <v>64</v>
      </c>
      <c r="Y974" t="s">
        <v>38</v>
      </c>
    </row>
    <row r="975" spans="1:25" x14ac:dyDescent="0.35">
      <c r="A975" t="s">
        <v>2077</v>
      </c>
      <c r="B975" t="s">
        <v>146</v>
      </c>
      <c r="C975" t="s">
        <v>27</v>
      </c>
      <c r="D975" t="s">
        <v>68</v>
      </c>
      <c r="E975">
        <v>9</v>
      </c>
      <c r="F975" t="s">
        <v>51</v>
      </c>
      <c r="G975">
        <v>221000</v>
      </c>
      <c r="H975">
        <v>160000</v>
      </c>
      <c r="I975">
        <v>300000</v>
      </c>
      <c r="J975" t="s">
        <v>129</v>
      </c>
      <c r="K975" t="s">
        <v>130</v>
      </c>
      <c r="L975" t="s">
        <v>53</v>
      </c>
      <c r="M975" t="s">
        <v>45</v>
      </c>
      <c r="N975" t="s">
        <v>119</v>
      </c>
      <c r="O975" t="s">
        <v>2078</v>
      </c>
      <c r="P975">
        <v>8.3000000000000007</v>
      </c>
      <c r="Q975">
        <v>90</v>
      </c>
      <c r="R975">
        <v>20.8</v>
      </c>
      <c r="S975">
        <v>6.8</v>
      </c>
      <c r="T975">
        <v>2025</v>
      </c>
      <c r="U975">
        <v>12</v>
      </c>
      <c r="V975">
        <v>1</v>
      </c>
      <c r="W975" t="s">
        <v>47</v>
      </c>
      <c r="X975" t="s">
        <v>64</v>
      </c>
      <c r="Y975" t="s">
        <v>38</v>
      </c>
    </row>
    <row r="976" spans="1:25" x14ac:dyDescent="0.35">
      <c r="A976" t="s">
        <v>2079</v>
      </c>
      <c r="B976" t="s">
        <v>203</v>
      </c>
      <c r="C976" t="s">
        <v>169</v>
      </c>
      <c r="D976" t="s">
        <v>28</v>
      </c>
      <c r="E976">
        <v>4</v>
      </c>
      <c r="F976" t="s">
        <v>128</v>
      </c>
      <c r="G976">
        <v>231000</v>
      </c>
      <c r="H976">
        <v>138000</v>
      </c>
      <c r="I976">
        <v>195000</v>
      </c>
      <c r="J976" t="s">
        <v>296</v>
      </c>
      <c r="K976" t="s">
        <v>31</v>
      </c>
      <c r="L976" t="s">
        <v>44</v>
      </c>
      <c r="M976" t="s">
        <v>61</v>
      </c>
      <c r="N976" t="s">
        <v>76</v>
      </c>
      <c r="O976" t="s">
        <v>2080</v>
      </c>
      <c r="P976">
        <v>9.5</v>
      </c>
      <c r="Q976">
        <v>92</v>
      </c>
      <c r="R976">
        <v>74.8</v>
      </c>
      <c r="S976">
        <v>7.4</v>
      </c>
      <c r="T976">
        <v>2025</v>
      </c>
      <c r="U976">
        <v>1</v>
      </c>
      <c r="V976">
        <v>1</v>
      </c>
      <c r="W976" t="s">
        <v>47</v>
      </c>
      <c r="X976" t="s">
        <v>64</v>
      </c>
      <c r="Y976" t="s">
        <v>38</v>
      </c>
    </row>
    <row r="977" spans="1:25" x14ac:dyDescent="0.35">
      <c r="A977" t="s">
        <v>2081</v>
      </c>
      <c r="B977" t="s">
        <v>50</v>
      </c>
      <c r="C977" t="s">
        <v>27</v>
      </c>
      <c r="D977" t="s">
        <v>74</v>
      </c>
      <c r="E977">
        <v>6</v>
      </c>
      <c r="F977" t="s">
        <v>128</v>
      </c>
      <c r="G977">
        <v>197000</v>
      </c>
      <c r="H977">
        <v>160000</v>
      </c>
      <c r="I977">
        <v>300000</v>
      </c>
      <c r="J977" t="s">
        <v>191</v>
      </c>
      <c r="K977" t="s">
        <v>31</v>
      </c>
      <c r="L977" t="s">
        <v>32</v>
      </c>
      <c r="M977" t="s">
        <v>61</v>
      </c>
      <c r="N977" t="s">
        <v>165</v>
      </c>
      <c r="O977" t="s">
        <v>2082</v>
      </c>
      <c r="P977">
        <v>4.7</v>
      </c>
      <c r="Q977">
        <v>98</v>
      </c>
      <c r="R977">
        <v>83</v>
      </c>
      <c r="S977">
        <v>8.5</v>
      </c>
      <c r="T977">
        <v>2025</v>
      </c>
      <c r="U977">
        <v>1</v>
      </c>
      <c r="V977">
        <v>0</v>
      </c>
      <c r="W977" t="s">
        <v>36</v>
      </c>
      <c r="X977" t="s">
        <v>37</v>
      </c>
      <c r="Y977" t="s">
        <v>48</v>
      </c>
    </row>
    <row r="978" spans="1:25" x14ac:dyDescent="0.35">
      <c r="A978" t="s">
        <v>2083</v>
      </c>
      <c r="B978" t="s">
        <v>224</v>
      </c>
      <c r="C978" t="s">
        <v>27</v>
      </c>
      <c r="D978" t="s">
        <v>68</v>
      </c>
      <c r="E978">
        <v>7</v>
      </c>
      <c r="F978" t="s">
        <v>69</v>
      </c>
      <c r="G978">
        <v>251000</v>
      </c>
      <c r="H978">
        <v>145000</v>
      </c>
      <c r="I978">
        <v>280000</v>
      </c>
      <c r="J978" t="s">
        <v>47</v>
      </c>
      <c r="K978" t="s">
        <v>87</v>
      </c>
      <c r="L978" t="s">
        <v>44</v>
      </c>
      <c r="M978" t="s">
        <v>82</v>
      </c>
      <c r="N978" t="s">
        <v>71</v>
      </c>
      <c r="O978" t="s">
        <v>2084</v>
      </c>
      <c r="P978">
        <v>5.2</v>
      </c>
      <c r="Q978">
        <v>87</v>
      </c>
      <c r="R978">
        <v>17.2</v>
      </c>
      <c r="S978">
        <v>6.3</v>
      </c>
      <c r="T978">
        <v>2025</v>
      </c>
      <c r="U978">
        <v>6</v>
      </c>
      <c r="V978">
        <v>1</v>
      </c>
      <c r="W978" t="s">
        <v>47</v>
      </c>
      <c r="X978" t="s">
        <v>64</v>
      </c>
      <c r="Y978" t="s">
        <v>38</v>
      </c>
    </row>
    <row r="979" spans="1:25" x14ac:dyDescent="0.35">
      <c r="A979" t="s">
        <v>2085</v>
      </c>
      <c r="B979" t="s">
        <v>134</v>
      </c>
      <c r="C979" t="s">
        <v>27</v>
      </c>
      <c r="D979" t="s">
        <v>74</v>
      </c>
      <c r="E979">
        <v>8</v>
      </c>
      <c r="F979" t="s">
        <v>29</v>
      </c>
      <c r="G979">
        <v>150000</v>
      </c>
      <c r="H979">
        <v>150000</v>
      </c>
      <c r="I979">
        <v>295000</v>
      </c>
      <c r="J979" t="s">
        <v>60</v>
      </c>
      <c r="K979" t="s">
        <v>60</v>
      </c>
      <c r="L979" t="s">
        <v>53</v>
      </c>
      <c r="M979" t="s">
        <v>61</v>
      </c>
      <c r="N979" t="s">
        <v>34</v>
      </c>
      <c r="O979" t="s">
        <v>2086</v>
      </c>
      <c r="P979">
        <v>8.6999999999999993</v>
      </c>
      <c r="Q979">
        <v>95</v>
      </c>
      <c r="R979">
        <v>67.400000000000006</v>
      </c>
      <c r="S979">
        <v>7.8</v>
      </c>
      <c r="T979">
        <v>2026</v>
      </c>
      <c r="U979">
        <v>3</v>
      </c>
      <c r="V979">
        <v>0</v>
      </c>
      <c r="W979" t="s">
        <v>47</v>
      </c>
      <c r="X979" t="s">
        <v>37</v>
      </c>
      <c r="Y979" t="s">
        <v>95</v>
      </c>
    </row>
    <row r="980" spans="1:25" x14ac:dyDescent="0.35">
      <c r="A980" t="s">
        <v>2087</v>
      </c>
      <c r="B980" t="s">
        <v>168</v>
      </c>
      <c r="C980" t="s">
        <v>169</v>
      </c>
      <c r="D980" t="s">
        <v>81</v>
      </c>
      <c r="E980">
        <v>8</v>
      </c>
      <c r="F980" t="s">
        <v>69</v>
      </c>
      <c r="G980">
        <v>168000</v>
      </c>
      <c r="H980">
        <v>157000</v>
      </c>
      <c r="I980">
        <v>218000</v>
      </c>
      <c r="J980" t="s">
        <v>170</v>
      </c>
      <c r="K980" t="s">
        <v>171</v>
      </c>
      <c r="L980" t="s">
        <v>44</v>
      </c>
      <c r="M980" t="s">
        <v>45</v>
      </c>
      <c r="N980" t="s">
        <v>165</v>
      </c>
      <c r="O980" t="s">
        <v>2088</v>
      </c>
      <c r="P980">
        <v>4.2</v>
      </c>
      <c r="Q980">
        <v>90</v>
      </c>
      <c r="R980">
        <v>26</v>
      </c>
      <c r="S980">
        <v>6.5</v>
      </c>
      <c r="T980">
        <v>2026</v>
      </c>
      <c r="U980">
        <v>1</v>
      </c>
      <c r="V980">
        <v>0</v>
      </c>
      <c r="W980" t="s">
        <v>47</v>
      </c>
      <c r="X980" t="s">
        <v>64</v>
      </c>
      <c r="Y980" t="s">
        <v>48</v>
      </c>
    </row>
    <row r="981" spans="1:25" x14ac:dyDescent="0.35">
      <c r="A981" t="s">
        <v>2089</v>
      </c>
      <c r="B981" t="s">
        <v>50</v>
      </c>
      <c r="C981" t="s">
        <v>27</v>
      </c>
      <c r="D981" t="s">
        <v>28</v>
      </c>
      <c r="E981">
        <v>2</v>
      </c>
      <c r="F981" t="s">
        <v>69</v>
      </c>
      <c r="G981">
        <v>342000</v>
      </c>
      <c r="H981">
        <v>160000</v>
      </c>
      <c r="I981">
        <v>300000</v>
      </c>
      <c r="J981" t="s">
        <v>30</v>
      </c>
      <c r="K981" t="s">
        <v>31</v>
      </c>
      <c r="L981" t="s">
        <v>44</v>
      </c>
      <c r="M981" t="s">
        <v>54</v>
      </c>
      <c r="N981" t="s">
        <v>110</v>
      </c>
      <c r="O981" t="s">
        <v>2090</v>
      </c>
      <c r="P981">
        <v>5.2</v>
      </c>
      <c r="Q981">
        <v>98</v>
      </c>
      <c r="R981">
        <v>49.4</v>
      </c>
      <c r="S981">
        <v>8.9</v>
      </c>
      <c r="T981">
        <v>2026</v>
      </c>
      <c r="U981">
        <v>2</v>
      </c>
      <c r="V981">
        <v>1</v>
      </c>
      <c r="W981" t="s">
        <v>47</v>
      </c>
      <c r="X981" t="s">
        <v>37</v>
      </c>
      <c r="Y981" t="s">
        <v>56</v>
      </c>
    </row>
    <row r="982" spans="1:25" x14ac:dyDescent="0.35">
      <c r="A982" t="s">
        <v>2091</v>
      </c>
      <c r="B982" t="s">
        <v>233</v>
      </c>
      <c r="C982" t="s">
        <v>180</v>
      </c>
      <c r="D982" t="s">
        <v>68</v>
      </c>
      <c r="E982">
        <v>7</v>
      </c>
      <c r="F982" t="s">
        <v>51</v>
      </c>
      <c r="G982">
        <v>202000</v>
      </c>
      <c r="H982">
        <v>100000</v>
      </c>
      <c r="I982">
        <v>200000</v>
      </c>
      <c r="J982" t="s">
        <v>191</v>
      </c>
      <c r="K982" t="s">
        <v>31</v>
      </c>
      <c r="L982" t="s">
        <v>44</v>
      </c>
      <c r="M982" t="s">
        <v>82</v>
      </c>
      <c r="N982" t="s">
        <v>110</v>
      </c>
      <c r="O982" t="s">
        <v>2092</v>
      </c>
      <c r="P982">
        <v>17</v>
      </c>
      <c r="Q982">
        <v>68</v>
      </c>
      <c r="R982">
        <v>10.1</v>
      </c>
      <c r="S982">
        <v>7.3</v>
      </c>
      <c r="T982">
        <v>2026</v>
      </c>
      <c r="U982">
        <v>3</v>
      </c>
      <c r="V982">
        <v>1</v>
      </c>
      <c r="W982" t="s">
        <v>47</v>
      </c>
      <c r="X982" t="s">
        <v>64</v>
      </c>
      <c r="Y982" t="s">
        <v>38</v>
      </c>
    </row>
    <row r="983" spans="1:25" x14ac:dyDescent="0.35">
      <c r="A983" t="s">
        <v>2093</v>
      </c>
      <c r="B983" t="s">
        <v>196</v>
      </c>
      <c r="C983" t="s">
        <v>27</v>
      </c>
      <c r="D983" t="s">
        <v>74</v>
      </c>
      <c r="E983">
        <v>2</v>
      </c>
      <c r="F983" t="s">
        <v>51</v>
      </c>
      <c r="G983">
        <v>100000</v>
      </c>
      <c r="H983">
        <v>100000</v>
      </c>
      <c r="I983">
        <v>250000</v>
      </c>
      <c r="J983" t="s">
        <v>42</v>
      </c>
      <c r="K983" t="s">
        <v>43</v>
      </c>
      <c r="L983" t="s">
        <v>44</v>
      </c>
      <c r="M983" t="s">
        <v>61</v>
      </c>
      <c r="N983" t="s">
        <v>62</v>
      </c>
      <c r="O983" t="s">
        <v>2094</v>
      </c>
      <c r="P983">
        <v>13.1</v>
      </c>
      <c r="Q983">
        <v>95</v>
      </c>
      <c r="R983">
        <v>79.900000000000006</v>
      </c>
      <c r="S983">
        <v>9.1</v>
      </c>
      <c r="T983">
        <v>2026</v>
      </c>
      <c r="U983">
        <v>2</v>
      </c>
      <c r="V983">
        <v>0</v>
      </c>
      <c r="W983" t="s">
        <v>47</v>
      </c>
      <c r="X983" t="s">
        <v>64</v>
      </c>
      <c r="Y983" t="s">
        <v>98</v>
      </c>
    </row>
    <row r="984" spans="1:25" x14ac:dyDescent="0.35">
      <c r="A984" t="s">
        <v>2095</v>
      </c>
      <c r="B984" t="s">
        <v>609</v>
      </c>
      <c r="C984" t="s">
        <v>124</v>
      </c>
      <c r="D984" t="s">
        <v>68</v>
      </c>
      <c r="E984">
        <v>12</v>
      </c>
      <c r="F984" t="s">
        <v>29</v>
      </c>
      <c r="G984">
        <v>336000</v>
      </c>
      <c r="H984">
        <v>115000</v>
      </c>
      <c r="I984">
        <v>280000</v>
      </c>
      <c r="J984" t="s">
        <v>47</v>
      </c>
      <c r="K984" t="s">
        <v>87</v>
      </c>
      <c r="L984" t="s">
        <v>53</v>
      </c>
      <c r="M984" t="s">
        <v>54</v>
      </c>
      <c r="N984" t="s">
        <v>83</v>
      </c>
      <c r="O984" t="s">
        <v>2096</v>
      </c>
      <c r="P984">
        <v>10.1</v>
      </c>
      <c r="Q984">
        <v>88</v>
      </c>
      <c r="R984">
        <v>13.2</v>
      </c>
      <c r="S984">
        <v>6.9</v>
      </c>
      <c r="T984">
        <v>2026</v>
      </c>
      <c r="U984">
        <v>3</v>
      </c>
      <c r="V984">
        <v>1</v>
      </c>
      <c r="W984" t="s">
        <v>47</v>
      </c>
      <c r="X984" t="s">
        <v>64</v>
      </c>
      <c r="Y984" t="s">
        <v>56</v>
      </c>
    </row>
    <row r="985" spans="1:25" x14ac:dyDescent="0.35">
      <c r="A985" t="s">
        <v>2097</v>
      </c>
      <c r="B985" t="s">
        <v>127</v>
      </c>
      <c r="C985" t="s">
        <v>27</v>
      </c>
      <c r="D985" t="s">
        <v>74</v>
      </c>
      <c r="E985">
        <v>10</v>
      </c>
      <c r="F985" t="s">
        <v>128</v>
      </c>
      <c r="G985">
        <v>235000</v>
      </c>
      <c r="H985">
        <v>120000</v>
      </c>
      <c r="I985">
        <v>280000</v>
      </c>
      <c r="J985" t="s">
        <v>30</v>
      </c>
      <c r="K985" t="s">
        <v>31</v>
      </c>
      <c r="L985" t="s">
        <v>53</v>
      </c>
      <c r="M985" t="s">
        <v>54</v>
      </c>
      <c r="N985" t="s">
        <v>88</v>
      </c>
      <c r="O985" t="s">
        <v>2098</v>
      </c>
      <c r="P985">
        <v>17.3</v>
      </c>
      <c r="Q985">
        <v>97</v>
      </c>
      <c r="R985">
        <v>58.3</v>
      </c>
      <c r="S985">
        <v>7.5</v>
      </c>
      <c r="T985">
        <v>2026</v>
      </c>
      <c r="U985">
        <v>2</v>
      </c>
      <c r="V985">
        <v>0</v>
      </c>
      <c r="W985" t="s">
        <v>47</v>
      </c>
      <c r="X985" t="s">
        <v>64</v>
      </c>
      <c r="Y985" t="s">
        <v>38</v>
      </c>
    </row>
    <row r="986" spans="1:25" x14ac:dyDescent="0.35">
      <c r="A986" t="s">
        <v>2099</v>
      </c>
      <c r="B986" t="s">
        <v>91</v>
      </c>
      <c r="C986" t="s">
        <v>27</v>
      </c>
      <c r="D986" t="s">
        <v>81</v>
      </c>
      <c r="E986">
        <v>7</v>
      </c>
      <c r="F986" t="s">
        <v>51</v>
      </c>
      <c r="G986">
        <v>210000</v>
      </c>
      <c r="H986">
        <v>145000</v>
      </c>
      <c r="I986">
        <v>290000</v>
      </c>
      <c r="J986" t="s">
        <v>70</v>
      </c>
      <c r="K986" t="s">
        <v>31</v>
      </c>
      <c r="L986" t="s">
        <v>44</v>
      </c>
      <c r="M986" t="s">
        <v>45</v>
      </c>
      <c r="N986" t="s">
        <v>155</v>
      </c>
      <c r="O986" t="s">
        <v>2100</v>
      </c>
      <c r="P986">
        <v>5.4</v>
      </c>
      <c r="Q986">
        <v>91</v>
      </c>
      <c r="R986">
        <v>31.6</v>
      </c>
      <c r="S986">
        <v>6.1</v>
      </c>
      <c r="T986">
        <v>2026</v>
      </c>
      <c r="U986">
        <v>3</v>
      </c>
      <c r="V986">
        <v>0</v>
      </c>
      <c r="W986" t="s">
        <v>47</v>
      </c>
      <c r="X986" t="s">
        <v>64</v>
      </c>
      <c r="Y986" t="s">
        <v>38</v>
      </c>
    </row>
    <row r="987" spans="1:25" x14ac:dyDescent="0.35">
      <c r="A987" t="s">
        <v>2101</v>
      </c>
      <c r="B987" t="s">
        <v>185</v>
      </c>
      <c r="C987" t="s">
        <v>186</v>
      </c>
      <c r="D987" t="s">
        <v>74</v>
      </c>
      <c r="E987">
        <v>6</v>
      </c>
      <c r="F987" t="s">
        <v>41</v>
      </c>
      <c r="G987">
        <v>140000</v>
      </c>
      <c r="H987">
        <v>140000</v>
      </c>
      <c r="I987">
        <v>270000</v>
      </c>
      <c r="J987" t="s">
        <v>113</v>
      </c>
      <c r="K987" t="s">
        <v>114</v>
      </c>
      <c r="L987" t="s">
        <v>53</v>
      </c>
      <c r="M987" t="s">
        <v>61</v>
      </c>
      <c r="N987" t="s">
        <v>165</v>
      </c>
      <c r="O987" t="s">
        <v>2102</v>
      </c>
      <c r="P987">
        <v>17</v>
      </c>
      <c r="Q987">
        <v>85</v>
      </c>
      <c r="R987">
        <v>21.7</v>
      </c>
      <c r="S987">
        <v>8.8000000000000007</v>
      </c>
      <c r="T987">
        <v>2026</v>
      </c>
      <c r="U987">
        <v>2</v>
      </c>
      <c r="V987">
        <v>0</v>
      </c>
      <c r="W987" t="s">
        <v>47</v>
      </c>
      <c r="X987" t="s">
        <v>64</v>
      </c>
      <c r="Y987" t="s">
        <v>95</v>
      </c>
    </row>
    <row r="988" spans="1:25" x14ac:dyDescent="0.35">
      <c r="A988" t="s">
        <v>2103</v>
      </c>
      <c r="B988" t="s">
        <v>609</v>
      </c>
      <c r="C988" t="s">
        <v>124</v>
      </c>
      <c r="D988" t="s">
        <v>68</v>
      </c>
      <c r="E988">
        <v>9</v>
      </c>
      <c r="F988" t="s">
        <v>128</v>
      </c>
      <c r="G988">
        <v>252000</v>
      </c>
      <c r="H988">
        <v>115000</v>
      </c>
      <c r="I988">
        <v>280000</v>
      </c>
      <c r="J988" t="s">
        <v>102</v>
      </c>
      <c r="K988" t="s">
        <v>103</v>
      </c>
      <c r="L988" t="s">
        <v>53</v>
      </c>
      <c r="M988" t="s">
        <v>82</v>
      </c>
      <c r="N988" t="s">
        <v>88</v>
      </c>
      <c r="O988" t="s">
        <v>2104</v>
      </c>
      <c r="P988">
        <v>12.6</v>
      </c>
      <c r="Q988">
        <v>88</v>
      </c>
      <c r="R988">
        <v>18.5</v>
      </c>
      <c r="S988">
        <v>8.5</v>
      </c>
      <c r="T988">
        <v>2026</v>
      </c>
      <c r="U988">
        <v>3</v>
      </c>
      <c r="V988">
        <v>1</v>
      </c>
      <c r="W988" t="s">
        <v>47</v>
      </c>
      <c r="X988" t="s">
        <v>64</v>
      </c>
      <c r="Y988" t="s">
        <v>38</v>
      </c>
    </row>
    <row r="989" spans="1:25" x14ac:dyDescent="0.35">
      <c r="A989" t="s">
        <v>2105</v>
      </c>
      <c r="B989" t="s">
        <v>86</v>
      </c>
      <c r="C989" t="s">
        <v>27</v>
      </c>
      <c r="D989" t="s">
        <v>81</v>
      </c>
      <c r="E989">
        <v>12</v>
      </c>
      <c r="F989" t="s">
        <v>51</v>
      </c>
      <c r="G989">
        <v>224000</v>
      </c>
      <c r="H989">
        <v>180000</v>
      </c>
      <c r="I989">
        <v>312000</v>
      </c>
      <c r="J989" t="s">
        <v>191</v>
      </c>
      <c r="K989" t="s">
        <v>31</v>
      </c>
      <c r="L989" t="s">
        <v>53</v>
      </c>
      <c r="M989" t="s">
        <v>82</v>
      </c>
      <c r="N989" t="s">
        <v>83</v>
      </c>
      <c r="O989" t="s">
        <v>2106</v>
      </c>
      <c r="P989">
        <v>15.9</v>
      </c>
      <c r="Q989">
        <v>96</v>
      </c>
      <c r="R989">
        <v>73</v>
      </c>
      <c r="S989">
        <v>6.8</v>
      </c>
      <c r="T989">
        <v>2026</v>
      </c>
      <c r="U989">
        <v>1</v>
      </c>
      <c r="V989">
        <v>0</v>
      </c>
      <c r="W989" t="s">
        <v>47</v>
      </c>
      <c r="X989" t="s">
        <v>64</v>
      </c>
      <c r="Y989" t="s">
        <v>38</v>
      </c>
    </row>
    <row r="990" spans="1:25" x14ac:dyDescent="0.35">
      <c r="A990" t="s">
        <v>2107</v>
      </c>
      <c r="B990" t="s">
        <v>79</v>
      </c>
      <c r="C990" t="s">
        <v>80</v>
      </c>
      <c r="D990" t="s">
        <v>74</v>
      </c>
      <c r="E990">
        <v>6</v>
      </c>
      <c r="F990" t="s">
        <v>41</v>
      </c>
      <c r="G990">
        <v>141000</v>
      </c>
      <c r="H990">
        <v>140000</v>
      </c>
      <c r="I990">
        <v>260000</v>
      </c>
      <c r="J990" t="s">
        <v>137</v>
      </c>
      <c r="K990" t="s">
        <v>138</v>
      </c>
      <c r="L990" t="s">
        <v>53</v>
      </c>
      <c r="M990" t="s">
        <v>54</v>
      </c>
      <c r="N990" t="s">
        <v>165</v>
      </c>
      <c r="O990" t="s">
        <v>2108</v>
      </c>
      <c r="P990">
        <v>12.9</v>
      </c>
      <c r="Q990">
        <v>80</v>
      </c>
      <c r="R990">
        <v>18.5</v>
      </c>
      <c r="S990">
        <v>7</v>
      </c>
      <c r="T990">
        <v>2026</v>
      </c>
      <c r="U990">
        <v>3</v>
      </c>
      <c r="V990">
        <v>0</v>
      </c>
      <c r="W990" t="s">
        <v>47</v>
      </c>
      <c r="X990" t="s">
        <v>64</v>
      </c>
      <c r="Y990" t="s">
        <v>95</v>
      </c>
    </row>
    <row r="991" spans="1:25" x14ac:dyDescent="0.35">
      <c r="A991" t="s">
        <v>2109</v>
      </c>
      <c r="B991" t="s">
        <v>196</v>
      </c>
      <c r="C991" t="s">
        <v>27</v>
      </c>
      <c r="D991" t="s">
        <v>81</v>
      </c>
      <c r="E991">
        <v>6</v>
      </c>
      <c r="F991" t="s">
        <v>41</v>
      </c>
      <c r="G991">
        <v>267000</v>
      </c>
      <c r="H991">
        <v>100000</v>
      </c>
      <c r="I991">
        <v>250000</v>
      </c>
      <c r="J991" t="s">
        <v>174</v>
      </c>
      <c r="K991" t="s">
        <v>31</v>
      </c>
      <c r="L991" t="s">
        <v>53</v>
      </c>
      <c r="M991" t="s">
        <v>54</v>
      </c>
      <c r="N991" t="s">
        <v>71</v>
      </c>
      <c r="O991" t="s">
        <v>2110</v>
      </c>
      <c r="P991">
        <v>11.7</v>
      </c>
      <c r="Q991">
        <v>95</v>
      </c>
      <c r="R991">
        <v>60.8</v>
      </c>
      <c r="S991">
        <v>8.5</v>
      </c>
      <c r="T991">
        <v>2026</v>
      </c>
      <c r="U991">
        <v>3</v>
      </c>
      <c r="V991">
        <v>0</v>
      </c>
      <c r="W991" t="s">
        <v>47</v>
      </c>
      <c r="X991" t="s">
        <v>64</v>
      </c>
      <c r="Y991" t="s">
        <v>38</v>
      </c>
    </row>
    <row r="992" spans="1:25" x14ac:dyDescent="0.35">
      <c r="A992" t="s">
        <v>2111</v>
      </c>
      <c r="B992" t="s">
        <v>233</v>
      </c>
      <c r="C992" t="s">
        <v>180</v>
      </c>
      <c r="D992" t="s">
        <v>74</v>
      </c>
      <c r="E992">
        <v>9</v>
      </c>
      <c r="F992" t="s">
        <v>128</v>
      </c>
      <c r="G992">
        <v>168000</v>
      </c>
      <c r="H992">
        <v>100000</v>
      </c>
      <c r="I992">
        <v>200000</v>
      </c>
      <c r="J992" t="s">
        <v>174</v>
      </c>
      <c r="K992" t="s">
        <v>31</v>
      </c>
      <c r="L992" t="s">
        <v>32</v>
      </c>
      <c r="M992" t="s">
        <v>45</v>
      </c>
      <c r="N992" t="s">
        <v>34</v>
      </c>
      <c r="O992" t="s">
        <v>2112</v>
      </c>
      <c r="P992">
        <v>17.600000000000001</v>
      </c>
      <c r="Q992">
        <v>68</v>
      </c>
      <c r="R992">
        <v>18.3</v>
      </c>
      <c r="S992">
        <v>9.1999999999999993</v>
      </c>
      <c r="T992">
        <v>2026</v>
      </c>
      <c r="U992">
        <v>2</v>
      </c>
      <c r="V992">
        <v>0</v>
      </c>
      <c r="W992" t="s">
        <v>36</v>
      </c>
      <c r="X992" t="s">
        <v>64</v>
      </c>
      <c r="Y992" t="s">
        <v>48</v>
      </c>
    </row>
    <row r="993" spans="1:25" x14ac:dyDescent="0.35">
      <c r="A993" t="s">
        <v>2113</v>
      </c>
      <c r="B993" t="s">
        <v>168</v>
      </c>
      <c r="C993" t="s">
        <v>169</v>
      </c>
      <c r="D993" t="s">
        <v>74</v>
      </c>
      <c r="E993">
        <v>5</v>
      </c>
      <c r="F993" t="s">
        <v>29</v>
      </c>
      <c r="G993">
        <v>157000</v>
      </c>
      <c r="H993">
        <v>157000</v>
      </c>
      <c r="I993">
        <v>218000</v>
      </c>
      <c r="J993" t="s">
        <v>113</v>
      </c>
      <c r="K993" t="s">
        <v>114</v>
      </c>
      <c r="L993" t="s">
        <v>44</v>
      </c>
      <c r="M993" t="s">
        <v>82</v>
      </c>
      <c r="N993" t="s">
        <v>62</v>
      </c>
      <c r="O993" t="s">
        <v>2114</v>
      </c>
      <c r="P993">
        <v>3.4</v>
      </c>
      <c r="Q993">
        <v>90</v>
      </c>
      <c r="R993">
        <v>8.4</v>
      </c>
      <c r="S993">
        <v>6.8</v>
      </c>
      <c r="T993">
        <v>2026</v>
      </c>
      <c r="U993">
        <v>2</v>
      </c>
      <c r="V993">
        <v>0</v>
      </c>
      <c r="W993" t="s">
        <v>47</v>
      </c>
      <c r="X993" t="s">
        <v>64</v>
      </c>
      <c r="Y993" t="s">
        <v>48</v>
      </c>
    </row>
    <row r="994" spans="1:25" x14ac:dyDescent="0.35">
      <c r="A994" t="s">
        <v>2115</v>
      </c>
      <c r="B994" t="s">
        <v>86</v>
      </c>
      <c r="C994" t="s">
        <v>27</v>
      </c>
      <c r="D994" t="s">
        <v>68</v>
      </c>
      <c r="E994">
        <v>11</v>
      </c>
      <c r="F994" t="s">
        <v>29</v>
      </c>
      <c r="G994">
        <v>374400</v>
      </c>
      <c r="H994">
        <v>180000</v>
      </c>
      <c r="I994">
        <v>312000</v>
      </c>
      <c r="J994" t="s">
        <v>113</v>
      </c>
      <c r="K994" t="s">
        <v>114</v>
      </c>
      <c r="L994" t="s">
        <v>32</v>
      </c>
      <c r="M994" t="s">
        <v>54</v>
      </c>
      <c r="N994" t="s">
        <v>165</v>
      </c>
      <c r="O994" t="s">
        <v>2116</v>
      </c>
      <c r="P994">
        <v>11.5</v>
      </c>
      <c r="Q994">
        <v>96</v>
      </c>
      <c r="R994">
        <v>73.3</v>
      </c>
      <c r="S994">
        <v>6.2</v>
      </c>
      <c r="T994">
        <v>2025</v>
      </c>
      <c r="U994">
        <v>6</v>
      </c>
      <c r="V994">
        <v>1</v>
      </c>
      <c r="W994" t="s">
        <v>36</v>
      </c>
      <c r="X994" t="s">
        <v>64</v>
      </c>
      <c r="Y994" t="s">
        <v>56</v>
      </c>
    </row>
    <row r="995" spans="1:25" x14ac:dyDescent="0.35">
      <c r="A995" t="s">
        <v>2117</v>
      </c>
      <c r="B995" t="s">
        <v>163</v>
      </c>
      <c r="C995" t="s">
        <v>164</v>
      </c>
      <c r="D995" t="s">
        <v>74</v>
      </c>
      <c r="E995">
        <v>7</v>
      </c>
      <c r="F995" t="s">
        <v>128</v>
      </c>
      <c r="G995">
        <v>135000</v>
      </c>
      <c r="H995">
        <v>125000</v>
      </c>
      <c r="I995">
        <v>240000</v>
      </c>
      <c r="J995" t="s">
        <v>113</v>
      </c>
      <c r="K995" t="s">
        <v>114</v>
      </c>
      <c r="L995" t="s">
        <v>32</v>
      </c>
      <c r="M995" t="s">
        <v>45</v>
      </c>
      <c r="N995" t="s">
        <v>165</v>
      </c>
      <c r="O995" t="s">
        <v>2118</v>
      </c>
      <c r="P995">
        <v>11.5</v>
      </c>
      <c r="Q995">
        <v>76</v>
      </c>
      <c r="R995">
        <v>26.9</v>
      </c>
      <c r="S995">
        <v>6.4</v>
      </c>
      <c r="T995">
        <v>2025</v>
      </c>
      <c r="U995">
        <v>7</v>
      </c>
      <c r="V995">
        <v>0</v>
      </c>
      <c r="W995" t="s">
        <v>36</v>
      </c>
      <c r="X995" t="s">
        <v>64</v>
      </c>
      <c r="Y995" t="s">
        <v>95</v>
      </c>
    </row>
    <row r="996" spans="1:25" x14ac:dyDescent="0.35">
      <c r="A996" t="s">
        <v>2119</v>
      </c>
      <c r="B996" t="s">
        <v>146</v>
      </c>
      <c r="C996" t="s">
        <v>27</v>
      </c>
      <c r="D996" t="s">
        <v>81</v>
      </c>
      <c r="E996">
        <v>6</v>
      </c>
      <c r="F996" t="s">
        <v>51</v>
      </c>
      <c r="G996">
        <v>160000</v>
      </c>
      <c r="H996">
        <v>160000</v>
      </c>
      <c r="I996">
        <v>300000</v>
      </c>
      <c r="J996" t="s">
        <v>108</v>
      </c>
      <c r="K996" t="s">
        <v>109</v>
      </c>
      <c r="L996" t="s">
        <v>32</v>
      </c>
      <c r="M996" t="s">
        <v>33</v>
      </c>
      <c r="N996" t="s">
        <v>76</v>
      </c>
      <c r="O996" t="s">
        <v>2120</v>
      </c>
      <c r="P996">
        <v>17.100000000000001</v>
      </c>
      <c r="Q996">
        <v>90</v>
      </c>
      <c r="R996">
        <v>12.4</v>
      </c>
      <c r="S996">
        <v>8</v>
      </c>
      <c r="T996">
        <v>2025</v>
      </c>
      <c r="U996">
        <v>5</v>
      </c>
      <c r="V996">
        <v>0</v>
      </c>
      <c r="W996" t="s">
        <v>36</v>
      </c>
      <c r="X996" t="s">
        <v>64</v>
      </c>
      <c r="Y996" t="s">
        <v>48</v>
      </c>
    </row>
    <row r="997" spans="1:25" x14ac:dyDescent="0.35">
      <c r="A997" t="s">
        <v>2121</v>
      </c>
      <c r="B997" t="s">
        <v>224</v>
      </c>
      <c r="C997" t="s">
        <v>27</v>
      </c>
      <c r="D997" t="s">
        <v>74</v>
      </c>
      <c r="E997">
        <v>10</v>
      </c>
      <c r="F997" t="s">
        <v>41</v>
      </c>
      <c r="G997">
        <v>189000</v>
      </c>
      <c r="H997">
        <v>145000</v>
      </c>
      <c r="I997">
        <v>280000</v>
      </c>
      <c r="J997" t="s">
        <v>52</v>
      </c>
      <c r="K997" t="s">
        <v>31</v>
      </c>
      <c r="L997" t="s">
        <v>53</v>
      </c>
      <c r="M997" t="s">
        <v>45</v>
      </c>
      <c r="N997" t="s">
        <v>83</v>
      </c>
      <c r="O997" t="s">
        <v>2122</v>
      </c>
      <c r="P997">
        <v>3.3</v>
      </c>
      <c r="Q997">
        <v>87</v>
      </c>
      <c r="R997">
        <v>21.7</v>
      </c>
      <c r="S997">
        <v>8.1</v>
      </c>
      <c r="T997">
        <v>2025</v>
      </c>
      <c r="U997">
        <v>4</v>
      </c>
      <c r="V997">
        <v>0</v>
      </c>
      <c r="W997" t="s">
        <v>47</v>
      </c>
      <c r="X997" t="s">
        <v>64</v>
      </c>
      <c r="Y997" t="s">
        <v>48</v>
      </c>
    </row>
    <row r="998" spans="1:25" x14ac:dyDescent="0.35">
      <c r="A998" t="s">
        <v>2123</v>
      </c>
      <c r="B998" t="s">
        <v>196</v>
      </c>
      <c r="C998" t="s">
        <v>27</v>
      </c>
      <c r="D998" t="s">
        <v>68</v>
      </c>
      <c r="E998">
        <v>3</v>
      </c>
      <c r="F998" t="s">
        <v>69</v>
      </c>
      <c r="G998">
        <v>142000</v>
      </c>
      <c r="H998">
        <v>100000</v>
      </c>
      <c r="I998">
        <v>250000</v>
      </c>
      <c r="J998" t="s">
        <v>142</v>
      </c>
      <c r="K998" t="s">
        <v>143</v>
      </c>
      <c r="L998" t="s">
        <v>32</v>
      </c>
      <c r="M998" t="s">
        <v>61</v>
      </c>
      <c r="N998" t="s">
        <v>165</v>
      </c>
      <c r="O998" t="s">
        <v>2124</v>
      </c>
      <c r="P998">
        <v>11.2</v>
      </c>
      <c r="Q998">
        <v>95</v>
      </c>
      <c r="R998">
        <v>30.4</v>
      </c>
      <c r="S998">
        <v>6.1</v>
      </c>
      <c r="T998">
        <v>2026</v>
      </c>
      <c r="U998">
        <v>1</v>
      </c>
      <c r="V998">
        <v>1</v>
      </c>
      <c r="W998" t="s">
        <v>36</v>
      </c>
      <c r="X998" t="s">
        <v>64</v>
      </c>
      <c r="Y998" t="s">
        <v>95</v>
      </c>
    </row>
    <row r="999" spans="1:25" x14ac:dyDescent="0.35">
      <c r="A999" t="s">
        <v>2125</v>
      </c>
      <c r="B999" t="s">
        <v>40</v>
      </c>
      <c r="C999" t="s">
        <v>27</v>
      </c>
      <c r="D999" t="s">
        <v>28</v>
      </c>
      <c r="E999">
        <v>1</v>
      </c>
      <c r="F999" t="s">
        <v>51</v>
      </c>
      <c r="G999">
        <v>175000</v>
      </c>
      <c r="H999">
        <v>90000</v>
      </c>
      <c r="I999">
        <v>200000</v>
      </c>
      <c r="J999" t="s">
        <v>47</v>
      </c>
      <c r="K999" t="s">
        <v>87</v>
      </c>
      <c r="L999" t="s">
        <v>32</v>
      </c>
      <c r="M999" t="s">
        <v>45</v>
      </c>
      <c r="N999" t="s">
        <v>83</v>
      </c>
      <c r="O999" t="s">
        <v>2126</v>
      </c>
      <c r="P999">
        <v>7.9</v>
      </c>
      <c r="Q999">
        <v>82</v>
      </c>
      <c r="R999">
        <v>25.8</v>
      </c>
      <c r="S999">
        <v>8.9</v>
      </c>
      <c r="T999">
        <v>2026</v>
      </c>
      <c r="U999">
        <v>2</v>
      </c>
      <c r="V999">
        <v>1</v>
      </c>
      <c r="W999" t="s">
        <v>36</v>
      </c>
      <c r="X999" t="s">
        <v>37</v>
      </c>
      <c r="Y999" t="s">
        <v>48</v>
      </c>
    </row>
    <row r="1000" spans="1:25" x14ac:dyDescent="0.35">
      <c r="A1000" t="s">
        <v>2127</v>
      </c>
      <c r="B1000" t="s">
        <v>168</v>
      </c>
      <c r="C1000" t="s">
        <v>169</v>
      </c>
      <c r="D1000" t="s">
        <v>68</v>
      </c>
      <c r="E1000">
        <v>5</v>
      </c>
      <c r="F1000" t="s">
        <v>128</v>
      </c>
      <c r="G1000">
        <v>261600</v>
      </c>
      <c r="H1000">
        <v>157000</v>
      </c>
      <c r="I1000">
        <v>218000</v>
      </c>
      <c r="J1000" t="s">
        <v>47</v>
      </c>
      <c r="K1000" t="s">
        <v>87</v>
      </c>
      <c r="L1000" t="s">
        <v>44</v>
      </c>
      <c r="M1000" t="s">
        <v>33</v>
      </c>
      <c r="N1000" t="s">
        <v>71</v>
      </c>
      <c r="O1000" t="s">
        <v>2128</v>
      </c>
      <c r="P1000">
        <v>8.3000000000000007</v>
      </c>
      <c r="Q1000">
        <v>90</v>
      </c>
      <c r="R1000">
        <v>27.5</v>
      </c>
      <c r="S1000">
        <v>7.9</v>
      </c>
      <c r="T1000">
        <v>2025</v>
      </c>
      <c r="U1000">
        <v>8</v>
      </c>
      <c r="V1000">
        <v>1</v>
      </c>
      <c r="W1000" t="s">
        <v>47</v>
      </c>
      <c r="X1000" t="s">
        <v>64</v>
      </c>
      <c r="Y1000" t="s">
        <v>38</v>
      </c>
    </row>
    <row r="1001" spans="1:25" x14ac:dyDescent="0.35">
      <c r="A1001" t="s">
        <v>2129</v>
      </c>
      <c r="B1001" t="s">
        <v>100</v>
      </c>
      <c r="C1001" t="s">
        <v>101</v>
      </c>
      <c r="D1001" t="s">
        <v>81</v>
      </c>
      <c r="E1001">
        <v>10</v>
      </c>
      <c r="F1001" t="s">
        <v>29</v>
      </c>
      <c r="G1001">
        <v>270000</v>
      </c>
      <c r="H1001">
        <v>180000</v>
      </c>
      <c r="I1001">
        <v>320000</v>
      </c>
      <c r="J1001" t="s">
        <v>60</v>
      </c>
      <c r="K1001" t="s">
        <v>60</v>
      </c>
      <c r="L1001" t="s">
        <v>44</v>
      </c>
      <c r="M1001" t="s">
        <v>54</v>
      </c>
      <c r="N1001" t="s">
        <v>71</v>
      </c>
      <c r="O1001" t="s">
        <v>2130</v>
      </c>
      <c r="P1001">
        <v>14.4</v>
      </c>
      <c r="Q1001">
        <v>84</v>
      </c>
      <c r="R1001">
        <v>15.5</v>
      </c>
      <c r="S1001">
        <v>6.1</v>
      </c>
      <c r="T1001">
        <v>2026</v>
      </c>
      <c r="U1001">
        <v>2</v>
      </c>
      <c r="V1001">
        <v>0</v>
      </c>
      <c r="W1001" t="s">
        <v>47</v>
      </c>
      <c r="X1001" t="s">
        <v>64</v>
      </c>
      <c r="Y1001" t="s">
        <v>38</v>
      </c>
    </row>
    <row r="1002" spans="1:25" x14ac:dyDescent="0.35">
      <c r="A1002" t="s">
        <v>2131</v>
      </c>
      <c r="B1002" t="s">
        <v>168</v>
      </c>
      <c r="C1002" t="s">
        <v>169</v>
      </c>
      <c r="D1002" t="s">
        <v>81</v>
      </c>
      <c r="E1002">
        <v>6</v>
      </c>
      <c r="F1002" t="s">
        <v>41</v>
      </c>
      <c r="G1002">
        <v>162000</v>
      </c>
      <c r="H1002">
        <v>157000</v>
      </c>
      <c r="I1002">
        <v>218000</v>
      </c>
      <c r="J1002" t="s">
        <v>60</v>
      </c>
      <c r="K1002" t="s">
        <v>60</v>
      </c>
      <c r="L1002" t="s">
        <v>32</v>
      </c>
      <c r="M1002" t="s">
        <v>82</v>
      </c>
      <c r="N1002" t="s">
        <v>131</v>
      </c>
      <c r="O1002" t="s">
        <v>2132</v>
      </c>
      <c r="P1002">
        <v>8.3000000000000007</v>
      </c>
      <c r="Q1002">
        <v>90</v>
      </c>
      <c r="R1002">
        <v>6.7</v>
      </c>
      <c r="S1002">
        <v>6.2</v>
      </c>
      <c r="T1002">
        <v>2026</v>
      </c>
      <c r="U1002">
        <v>3</v>
      </c>
      <c r="V1002">
        <v>0</v>
      </c>
      <c r="W1002" t="s">
        <v>36</v>
      </c>
      <c r="X1002" t="s">
        <v>64</v>
      </c>
      <c r="Y1002" t="s">
        <v>48</v>
      </c>
    </row>
    <row r="1003" spans="1:25" x14ac:dyDescent="0.35">
      <c r="A1003" t="s">
        <v>2133</v>
      </c>
      <c r="B1003" t="s">
        <v>153</v>
      </c>
      <c r="C1003" t="s">
        <v>154</v>
      </c>
      <c r="D1003" t="s">
        <v>81</v>
      </c>
      <c r="E1003">
        <v>8</v>
      </c>
      <c r="F1003" t="s">
        <v>29</v>
      </c>
      <c r="G1003">
        <v>95000</v>
      </c>
      <c r="H1003">
        <v>95000</v>
      </c>
      <c r="I1003">
        <v>180000</v>
      </c>
      <c r="J1003" t="s">
        <v>142</v>
      </c>
      <c r="K1003" t="s">
        <v>143</v>
      </c>
      <c r="L1003" t="s">
        <v>53</v>
      </c>
      <c r="M1003" t="s">
        <v>33</v>
      </c>
      <c r="N1003" t="s">
        <v>119</v>
      </c>
      <c r="O1003" t="s">
        <v>2134</v>
      </c>
      <c r="P1003">
        <v>9.4</v>
      </c>
      <c r="Q1003">
        <v>78</v>
      </c>
      <c r="R1003">
        <v>11.9</v>
      </c>
      <c r="S1003">
        <v>9.6</v>
      </c>
      <c r="T1003">
        <v>2025</v>
      </c>
      <c r="U1003">
        <v>12</v>
      </c>
      <c r="V1003">
        <v>0</v>
      </c>
      <c r="W1003" t="s">
        <v>47</v>
      </c>
      <c r="X1003" t="s">
        <v>64</v>
      </c>
      <c r="Y1003" t="s">
        <v>98</v>
      </c>
    </row>
    <row r="1004" spans="1:25" x14ac:dyDescent="0.35">
      <c r="A1004" t="s">
        <v>2135</v>
      </c>
      <c r="B1004" t="s">
        <v>134</v>
      </c>
      <c r="C1004" t="s">
        <v>27</v>
      </c>
      <c r="D1004" t="s">
        <v>81</v>
      </c>
      <c r="E1004">
        <v>8</v>
      </c>
      <c r="F1004" t="s">
        <v>69</v>
      </c>
      <c r="G1004">
        <v>177000</v>
      </c>
      <c r="H1004">
        <v>150000</v>
      </c>
      <c r="I1004">
        <v>295000</v>
      </c>
      <c r="J1004" t="s">
        <v>102</v>
      </c>
      <c r="K1004" t="s">
        <v>103</v>
      </c>
      <c r="L1004" t="s">
        <v>32</v>
      </c>
      <c r="M1004" t="s">
        <v>45</v>
      </c>
      <c r="N1004" t="s">
        <v>110</v>
      </c>
      <c r="O1004" t="s">
        <v>2136</v>
      </c>
      <c r="P1004">
        <v>16.3</v>
      </c>
      <c r="Q1004">
        <v>95</v>
      </c>
      <c r="R1004">
        <v>65.7</v>
      </c>
      <c r="S1004">
        <v>8.6</v>
      </c>
      <c r="T1004">
        <v>2025</v>
      </c>
      <c r="U1004">
        <v>2</v>
      </c>
      <c r="V1004">
        <v>0</v>
      </c>
      <c r="W1004" t="s">
        <v>36</v>
      </c>
      <c r="X1004" t="s">
        <v>37</v>
      </c>
      <c r="Y1004" t="s">
        <v>48</v>
      </c>
    </row>
    <row r="1005" spans="1:25" x14ac:dyDescent="0.35">
      <c r="A1005" t="s">
        <v>2137</v>
      </c>
      <c r="B1005" t="s">
        <v>203</v>
      </c>
      <c r="C1005" t="s">
        <v>169</v>
      </c>
      <c r="D1005" t="s">
        <v>74</v>
      </c>
      <c r="E1005">
        <v>5</v>
      </c>
      <c r="F1005" t="s">
        <v>41</v>
      </c>
      <c r="G1005">
        <v>138000</v>
      </c>
      <c r="H1005">
        <v>138000</v>
      </c>
      <c r="I1005">
        <v>195000</v>
      </c>
      <c r="J1005" t="s">
        <v>102</v>
      </c>
      <c r="K1005" t="s">
        <v>103</v>
      </c>
      <c r="L1005" t="s">
        <v>44</v>
      </c>
      <c r="M1005" t="s">
        <v>54</v>
      </c>
      <c r="N1005" t="s">
        <v>76</v>
      </c>
      <c r="O1005" t="s">
        <v>2138</v>
      </c>
      <c r="P1005">
        <v>7.6</v>
      </c>
      <c r="Q1005">
        <v>92</v>
      </c>
      <c r="R1005">
        <v>19.100000000000001</v>
      </c>
      <c r="S1005">
        <v>9.5</v>
      </c>
      <c r="T1005">
        <v>2026</v>
      </c>
      <c r="U1005">
        <v>1</v>
      </c>
      <c r="V1005">
        <v>0</v>
      </c>
      <c r="W1005" t="s">
        <v>47</v>
      </c>
      <c r="X1005" t="s">
        <v>64</v>
      </c>
      <c r="Y1005" t="s">
        <v>95</v>
      </c>
    </row>
    <row r="1006" spans="1:25" x14ac:dyDescent="0.35">
      <c r="A1006" t="s">
        <v>2139</v>
      </c>
      <c r="B1006" t="s">
        <v>158</v>
      </c>
      <c r="C1006" t="s">
        <v>27</v>
      </c>
      <c r="D1006" t="s">
        <v>68</v>
      </c>
      <c r="E1006">
        <v>2</v>
      </c>
      <c r="F1006" t="s">
        <v>69</v>
      </c>
      <c r="G1006">
        <v>215000</v>
      </c>
      <c r="H1006">
        <v>145000</v>
      </c>
      <c r="I1006">
        <v>280000</v>
      </c>
      <c r="J1006" t="s">
        <v>113</v>
      </c>
      <c r="K1006" t="s">
        <v>114</v>
      </c>
      <c r="L1006" t="s">
        <v>32</v>
      </c>
      <c r="M1006" t="s">
        <v>61</v>
      </c>
      <c r="N1006" t="s">
        <v>62</v>
      </c>
      <c r="O1006" t="s">
        <v>2140</v>
      </c>
      <c r="P1006">
        <v>6.5</v>
      </c>
      <c r="Q1006">
        <v>94</v>
      </c>
      <c r="R1006">
        <v>25</v>
      </c>
      <c r="S1006">
        <v>9.6</v>
      </c>
      <c r="T1006">
        <v>2026</v>
      </c>
      <c r="U1006">
        <v>1</v>
      </c>
      <c r="V1006">
        <v>1</v>
      </c>
      <c r="W1006" t="s">
        <v>36</v>
      </c>
      <c r="X1006" t="s">
        <v>37</v>
      </c>
      <c r="Y1006" t="s">
        <v>38</v>
      </c>
    </row>
    <row r="1007" spans="1:25" x14ac:dyDescent="0.35">
      <c r="A1007" t="s">
        <v>2141</v>
      </c>
      <c r="B1007" t="s">
        <v>196</v>
      </c>
      <c r="C1007" t="s">
        <v>27</v>
      </c>
      <c r="D1007" t="s">
        <v>68</v>
      </c>
      <c r="E1007">
        <v>8</v>
      </c>
      <c r="F1007" t="s">
        <v>41</v>
      </c>
      <c r="G1007">
        <v>187000</v>
      </c>
      <c r="H1007">
        <v>100000</v>
      </c>
      <c r="I1007">
        <v>250000</v>
      </c>
      <c r="J1007" t="s">
        <v>170</v>
      </c>
      <c r="K1007" t="s">
        <v>171</v>
      </c>
      <c r="L1007" t="s">
        <v>44</v>
      </c>
      <c r="M1007" t="s">
        <v>61</v>
      </c>
      <c r="N1007" t="s">
        <v>71</v>
      </c>
      <c r="O1007" t="s">
        <v>2142</v>
      </c>
      <c r="P1007">
        <v>11.8</v>
      </c>
      <c r="Q1007">
        <v>95</v>
      </c>
      <c r="R1007">
        <v>18</v>
      </c>
      <c r="S1007">
        <v>7.9</v>
      </c>
      <c r="T1007">
        <v>2026</v>
      </c>
      <c r="U1007">
        <v>3</v>
      </c>
      <c r="V1007">
        <v>1</v>
      </c>
      <c r="W1007" t="s">
        <v>47</v>
      </c>
      <c r="X1007" t="s">
        <v>64</v>
      </c>
      <c r="Y1007" t="s">
        <v>48</v>
      </c>
    </row>
    <row r="1008" spans="1:25" x14ac:dyDescent="0.35">
      <c r="A1008" t="s">
        <v>2143</v>
      </c>
      <c r="B1008" t="s">
        <v>50</v>
      </c>
      <c r="C1008" t="s">
        <v>27</v>
      </c>
      <c r="D1008" t="s">
        <v>81</v>
      </c>
      <c r="E1008">
        <v>8</v>
      </c>
      <c r="F1008" t="s">
        <v>41</v>
      </c>
      <c r="G1008">
        <v>173000</v>
      </c>
      <c r="H1008">
        <v>160000</v>
      </c>
      <c r="I1008">
        <v>300000</v>
      </c>
      <c r="J1008" t="s">
        <v>47</v>
      </c>
      <c r="K1008" t="s">
        <v>87</v>
      </c>
      <c r="L1008" t="s">
        <v>44</v>
      </c>
      <c r="M1008" t="s">
        <v>61</v>
      </c>
      <c r="N1008" t="s">
        <v>131</v>
      </c>
      <c r="O1008" t="s">
        <v>2144</v>
      </c>
      <c r="P1008">
        <v>9.9</v>
      </c>
      <c r="Q1008">
        <v>98</v>
      </c>
      <c r="R1008">
        <v>20</v>
      </c>
      <c r="S1008">
        <v>9.1999999999999993</v>
      </c>
      <c r="T1008">
        <v>2026</v>
      </c>
      <c r="U1008">
        <v>2</v>
      </c>
      <c r="V1008">
        <v>0</v>
      </c>
      <c r="W1008" t="s">
        <v>47</v>
      </c>
      <c r="X1008" t="s">
        <v>37</v>
      </c>
      <c r="Y1008" t="s">
        <v>48</v>
      </c>
    </row>
    <row r="1009" spans="1:25" x14ac:dyDescent="0.35">
      <c r="A1009" t="s">
        <v>2145</v>
      </c>
      <c r="B1009" t="s">
        <v>91</v>
      </c>
      <c r="C1009" t="s">
        <v>27</v>
      </c>
      <c r="D1009" t="s">
        <v>81</v>
      </c>
      <c r="E1009">
        <v>7</v>
      </c>
      <c r="F1009" t="s">
        <v>29</v>
      </c>
      <c r="G1009">
        <v>153000</v>
      </c>
      <c r="H1009">
        <v>145000</v>
      </c>
      <c r="I1009">
        <v>290000</v>
      </c>
      <c r="J1009" t="s">
        <v>122</v>
      </c>
      <c r="K1009" t="s">
        <v>123</v>
      </c>
      <c r="L1009" t="s">
        <v>32</v>
      </c>
      <c r="M1009" t="s">
        <v>33</v>
      </c>
      <c r="N1009" t="s">
        <v>83</v>
      </c>
      <c r="O1009" t="s">
        <v>2146</v>
      </c>
      <c r="P1009">
        <v>9.4</v>
      </c>
      <c r="Q1009">
        <v>91</v>
      </c>
      <c r="R1009">
        <v>34.700000000000003</v>
      </c>
      <c r="S1009">
        <v>6.3</v>
      </c>
      <c r="T1009">
        <v>2026</v>
      </c>
      <c r="U1009">
        <v>3</v>
      </c>
      <c r="V1009">
        <v>0</v>
      </c>
      <c r="W1009" t="s">
        <v>36</v>
      </c>
      <c r="X1009" t="s">
        <v>64</v>
      </c>
      <c r="Y1009" t="s">
        <v>48</v>
      </c>
    </row>
    <row r="1010" spans="1:25" x14ac:dyDescent="0.35">
      <c r="A1010" t="s">
        <v>2147</v>
      </c>
      <c r="B1010" t="s">
        <v>134</v>
      </c>
      <c r="C1010" t="s">
        <v>27</v>
      </c>
      <c r="D1010" t="s">
        <v>28</v>
      </c>
      <c r="E1010">
        <v>5</v>
      </c>
      <c r="F1010" t="s">
        <v>128</v>
      </c>
      <c r="G1010">
        <v>354000</v>
      </c>
      <c r="H1010">
        <v>150000</v>
      </c>
      <c r="I1010">
        <v>295000</v>
      </c>
      <c r="J1010" t="s">
        <v>174</v>
      </c>
      <c r="K1010" t="s">
        <v>31</v>
      </c>
      <c r="L1010" t="s">
        <v>53</v>
      </c>
      <c r="M1010" t="s">
        <v>54</v>
      </c>
      <c r="N1010" t="s">
        <v>71</v>
      </c>
      <c r="O1010" t="s">
        <v>2148</v>
      </c>
      <c r="P1010">
        <v>12.7</v>
      </c>
      <c r="Q1010">
        <v>95</v>
      </c>
      <c r="R1010">
        <v>20.8</v>
      </c>
      <c r="S1010">
        <v>7.8</v>
      </c>
      <c r="T1010">
        <v>2026</v>
      </c>
      <c r="U1010">
        <v>3</v>
      </c>
      <c r="V1010">
        <v>1</v>
      </c>
      <c r="W1010" t="s">
        <v>47</v>
      </c>
      <c r="X1010" t="s">
        <v>37</v>
      </c>
      <c r="Y1010" t="s">
        <v>56</v>
      </c>
    </row>
    <row r="1011" spans="1:25" x14ac:dyDescent="0.35">
      <c r="A1011" t="s">
        <v>2149</v>
      </c>
      <c r="B1011" t="s">
        <v>163</v>
      </c>
      <c r="C1011" t="s">
        <v>164</v>
      </c>
      <c r="D1011" t="s">
        <v>28</v>
      </c>
      <c r="E1011">
        <v>8</v>
      </c>
      <c r="F1011" t="s">
        <v>128</v>
      </c>
      <c r="G1011">
        <v>288000</v>
      </c>
      <c r="H1011">
        <v>125000</v>
      </c>
      <c r="I1011">
        <v>240000</v>
      </c>
      <c r="J1011" t="s">
        <v>174</v>
      </c>
      <c r="K1011" t="s">
        <v>31</v>
      </c>
      <c r="L1011" t="s">
        <v>32</v>
      </c>
      <c r="M1011" t="s">
        <v>61</v>
      </c>
      <c r="N1011" t="s">
        <v>119</v>
      </c>
      <c r="O1011" t="s">
        <v>2150</v>
      </c>
      <c r="P1011">
        <v>17.600000000000001</v>
      </c>
      <c r="Q1011">
        <v>76</v>
      </c>
      <c r="R1011">
        <v>18.399999999999999</v>
      </c>
      <c r="S1011">
        <v>9.5</v>
      </c>
      <c r="T1011">
        <v>2025</v>
      </c>
      <c r="U1011">
        <v>7</v>
      </c>
      <c r="V1011">
        <v>1</v>
      </c>
      <c r="W1011" t="s">
        <v>36</v>
      </c>
      <c r="X1011" t="s">
        <v>64</v>
      </c>
      <c r="Y1011" t="s">
        <v>38</v>
      </c>
    </row>
    <row r="1012" spans="1:25" x14ac:dyDescent="0.35">
      <c r="A1012" t="s">
        <v>2151</v>
      </c>
      <c r="B1012" t="s">
        <v>163</v>
      </c>
      <c r="C1012" t="s">
        <v>164</v>
      </c>
      <c r="D1012" t="s">
        <v>68</v>
      </c>
      <c r="E1012">
        <v>9</v>
      </c>
      <c r="F1012" t="s">
        <v>128</v>
      </c>
      <c r="G1012">
        <v>244000</v>
      </c>
      <c r="H1012">
        <v>125000</v>
      </c>
      <c r="I1012">
        <v>240000</v>
      </c>
      <c r="J1012" t="s">
        <v>137</v>
      </c>
      <c r="K1012" t="s">
        <v>138</v>
      </c>
      <c r="L1012" t="s">
        <v>44</v>
      </c>
      <c r="M1012" t="s">
        <v>82</v>
      </c>
      <c r="N1012" t="s">
        <v>88</v>
      </c>
      <c r="O1012" t="s">
        <v>2152</v>
      </c>
      <c r="P1012">
        <v>13.1</v>
      </c>
      <c r="Q1012">
        <v>76</v>
      </c>
      <c r="R1012">
        <v>10.8</v>
      </c>
      <c r="S1012">
        <v>9.1</v>
      </c>
      <c r="T1012">
        <v>2026</v>
      </c>
      <c r="U1012">
        <v>1</v>
      </c>
      <c r="V1012">
        <v>1</v>
      </c>
      <c r="W1012" t="s">
        <v>47</v>
      </c>
      <c r="X1012" t="s">
        <v>64</v>
      </c>
      <c r="Y1012" t="s">
        <v>38</v>
      </c>
    </row>
    <row r="1013" spans="1:25" x14ac:dyDescent="0.35">
      <c r="A1013" t="s">
        <v>2153</v>
      </c>
      <c r="B1013" t="s">
        <v>153</v>
      </c>
      <c r="C1013" t="s">
        <v>154</v>
      </c>
      <c r="D1013" t="s">
        <v>74</v>
      </c>
      <c r="E1013">
        <v>8</v>
      </c>
      <c r="F1013" t="s">
        <v>69</v>
      </c>
      <c r="G1013">
        <v>123000</v>
      </c>
      <c r="H1013">
        <v>95000</v>
      </c>
      <c r="I1013">
        <v>180000</v>
      </c>
      <c r="J1013" t="s">
        <v>30</v>
      </c>
      <c r="K1013" t="s">
        <v>31</v>
      </c>
      <c r="L1013" t="s">
        <v>53</v>
      </c>
      <c r="M1013" t="s">
        <v>54</v>
      </c>
      <c r="N1013" t="s">
        <v>165</v>
      </c>
      <c r="O1013" t="s">
        <v>2154</v>
      </c>
      <c r="P1013">
        <v>15.6</v>
      </c>
      <c r="Q1013">
        <v>78</v>
      </c>
      <c r="R1013">
        <v>28.3</v>
      </c>
      <c r="S1013">
        <v>8.9</v>
      </c>
      <c r="T1013">
        <v>2026</v>
      </c>
      <c r="U1013">
        <v>1</v>
      </c>
      <c r="V1013">
        <v>0</v>
      </c>
      <c r="W1013" t="s">
        <v>47</v>
      </c>
      <c r="X1013" t="s">
        <v>64</v>
      </c>
      <c r="Y1013" t="s">
        <v>95</v>
      </c>
    </row>
    <row r="1014" spans="1:25" x14ac:dyDescent="0.35">
      <c r="A1014" t="s">
        <v>2155</v>
      </c>
      <c r="B1014" t="s">
        <v>50</v>
      </c>
      <c r="C1014" t="s">
        <v>27</v>
      </c>
      <c r="D1014" t="s">
        <v>81</v>
      </c>
      <c r="E1014">
        <v>4</v>
      </c>
      <c r="F1014" t="s">
        <v>128</v>
      </c>
      <c r="G1014">
        <v>160000</v>
      </c>
      <c r="H1014">
        <v>160000</v>
      </c>
      <c r="I1014">
        <v>300000</v>
      </c>
      <c r="J1014" t="s">
        <v>108</v>
      </c>
      <c r="K1014" t="s">
        <v>109</v>
      </c>
      <c r="L1014" t="s">
        <v>53</v>
      </c>
      <c r="M1014" t="s">
        <v>61</v>
      </c>
      <c r="N1014" t="s">
        <v>165</v>
      </c>
      <c r="O1014" t="s">
        <v>2156</v>
      </c>
      <c r="P1014">
        <v>5.9</v>
      </c>
      <c r="Q1014">
        <v>98</v>
      </c>
      <c r="R1014">
        <v>35</v>
      </c>
      <c r="S1014">
        <v>6.7</v>
      </c>
      <c r="T1014">
        <v>2026</v>
      </c>
      <c r="U1014">
        <v>1</v>
      </c>
      <c r="V1014">
        <v>0</v>
      </c>
      <c r="W1014" t="s">
        <v>47</v>
      </c>
      <c r="X1014" t="s">
        <v>37</v>
      </c>
      <c r="Y1014" t="s">
        <v>48</v>
      </c>
    </row>
    <row r="1015" spans="1:25" x14ac:dyDescent="0.35">
      <c r="A1015" t="s">
        <v>2157</v>
      </c>
      <c r="B1015" t="s">
        <v>609</v>
      </c>
      <c r="C1015" t="s">
        <v>124</v>
      </c>
      <c r="D1015" t="s">
        <v>81</v>
      </c>
      <c r="E1015">
        <v>6</v>
      </c>
      <c r="F1015" t="s">
        <v>69</v>
      </c>
      <c r="G1015">
        <v>169000</v>
      </c>
      <c r="H1015">
        <v>115000</v>
      </c>
      <c r="I1015">
        <v>280000</v>
      </c>
      <c r="J1015" t="s">
        <v>52</v>
      </c>
      <c r="K1015" t="s">
        <v>31</v>
      </c>
      <c r="L1015" t="s">
        <v>32</v>
      </c>
      <c r="M1015" t="s">
        <v>61</v>
      </c>
      <c r="N1015" t="s">
        <v>62</v>
      </c>
      <c r="O1015" t="s">
        <v>2158</v>
      </c>
      <c r="P1015">
        <v>8.1999999999999993</v>
      </c>
      <c r="Q1015">
        <v>88</v>
      </c>
      <c r="R1015">
        <v>18</v>
      </c>
      <c r="S1015">
        <v>6.9</v>
      </c>
      <c r="T1015">
        <v>2025</v>
      </c>
      <c r="U1015">
        <v>12</v>
      </c>
      <c r="V1015">
        <v>0</v>
      </c>
      <c r="W1015" t="s">
        <v>36</v>
      </c>
      <c r="X1015" t="s">
        <v>64</v>
      </c>
      <c r="Y1015" t="s">
        <v>48</v>
      </c>
    </row>
    <row r="1016" spans="1:25" x14ac:dyDescent="0.35">
      <c r="A1016" t="s">
        <v>2159</v>
      </c>
      <c r="B1016" t="s">
        <v>50</v>
      </c>
      <c r="C1016" t="s">
        <v>27</v>
      </c>
      <c r="D1016" t="s">
        <v>74</v>
      </c>
      <c r="E1016">
        <v>6</v>
      </c>
      <c r="F1016" t="s">
        <v>51</v>
      </c>
      <c r="G1016">
        <v>160000</v>
      </c>
      <c r="H1016">
        <v>160000</v>
      </c>
      <c r="I1016">
        <v>300000</v>
      </c>
      <c r="J1016" t="s">
        <v>170</v>
      </c>
      <c r="K1016" t="s">
        <v>171</v>
      </c>
      <c r="L1016" t="s">
        <v>53</v>
      </c>
      <c r="M1016" t="s">
        <v>61</v>
      </c>
      <c r="N1016" t="s">
        <v>165</v>
      </c>
      <c r="O1016" t="s">
        <v>2160</v>
      </c>
      <c r="P1016">
        <v>9</v>
      </c>
      <c r="Q1016">
        <v>98</v>
      </c>
      <c r="R1016">
        <v>43.1</v>
      </c>
      <c r="S1016">
        <v>8.9</v>
      </c>
      <c r="T1016">
        <v>2026</v>
      </c>
      <c r="U1016">
        <v>1</v>
      </c>
      <c r="V1016">
        <v>0</v>
      </c>
      <c r="W1016" t="s">
        <v>47</v>
      </c>
      <c r="X1016" t="s">
        <v>37</v>
      </c>
      <c r="Y1016" t="s">
        <v>48</v>
      </c>
    </row>
    <row r="1017" spans="1:25" x14ac:dyDescent="0.35">
      <c r="A1017" t="s">
        <v>2161</v>
      </c>
      <c r="B1017" t="s">
        <v>168</v>
      </c>
      <c r="C1017" t="s">
        <v>169</v>
      </c>
      <c r="D1017" t="s">
        <v>68</v>
      </c>
      <c r="E1017">
        <v>12</v>
      </c>
      <c r="F1017" t="s">
        <v>51</v>
      </c>
      <c r="G1017">
        <v>226000</v>
      </c>
      <c r="H1017">
        <v>157000</v>
      </c>
      <c r="I1017">
        <v>218000</v>
      </c>
      <c r="J1017" t="s">
        <v>47</v>
      </c>
      <c r="K1017" t="s">
        <v>87</v>
      </c>
      <c r="L1017" t="s">
        <v>44</v>
      </c>
      <c r="M1017" t="s">
        <v>61</v>
      </c>
      <c r="N1017" t="s">
        <v>155</v>
      </c>
      <c r="O1017" t="s">
        <v>2162</v>
      </c>
      <c r="P1017">
        <v>10</v>
      </c>
      <c r="Q1017">
        <v>90</v>
      </c>
      <c r="R1017">
        <v>14.7</v>
      </c>
      <c r="S1017">
        <v>6.2</v>
      </c>
      <c r="T1017">
        <v>2025</v>
      </c>
      <c r="U1017">
        <v>10</v>
      </c>
      <c r="V1017">
        <v>1</v>
      </c>
      <c r="W1017" t="s">
        <v>47</v>
      </c>
      <c r="X1017" t="s">
        <v>64</v>
      </c>
      <c r="Y1017" t="s">
        <v>38</v>
      </c>
    </row>
    <row r="1018" spans="1:25" x14ac:dyDescent="0.35">
      <c r="A1018" t="s">
        <v>2163</v>
      </c>
      <c r="B1018" t="s">
        <v>153</v>
      </c>
      <c r="C1018" t="s">
        <v>154</v>
      </c>
      <c r="D1018" t="s">
        <v>81</v>
      </c>
      <c r="E1018">
        <v>2</v>
      </c>
      <c r="F1018" t="s">
        <v>29</v>
      </c>
      <c r="G1018">
        <v>114000</v>
      </c>
      <c r="H1018">
        <v>95000</v>
      </c>
      <c r="I1018">
        <v>180000</v>
      </c>
      <c r="J1018" t="s">
        <v>117</v>
      </c>
      <c r="K1018" t="s">
        <v>118</v>
      </c>
      <c r="L1018" t="s">
        <v>44</v>
      </c>
      <c r="M1018" t="s">
        <v>82</v>
      </c>
      <c r="N1018" t="s">
        <v>119</v>
      </c>
      <c r="O1018" t="s">
        <v>2164</v>
      </c>
      <c r="P1018">
        <v>10.6</v>
      </c>
      <c r="Q1018">
        <v>78</v>
      </c>
      <c r="R1018">
        <v>17.5</v>
      </c>
      <c r="S1018">
        <v>8.9</v>
      </c>
      <c r="T1018">
        <v>2026</v>
      </c>
      <c r="U1018">
        <v>2</v>
      </c>
      <c r="V1018">
        <v>0</v>
      </c>
      <c r="W1018" t="s">
        <v>47</v>
      </c>
      <c r="X1018" t="s">
        <v>64</v>
      </c>
      <c r="Y1018" t="s">
        <v>95</v>
      </c>
    </row>
    <row r="1019" spans="1:25" x14ac:dyDescent="0.35">
      <c r="A1019" t="s">
        <v>2165</v>
      </c>
      <c r="B1019" t="s">
        <v>168</v>
      </c>
      <c r="C1019" t="s">
        <v>169</v>
      </c>
      <c r="D1019" t="s">
        <v>28</v>
      </c>
      <c r="E1019">
        <v>8</v>
      </c>
      <c r="F1019" t="s">
        <v>41</v>
      </c>
      <c r="G1019">
        <v>233000</v>
      </c>
      <c r="H1019">
        <v>157000</v>
      </c>
      <c r="I1019">
        <v>218000</v>
      </c>
      <c r="J1019" t="s">
        <v>174</v>
      </c>
      <c r="K1019" t="s">
        <v>31</v>
      </c>
      <c r="L1019" t="s">
        <v>44</v>
      </c>
      <c r="M1019" t="s">
        <v>61</v>
      </c>
      <c r="N1019" t="s">
        <v>165</v>
      </c>
      <c r="O1019" t="s">
        <v>2166</v>
      </c>
      <c r="P1019">
        <v>4.8</v>
      </c>
      <c r="Q1019">
        <v>90</v>
      </c>
      <c r="R1019">
        <v>19.600000000000001</v>
      </c>
      <c r="S1019">
        <v>8.6999999999999993</v>
      </c>
      <c r="T1019">
        <v>2026</v>
      </c>
      <c r="U1019">
        <v>2</v>
      </c>
      <c r="V1019">
        <v>1</v>
      </c>
      <c r="W1019" t="s">
        <v>47</v>
      </c>
      <c r="X1019" t="s">
        <v>64</v>
      </c>
      <c r="Y1019" t="s">
        <v>38</v>
      </c>
    </row>
    <row r="1020" spans="1:25" x14ac:dyDescent="0.35">
      <c r="A1020" t="s">
        <v>2167</v>
      </c>
      <c r="B1020" t="s">
        <v>100</v>
      </c>
      <c r="C1020" t="s">
        <v>101</v>
      </c>
      <c r="D1020" t="s">
        <v>74</v>
      </c>
      <c r="E1020">
        <v>10</v>
      </c>
      <c r="F1020" t="s">
        <v>41</v>
      </c>
      <c r="G1020">
        <v>180000</v>
      </c>
      <c r="H1020">
        <v>180000</v>
      </c>
      <c r="I1020">
        <v>320000</v>
      </c>
      <c r="J1020" t="s">
        <v>191</v>
      </c>
      <c r="K1020" t="s">
        <v>31</v>
      </c>
      <c r="L1020" t="s">
        <v>32</v>
      </c>
      <c r="M1020" t="s">
        <v>33</v>
      </c>
      <c r="N1020" t="s">
        <v>119</v>
      </c>
      <c r="O1020" t="s">
        <v>2168</v>
      </c>
      <c r="P1020">
        <v>12.5</v>
      </c>
      <c r="Q1020">
        <v>84</v>
      </c>
      <c r="R1020">
        <v>28.1</v>
      </c>
      <c r="S1020">
        <v>7.1</v>
      </c>
      <c r="T1020">
        <v>2025</v>
      </c>
      <c r="U1020">
        <v>7</v>
      </c>
      <c r="V1020">
        <v>0</v>
      </c>
      <c r="W1020" t="s">
        <v>36</v>
      </c>
      <c r="X1020" t="s">
        <v>64</v>
      </c>
      <c r="Y1020" t="s">
        <v>48</v>
      </c>
    </row>
    <row r="1021" spans="1:25" x14ac:dyDescent="0.35">
      <c r="A1021" t="s">
        <v>2169</v>
      </c>
      <c r="B1021" t="s">
        <v>168</v>
      </c>
      <c r="C1021" t="s">
        <v>169</v>
      </c>
      <c r="D1021" t="s">
        <v>28</v>
      </c>
      <c r="E1021">
        <v>12</v>
      </c>
      <c r="F1021" t="s">
        <v>51</v>
      </c>
      <c r="G1021">
        <v>261600</v>
      </c>
      <c r="H1021">
        <v>157000</v>
      </c>
      <c r="I1021">
        <v>218000</v>
      </c>
      <c r="J1021" t="s">
        <v>296</v>
      </c>
      <c r="K1021" t="s">
        <v>31</v>
      </c>
      <c r="L1021" t="s">
        <v>32</v>
      </c>
      <c r="M1021" t="s">
        <v>54</v>
      </c>
      <c r="N1021" t="s">
        <v>110</v>
      </c>
      <c r="O1021" t="s">
        <v>2170</v>
      </c>
      <c r="P1021">
        <v>9.5</v>
      </c>
      <c r="Q1021">
        <v>90</v>
      </c>
      <c r="R1021">
        <v>13.6</v>
      </c>
      <c r="S1021">
        <v>7.7</v>
      </c>
      <c r="T1021">
        <v>2025</v>
      </c>
      <c r="U1021">
        <v>2</v>
      </c>
      <c r="V1021">
        <v>1</v>
      </c>
      <c r="W1021" t="s">
        <v>36</v>
      </c>
      <c r="X1021" t="s">
        <v>64</v>
      </c>
      <c r="Y1021" t="s">
        <v>38</v>
      </c>
    </row>
    <row r="1022" spans="1:25" x14ac:dyDescent="0.35">
      <c r="A1022" t="s">
        <v>2171</v>
      </c>
      <c r="B1022" t="s">
        <v>609</v>
      </c>
      <c r="C1022" t="s">
        <v>124</v>
      </c>
      <c r="D1022" t="s">
        <v>81</v>
      </c>
      <c r="E1022">
        <v>5</v>
      </c>
      <c r="F1022" t="s">
        <v>51</v>
      </c>
      <c r="G1022">
        <v>115000</v>
      </c>
      <c r="H1022">
        <v>115000</v>
      </c>
      <c r="I1022">
        <v>280000</v>
      </c>
      <c r="J1022" t="s">
        <v>108</v>
      </c>
      <c r="K1022" t="s">
        <v>109</v>
      </c>
      <c r="L1022" t="s">
        <v>32</v>
      </c>
      <c r="M1022" t="s">
        <v>33</v>
      </c>
      <c r="N1022" t="s">
        <v>165</v>
      </c>
      <c r="O1022" t="s">
        <v>2172</v>
      </c>
      <c r="P1022">
        <v>14.7</v>
      </c>
      <c r="Q1022">
        <v>88</v>
      </c>
      <c r="R1022">
        <v>27.3</v>
      </c>
      <c r="S1022">
        <v>6.4</v>
      </c>
      <c r="T1022">
        <v>2025</v>
      </c>
      <c r="U1022">
        <v>8</v>
      </c>
      <c r="V1022">
        <v>0</v>
      </c>
      <c r="W1022" t="s">
        <v>36</v>
      </c>
      <c r="X1022" t="s">
        <v>64</v>
      </c>
      <c r="Y1022" t="s">
        <v>95</v>
      </c>
    </row>
    <row r="1023" spans="1:25" x14ac:dyDescent="0.35">
      <c r="A1023" t="s">
        <v>2173</v>
      </c>
      <c r="B1023" t="s">
        <v>158</v>
      </c>
      <c r="C1023" t="s">
        <v>27</v>
      </c>
      <c r="D1023" t="s">
        <v>74</v>
      </c>
      <c r="E1023">
        <v>2</v>
      </c>
      <c r="F1023" t="s">
        <v>128</v>
      </c>
      <c r="G1023">
        <v>157000</v>
      </c>
      <c r="H1023">
        <v>145000</v>
      </c>
      <c r="I1023">
        <v>280000</v>
      </c>
      <c r="J1023" t="s">
        <v>75</v>
      </c>
      <c r="K1023" t="s">
        <v>31</v>
      </c>
      <c r="L1023" t="s">
        <v>32</v>
      </c>
      <c r="M1023" t="s">
        <v>61</v>
      </c>
      <c r="N1023" t="s">
        <v>62</v>
      </c>
      <c r="O1023" t="s">
        <v>2174</v>
      </c>
      <c r="P1023">
        <v>9.1999999999999993</v>
      </c>
      <c r="Q1023">
        <v>94</v>
      </c>
      <c r="R1023">
        <v>81.2</v>
      </c>
      <c r="S1023">
        <v>6.8</v>
      </c>
      <c r="T1023">
        <v>2026</v>
      </c>
      <c r="U1023">
        <v>3</v>
      </c>
      <c r="V1023">
        <v>0</v>
      </c>
      <c r="W1023" t="s">
        <v>36</v>
      </c>
      <c r="X1023" t="s">
        <v>37</v>
      </c>
      <c r="Y1023" t="s">
        <v>48</v>
      </c>
    </row>
    <row r="1024" spans="1:25" x14ac:dyDescent="0.35">
      <c r="A1024" t="s">
        <v>2175</v>
      </c>
      <c r="B1024" t="s">
        <v>134</v>
      </c>
      <c r="C1024" t="s">
        <v>27</v>
      </c>
      <c r="D1024" t="s">
        <v>28</v>
      </c>
      <c r="E1024">
        <v>7</v>
      </c>
      <c r="F1024" t="s">
        <v>41</v>
      </c>
      <c r="G1024">
        <v>161000</v>
      </c>
      <c r="H1024">
        <v>150000</v>
      </c>
      <c r="I1024">
        <v>295000</v>
      </c>
      <c r="J1024" t="s">
        <v>122</v>
      </c>
      <c r="K1024" t="s">
        <v>123</v>
      </c>
      <c r="L1024" t="s">
        <v>53</v>
      </c>
      <c r="M1024" t="s">
        <v>33</v>
      </c>
      <c r="N1024" t="s">
        <v>124</v>
      </c>
      <c r="O1024" t="s">
        <v>2176</v>
      </c>
      <c r="P1024">
        <v>15.5</v>
      </c>
      <c r="Q1024">
        <v>95</v>
      </c>
      <c r="R1024">
        <v>37.799999999999997</v>
      </c>
      <c r="S1024">
        <v>8.8000000000000007</v>
      </c>
      <c r="T1024">
        <v>2026</v>
      </c>
      <c r="U1024">
        <v>2</v>
      </c>
      <c r="V1024">
        <v>1</v>
      </c>
      <c r="W1024" t="s">
        <v>47</v>
      </c>
      <c r="X1024" t="s">
        <v>37</v>
      </c>
      <c r="Y1024" t="s">
        <v>48</v>
      </c>
    </row>
    <row r="1025" spans="1:25" x14ac:dyDescent="0.35">
      <c r="A1025" t="s">
        <v>2177</v>
      </c>
      <c r="B1025" t="s">
        <v>26</v>
      </c>
      <c r="C1025" t="s">
        <v>27</v>
      </c>
      <c r="D1025" t="s">
        <v>68</v>
      </c>
      <c r="E1025">
        <v>7</v>
      </c>
      <c r="F1025" t="s">
        <v>69</v>
      </c>
      <c r="G1025">
        <v>291000</v>
      </c>
      <c r="H1025">
        <v>155000</v>
      </c>
      <c r="I1025">
        <v>290000</v>
      </c>
      <c r="J1025" t="s">
        <v>75</v>
      </c>
      <c r="K1025" t="s">
        <v>31</v>
      </c>
      <c r="L1025" t="s">
        <v>44</v>
      </c>
      <c r="M1025" t="s">
        <v>61</v>
      </c>
      <c r="N1025" t="s">
        <v>83</v>
      </c>
      <c r="O1025" t="s">
        <v>2178</v>
      </c>
      <c r="P1025">
        <v>15.4</v>
      </c>
      <c r="Q1025">
        <v>96</v>
      </c>
      <c r="R1025">
        <v>60.7</v>
      </c>
      <c r="S1025">
        <v>6.8</v>
      </c>
      <c r="T1025">
        <v>2026</v>
      </c>
      <c r="U1025">
        <v>2</v>
      </c>
      <c r="V1025">
        <v>1</v>
      </c>
      <c r="W1025" t="s">
        <v>47</v>
      </c>
      <c r="X1025" t="s">
        <v>37</v>
      </c>
      <c r="Y1025" t="s">
        <v>38</v>
      </c>
    </row>
    <row r="1026" spans="1:25" x14ac:dyDescent="0.35">
      <c r="A1026" t="s">
        <v>2179</v>
      </c>
      <c r="B1026" t="s">
        <v>168</v>
      </c>
      <c r="C1026" t="s">
        <v>169</v>
      </c>
      <c r="D1026" t="s">
        <v>28</v>
      </c>
      <c r="E1026">
        <v>6</v>
      </c>
      <c r="F1026" t="s">
        <v>51</v>
      </c>
      <c r="G1026">
        <v>157000</v>
      </c>
      <c r="H1026">
        <v>157000</v>
      </c>
      <c r="I1026">
        <v>218000</v>
      </c>
      <c r="J1026" t="s">
        <v>142</v>
      </c>
      <c r="K1026" t="s">
        <v>143</v>
      </c>
      <c r="L1026" t="s">
        <v>44</v>
      </c>
      <c r="M1026" t="s">
        <v>61</v>
      </c>
      <c r="N1026" t="s">
        <v>76</v>
      </c>
      <c r="O1026" t="s">
        <v>2180</v>
      </c>
      <c r="P1026">
        <v>3</v>
      </c>
      <c r="Q1026">
        <v>90</v>
      </c>
      <c r="R1026">
        <v>14.8</v>
      </c>
      <c r="S1026">
        <v>7.6</v>
      </c>
      <c r="T1026">
        <v>2026</v>
      </c>
      <c r="U1026">
        <v>2</v>
      </c>
      <c r="V1026">
        <v>1</v>
      </c>
      <c r="W1026" t="s">
        <v>47</v>
      </c>
      <c r="X1026" t="s">
        <v>64</v>
      </c>
      <c r="Y1026" t="s">
        <v>48</v>
      </c>
    </row>
    <row r="1027" spans="1:25" x14ac:dyDescent="0.35">
      <c r="A1027" t="s">
        <v>2181</v>
      </c>
      <c r="B1027" t="s">
        <v>185</v>
      </c>
      <c r="C1027" t="s">
        <v>186</v>
      </c>
      <c r="D1027" t="s">
        <v>81</v>
      </c>
      <c r="E1027">
        <v>7</v>
      </c>
      <c r="F1027" t="s">
        <v>128</v>
      </c>
      <c r="G1027">
        <v>181000</v>
      </c>
      <c r="H1027">
        <v>140000</v>
      </c>
      <c r="I1027">
        <v>270000</v>
      </c>
      <c r="J1027" t="s">
        <v>137</v>
      </c>
      <c r="K1027" t="s">
        <v>138</v>
      </c>
      <c r="L1027" t="s">
        <v>32</v>
      </c>
      <c r="M1027" t="s">
        <v>61</v>
      </c>
      <c r="N1027" t="s">
        <v>119</v>
      </c>
      <c r="O1027" t="s">
        <v>2182</v>
      </c>
      <c r="P1027">
        <v>8.6</v>
      </c>
      <c r="Q1027">
        <v>85</v>
      </c>
      <c r="R1027">
        <v>10.199999999999999</v>
      </c>
      <c r="S1027">
        <v>6.1</v>
      </c>
      <c r="T1027">
        <v>2026</v>
      </c>
      <c r="U1027">
        <v>1</v>
      </c>
      <c r="V1027">
        <v>0</v>
      </c>
      <c r="W1027" t="s">
        <v>36</v>
      </c>
      <c r="X1027" t="s">
        <v>64</v>
      </c>
      <c r="Y1027" t="s">
        <v>48</v>
      </c>
    </row>
    <row r="1028" spans="1:25" x14ac:dyDescent="0.35">
      <c r="A1028" t="s">
        <v>2183</v>
      </c>
      <c r="B1028" t="s">
        <v>79</v>
      </c>
      <c r="C1028" t="s">
        <v>80</v>
      </c>
      <c r="D1028" t="s">
        <v>68</v>
      </c>
      <c r="E1028">
        <v>5</v>
      </c>
      <c r="F1028" t="s">
        <v>128</v>
      </c>
      <c r="G1028">
        <v>312000</v>
      </c>
      <c r="H1028">
        <v>140000</v>
      </c>
      <c r="I1028">
        <v>260000</v>
      </c>
      <c r="J1028" t="s">
        <v>129</v>
      </c>
      <c r="K1028" t="s">
        <v>130</v>
      </c>
      <c r="L1028" t="s">
        <v>44</v>
      </c>
      <c r="M1028" t="s">
        <v>54</v>
      </c>
      <c r="N1028" t="s">
        <v>124</v>
      </c>
      <c r="O1028" t="s">
        <v>2184</v>
      </c>
      <c r="P1028">
        <v>15.4</v>
      </c>
      <c r="Q1028">
        <v>80</v>
      </c>
      <c r="R1028">
        <v>14.5</v>
      </c>
      <c r="S1028">
        <v>6.6</v>
      </c>
      <c r="T1028">
        <v>2025</v>
      </c>
      <c r="U1028">
        <v>2</v>
      </c>
      <c r="V1028">
        <v>1</v>
      </c>
      <c r="W1028" t="s">
        <v>47</v>
      </c>
      <c r="X1028" t="s">
        <v>64</v>
      </c>
      <c r="Y1028" t="s">
        <v>56</v>
      </c>
    </row>
    <row r="1029" spans="1:25" x14ac:dyDescent="0.35">
      <c r="A1029" t="s">
        <v>2185</v>
      </c>
      <c r="B1029" t="s">
        <v>66</v>
      </c>
      <c r="C1029" t="s">
        <v>67</v>
      </c>
      <c r="D1029" t="s">
        <v>28</v>
      </c>
      <c r="E1029">
        <v>8</v>
      </c>
      <c r="F1029" t="s">
        <v>29</v>
      </c>
      <c r="G1029">
        <v>194000</v>
      </c>
      <c r="H1029">
        <v>140000</v>
      </c>
      <c r="I1029">
        <v>260000</v>
      </c>
      <c r="J1029" t="s">
        <v>122</v>
      </c>
      <c r="K1029" t="s">
        <v>123</v>
      </c>
      <c r="L1029" t="s">
        <v>32</v>
      </c>
      <c r="M1029" t="s">
        <v>82</v>
      </c>
      <c r="N1029" t="s">
        <v>34</v>
      </c>
      <c r="O1029" t="s">
        <v>2186</v>
      </c>
      <c r="P1029">
        <v>15.1</v>
      </c>
      <c r="Q1029">
        <v>85</v>
      </c>
      <c r="R1029">
        <v>17.3</v>
      </c>
      <c r="S1029">
        <v>6.7</v>
      </c>
      <c r="T1029">
        <v>2026</v>
      </c>
      <c r="U1029">
        <v>3</v>
      </c>
      <c r="V1029">
        <v>1</v>
      </c>
      <c r="W1029" t="s">
        <v>36</v>
      </c>
      <c r="X1029" t="s">
        <v>64</v>
      </c>
      <c r="Y1029" t="s">
        <v>48</v>
      </c>
    </row>
    <row r="1030" spans="1:25" x14ac:dyDescent="0.35">
      <c r="A1030" t="s">
        <v>2187</v>
      </c>
      <c r="B1030" t="s">
        <v>168</v>
      </c>
      <c r="C1030" t="s">
        <v>169</v>
      </c>
      <c r="D1030" t="s">
        <v>74</v>
      </c>
      <c r="E1030">
        <v>8</v>
      </c>
      <c r="F1030" t="s">
        <v>69</v>
      </c>
      <c r="G1030">
        <v>157000</v>
      </c>
      <c r="H1030">
        <v>157000</v>
      </c>
      <c r="I1030">
        <v>218000</v>
      </c>
      <c r="J1030" t="s">
        <v>170</v>
      </c>
      <c r="K1030" t="s">
        <v>171</v>
      </c>
      <c r="L1030" t="s">
        <v>53</v>
      </c>
      <c r="M1030" t="s">
        <v>61</v>
      </c>
      <c r="N1030" t="s">
        <v>165</v>
      </c>
      <c r="O1030" t="s">
        <v>2188</v>
      </c>
      <c r="P1030">
        <v>6.8</v>
      </c>
      <c r="Q1030">
        <v>90</v>
      </c>
      <c r="R1030">
        <v>29.8</v>
      </c>
      <c r="S1030">
        <v>7.5</v>
      </c>
      <c r="T1030">
        <v>2026</v>
      </c>
      <c r="U1030">
        <v>1</v>
      </c>
      <c r="V1030">
        <v>0</v>
      </c>
      <c r="W1030" t="s">
        <v>47</v>
      </c>
      <c r="X1030" t="s">
        <v>64</v>
      </c>
      <c r="Y1030" t="s">
        <v>48</v>
      </c>
    </row>
    <row r="1031" spans="1:25" x14ac:dyDescent="0.35">
      <c r="A1031" t="s">
        <v>2189</v>
      </c>
      <c r="B1031" t="s">
        <v>58</v>
      </c>
      <c r="C1031" t="s">
        <v>59</v>
      </c>
      <c r="D1031" t="s">
        <v>74</v>
      </c>
      <c r="E1031">
        <v>8</v>
      </c>
      <c r="F1031" t="s">
        <v>29</v>
      </c>
      <c r="G1031">
        <v>130000</v>
      </c>
      <c r="H1031">
        <v>130000</v>
      </c>
      <c r="I1031">
        <v>220000</v>
      </c>
      <c r="J1031" t="s">
        <v>30</v>
      </c>
      <c r="K1031" t="s">
        <v>31</v>
      </c>
      <c r="L1031" t="s">
        <v>32</v>
      </c>
      <c r="M1031" t="s">
        <v>33</v>
      </c>
      <c r="N1031" t="s">
        <v>62</v>
      </c>
      <c r="O1031" t="s">
        <v>2190</v>
      </c>
      <c r="P1031">
        <v>12</v>
      </c>
      <c r="Q1031">
        <v>88</v>
      </c>
      <c r="R1031">
        <v>12.8</v>
      </c>
      <c r="S1031">
        <v>8.8000000000000007</v>
      </c>
      <c r="T1031">
        <v>2026</v>
      </c>
      <c r="U1031">
        <v>1</v>
      </c>
      <c r="V1031">
        <v>0</v>
      </c>
      <c r="W1031" t="s">
        <v>36</v>
      </c>
      <c r="X1031" t="s">
        <v>64</v>
      </c>
      <c r="Y1031" t="s">
        <v>95</v>
      </c>
    </row>
    <row r="1032" spans="1:25" x14ac:dyDescent="0.35">
      <c r="A1032" t="s">
        <v>2191</v>
      </c>
      <c r="B1032" t="s">
        <v>91</v>
      </c>
      <c r="C1032" t="s">
        <v>27</v>
      </c>
      <c r="D1032" t="s">
        <v>74</v>
      </c>
      <c r="E1032">
        <v>3</v>
      </c>
      <c r="F1032" t="s">
        <v>51</v>
      </c>
      <c r="G1032">
        <v>145000</v>
      </c>
      <c r="H1032">
        <v>145000</v>
      </c>
      <c r="I1032">
        <v>290000</v>
      </c>
      <c r="J1032" t="s">
        <v>47</v>
      </c>
      <c r="K1032" t="s">
        <v>87</v>
      </c>
      <c r="L1032" t="s">
        <v>32</v>
      </c>
      <c r="M1032" t="s">
        <v>61</v>
      </c>
      <c r="N1032" t="s">
        <v>34</v>
      </c>
      <c r="O1032" t="s">
        <v>2192</v>
      </c>
      <c r="P1032">
        <v>4.9000000000000004</v>
      </c>
      <c r="Q1032">
        <v>91</v>
      </c>
      <c r="R1032">
        <v>83.5</v>
      </c>
      <c r="S1032">
        <v>6.8</v>
      </c>
      <c r="T1032">
        <v>2026</v>
      </c>
      <c r="U1032">
        <v>2</v>
      </c>
      <c r="V1032">
        <v>0</v>
      </c>
      <c r="W1032" t="s">
        <v>36</v>
      </c>
      <c r="X1032" t="s">
        <v>64</v>
      </c>
      <c r="Y1032" t="s">
        <v>95</v>
      </c>
    </row>
    <row r="1033" spans="1:25" x14ac:dyDescent="0.35">
      <c r="A1033" t="s">
        <v>2193</v>
      </c>
      <c r="B1033" t="s">
        <v>203</v>
      </c>
      <c r="C1033" t="s">
        <v>169</v>
      </c>
      <c r="D1033" t="s">
        <v>68</v>
      </c>
      <c r="E1033">
        <v>5</v>
      </c>
      <c r="F1033" t="s">
        <v>41</v>
      </c>
      <c r="G1033">
        <v>167000</v>
      </c>
      <c r="H1033">
        <v>138000</v>
      </c>
      <c r="I1033">
        <v>195000</v>
      </c>
      <c r="J1033" t="s">
        <v>42</v>
      </c>
      <c r="K1033" t="s">
        <v>43</v>
      </c>
      <c r="L1033" t="s">
        <v>44</v>
      </c>
      <c r="M1033" t="s">
        <v>33</v>
      </c>
      <c r="N1033" t="s">
        <v>165</v>
      </c>
      <c r="O1033" t="s">
        <v>2194</v>
      </c>
      <c r="P1033">
        <v>8.9</v>
      </c>
      <c r="Q1033">
        <v>92</v>
      </c>
      <c r="R1033">
        <v>61.4</v>
      </c>
      <c r="S1033">
        <v>9.1</v>
      </c>
      <c r="T1033">
        <v>2025</v>
      </c>
      <c r="U1033">
        <v>6</v>
      </c>
      <c r="V1033">
        <v>1</v>
      </c>
      <c r="W1033" t="s">
        <v>47</v>
      </c>
      <c r="X1033" t="s">
        <v>64</v>
      </c>
      <c r="Y1033" t="s">
        <v>48</v>
      </c>
    </row>
    <row r="1034" spans="1:25" x14ac:dyDescent="0.35">
      <c r="A1034" t="s">
        <v>2195</v>
      </c>
      <c r="B1034" t="s">
        <v>196</v>
      </c>
      <c r="C1034" t="s">
        <v>27</v>
      </c>
      <c r="D1034" t="s">
        <v>81</v>
      </c>
      <c r="E1034">
        <v>4</v>
      </c>
      <c r="F1034" t="s">
        <v>69</v>
      </c>
      <c r="G1034">
        <v>123000</v>
      </c>
      <c r="H1034">
        <v>100000</v>
      </c>
      <c r="I1034">
        <v>250000</v>
      </c>
      <c r="J1034" t="s">
        <v>30</v>
      </c>
      <c r="K1034" t="s">
        <v>31</v>
      </c>
      <c r="L1034" t="s">
        <v>32</v>
      </c>
      <c r="M1034" t="s">
        <v>33</v>
      </c>
      <c r="N1034" t="s">
        <v>88</v>
      </c>
      <c r="O1034" t="s">
        <v>2196</v>
      </c>
      <c r="P1034">
        <v>12.7</v>
      </c>
      <c r="Q1034">
        <v>95</v>
      </c>
      <c r="R1034">
        <v>70.5</v>
      </c>
      <c r="S1034">
        <v>8.6999999999999993</v>
      </c>
      <c r="T1034">
        <v>2026</v>
      </c>
      <c r="U1034">
        <v>2</v>
      </c>
      <c r="V1034">
        <v>0</v>
      </c>
      <c r="W1034" t="s">
        <v>36</v>
      </c>
      <c r="X1034" t="s">
        <v>64</v>
      </c>
      <c r="Y1034" t="s">
        <v>95</v>
      </c>
    </row>
    <row r="1035" spans="1:25" x14ac:dyDescent="0.35">
      <c r="A1035" t="s">
        <v>2197</v>
      </c>
      <c r="B1035" t="s">
        <v>203</v>
      </c>
      <c r="C1035" t="s">
        <v>169</v>
      </c>
      <c r="D1035" t="s">
        <v>74</v>
      </c>
      <c r="E1035">
        <v>8</v>
      </c>
      <c r="F1035" t="s">
        <v>51</v>
      </c>
      <c r="G1035">
        <v>138000</v>
      </c>
      <c r="H1035">
        <v>138000</v>
      </c>
      <c r="I1035">
        <v>195000</v>
      </c>
      <c r="J1035" t="s">
        <v>122</v>
      </c>
      <c r="K1035" t="s">
        <v>123</v>
      </c>
      <c r="L1035" t="s">
        <v>32</v>
      </c>
      <c r="M1035" t="s">
        <v>33</v>
      </c>
      <c r="N1035" t="s">
        <v>155</v>
      </c>
      <c r="O1035" t="s">
        <v>2198</v>
      </c>
      <c r="P1035">
        <v>5.4</v>
      </c>
      <c r="Q1035">
        <v>92</v>
      </c>
      <c r="R1035">
        <v>31.5</v>
      </c>
      <c r="S1035">
        <v>7.7</v>
      </c>
      <c r="T1035">
        <v>2026</v>
      </c>
      <c r="U1035">
        <v>1</v>
      </c>
      <c r="V1035">
        <v>0</v>
      </c>
      <c r="W1035" t="s">
        <v>36</v>
      </c>
      <c r="X1035" t="s">
        <v>64</v>
      </c>
      <c r="Y1035" t="s">
        <v>95</v>
      </c>
    </row>
    <row r="1036" spans="1:25" x14ac:dyDescent="0.35">
      <c r="A1036" t="s">
        <v>2199</v>
      </c>
      <c r="B1036" t="s">
        <v>196</v>
      </c>
      <c r="C1036" t="s">
        <v>27</v>
      </c>
      <c r="D1036" t="s">
        <v>74</v>
      </c>
      <c r="E1036">
        <v>4</v>
      </c>
      <c r="F1036" t="s">
        <v>51</v>
      </c>
      <c r="G1036">
        <v>100000</v>
      </c>
      <c r="H1036">
        <v>100000</v>
      </c>
      <c r="I1036">
        <v>250000</v>
      </c>
      <c r="J1036" t="s">
        <v>75</v>
      </c>
      <c r="K1036" t="s">
        <v>31</v>
      </c>
      <c r="L1036" t="s">
        <v>32</v>
      </c>
      <c r="M1036" t="s">
        <v>82</v>
      </c>
      <c r="N1036" t="s">
        <v>131</v>
      </c>
      <c r="O1036" t="s">
        <v>2200</v>
      </c>
      <c r="P1036">
        <v>12</v>
      </c>
      <c r="Q1036">
        <v>95</v>
      </c>
      <c r="R1036">
        <v>28.6</v>
      </c>
      <c r="S1036">
        <v>9.6999999999999993</v>
      </c>
      <c r="T1036">
        <v>2025</v>
      </c>
      <c r="U1036">
        <v>10</v>
      </c>
      <c r="V1036">
        <v>0</v>
      </c>
      <c r="W1036" t="s">
        <v>36</v>
      </c>
      <c r="X1036" t="s">
        <v>64</v>
      </c>
      <c r="Y1036" t="s">
        <v>98</v>
      </c>
    </row>
    <row r="1037" spans="1:25" x14ac:dyDescent="0.35">
      <c r="A1037" t="s">
        <v>2201</v>
      </c>
      <c r="B1037" t="s">
        <v>127</v>
      </c>
      <c r="C1037" t="s">
        <v>27</v>
      </c>
      <c r="D1037" t="s">
        <v>68</v>
      </c>
      <c r="E1037">
        <v>10</v>
      </c>
      <c r="F1037" t="s">
        <v>51</v>
      </c>
      <c r="G1037">
        <v>266000</v>
      </c>
      <c r="H1037">
        <v>120000</v>
      </c>
      <c r="I1037">
        <v>280000</v>
      </c>
      <c r="J1037" t="s">
        <v>137</v>
      </c>
      <c r="K1037" t="s">
        <v>138</v>
      </c>
      <c r="L1037" t="s">
        <v>44</v>
      </c>
      <c r="M1037" t="s">
        <v>54</v>
      </c>
      <c r="N1037" t="s">
        <v>165</v>
      </c>
      <c r="O1037" t="s">
        <v>2202</v>
      </c>
      <c r="P1037">
        <v>10.5</v>
      </c>
      <c r="Q1037">
        <v>97</v>
      </c>
      <c r="R1037">
        <v>77</v>
      </c>
      <c r="S1037">
        <v>9.5</v>
      </c>
      <c r="T1037">
        <v>2025</v>
      </c>
      <c r="U1037">
        <v>12</v>
      </c>
      <c r="V1037">
        <v>1</v>
      </c>
      <c r="W1037" t="s">
        <v>47</v>
      </c>
      <c r="X1037" t="s">
        <v>64</v>
      </c>
      <c r="Y1037" t="s">
        <v>38</v>
      </c>
    </row>
    <row r="1038" spans="1:25" x14ac:dyDescent="0.35">
      <c r="A1038" t="s">
        <v>2203</v>
      </c>
      <c r="B1038" t="s">
        <v>168</v>
      </c>
      <c r="C1038" t="s">
        <v>169</v>
      </c>
      <c r="D1038" t="s">
        <v>74</v>
      </c>
      <c r="E1038">
        <v>9</v>
      </c>
      <c r="F1038" t="s">
        <v>41</v>
      </c>
      <c r="G1038">
        <v>158000</v>
      </c>
      <c r="H1038">
        <v>157000</v>
      </c>
      <c r="I1038">
        <v>218000</v>
      </c>
      <c r="J1038" t="s">
        <v>52</v>
      </c>
      <c r="K1038" t="s">
        <v>31</v>
      </c>
      <c r="L1038" t="s">
        <v>44</v>
      </c>
      <c r="M1038" t="s">
        <v>82</v>
      </c>
      <c r="N1038" t="s">
        <v>71</v>
      </c>
      <c r="O1038" t="s">
        <v>2204</v>
      </c>
      <c r="P1038">
        <v>9.9</v>
      </c>
      <c r="Q1038">
        <v>90</v>
      </c>
      <c r="R1038">
        <v>28.9</v>
      </c>
      <c r="S1038">
        <v>8.5</v>
      </c>
      <c r="T1038">
        <v>2026</v>
      </c>
      <c r="U1038">
        <v>1</v>
      </c>
      <c r="V1038">
        <v>0</v>
      </c>
      <c r="W1038" t="s">
        <v>47</v>
      </c>
      <c r="X1038" t="s">
        <v>64</v>
      </c>
      <c r="Y1038" t="s">
        <v>48</v>
      </c>
    </row>
    <row r="1039" spans="1:25" x14ac:dyDescent="0.35">
      <c r="A1039" t="s">
        <v>2205</v>
      </c>
      <c r="B1039" t="s">
        <v>149</v>
      </c>
      <c r="C1039" t="s">
        <v>150</v>
      </c>
      <c r="D1039" t="s">
        <v>81</v>
      </c>
      <c r="E1039">
        <v>7</v>
      </c>
      <c r="F1039" t="s">
        <v>51</v>
      </c>
      <c r="G1039">
        <v>130000</v>
      </c>
      <c r="H1039">
        <v>130000</v>
      </c>
      <c r="I1039">
        <v>260000</v>
      </c>
      <c r="J1039" t="s">
        <v>70</v>
      </c>
      <c r="K1039" t="s">
        <v>31</v>
      </c>
      <c r="L1039" t="s">
        <v>53</v>
      </c>
      <c r="M1039" t="s">
        <v>33</v>
      </c>
      <c r="N1039" t="s">
        <v>165</v>
      </c>
      <c r="O1039" t="s">
        <v>2206</v>
      </c>
      <c r="P1039">
        <v>8.6999999999999993</v>
      </c>
      <c r="Q1039">
        <v>93</v>
      </c>
      <c r="R1039">
        <v>16.100000000000001</v>
      </c>
      <c r="S1039">
        <v>9.3000000000000007</v>
      </c>
      <c r="T1039">
        <v>2025</v>
      </c>
      <c r="U1039">
        <v>2</v>
      </c>
      <c r="V1039">
        <v>0</v>
      </c>
      <c r="W1039" t="s">
        <v>47</v>
      </c>
      <c r="X1039" t="s">
        <v>64</v>
      </c>
      <c r="Y1039" t="s">
        <v>95</v>
      </c>
    </row>
    <row r="1040" spans="1:25" x14ac:dyDescent="0.35">
      <c r="A1040" t="s">
        <v>2207</v>
      </c>
      <c r="B1040" t="s">
        <v>58</v>
      </c>
      <c r="C1040" t="s">
        <v>59</v>
      </c>
      <c r="D1040" t="s">
        <v>68</v>
      </c>
      <c r="E1040">
        <v>7</v>
      </c>
      <c r="F1040" t="s">
        <v>128</v>
      </c>
      <c r="G1040">
        <v>264000</v>
      </c>
      <c r="H1040">
        <v>130000</v>
      </c>
      <c r="I1040">
        <v>220000</v>
      </c>
      <c r="J1040" t="s">
        <v>52</v>
      </c>
      <c r="K1040" t="s">
        <v>31</v>
      </c>
      <c r="L1040" t="s">
        <v>44</v>
      </c>
      <c r="M1040" t="s">
        <v>45</v>
      </c>
      <c r="N1040" t="s">
        <v>110</v>
      </c>
      <c r="O1040" t="s">
        <v>2208</v>
      </c>
      <c r="P1040">
        <v>8.9</v>
      </c>
      <c r="Q1040">
        <v>88</v>
      </c>
      <c r="R1040">
        <v>13.1</v>
      </c>
      <c r="S1040">
        <v>9.1</v>
      </c>
      <c r="T1040">
        <v>2026</v>
      </c>
      <c r="U1040">
        <v>2</v>
      </c>
      <c r="V1040">
        <v>1</v>
      </c>
      <c r="W1040" t="s">
        <v>47</v>
      </c>
      <c r="X1040" t="s">
        <v>64</v>
      </c>
      <c r="Y1040" t="s">
        <v>38</v>
      </c>
    </row>
    <row r="1041" spans="1:25" x14ac:dyDescent="0.35">
      <c r="A1041" t="s">
        <v>2209</v>
      </c>
      <c r="B1041" t="s">
        <v>179</v>
      </c>
      <c r="C1041" t="s">
        <v>180</v>
      </c>
      <c r="D1041" t="s">
        <v>81</v>
      </c>
      <c r="E1041">
        <v>10</v>
      </c>
      <c r="F1041" t="s">
        <v>69</v>
      </c>
      <c r="G1041">
        <v>110000</v>
      </c>
      <c r="H1041">
        <v>110000</v>
      </c>
      <c r="I1041">
        <v>210000</v>
      </c>
      <c r="J1041" t="s">
        <v>122</v>
      </c>
      <c r="K1041" t="s">
        <v>123</v>
      </c>
      <c r="L1041" t="s">
        <v>44</v>
      </c>
      <c r="M1041" t="s">
        <v>82</v>
      </c>
      <c r="N1041" t="s">
        <v>131</v>
      </c>
      <c r="O1041" t="s">
        <v>2210</v>
      </c>
      <c r="P1041">
        <v>8.8000000000000007</v>
      </c>
      <c r="Q1041">
        <v>72</v>
      </c>
      <c r="R1041">
        <v>16.2</v>
      </c>
      <c r="S1041">
        <v>7.9</v>
      </c>
      <c r="T1041">
        <v>2026</v>
      </c>
      <c r="U1041">
        <v>1</v>
      </c>
      <c r="V1041">
        <v>0</v>
      </c>
      <c r="W1041" t="s">
        <v>47</v>
      </c>
      <c r="X1041" t="s">
        <v>64</v>
      </c>
      <c r="Y1041" t="s">
        <v>95</v>
      </c>
    </row>
    <row r="1042" spans="1:25" x14ac:dyDescent="0.35">
      <c r="A1042" t="s">
        <v>2211</v>
      </c>
      <c r="B1042" t="s">
        <v>91</v>
      </c>
      <c r="C1042" t="s">
        <v>27</v>
      </c>
      <c r="D1042" t="s">
        <v>68</v>
      </c>
      <c r="E1042">
        <v>8</v>
      </c>
      <c r="F1042" t="s">
        <v>51</v>
      </c>
      <c r="G1042">
        <v>145000</v>
      </c>
      <c r="H1042">
        <v>145000</v>
      </c>
      <c r="I1042">
        <v>290000</v>
      </c>
      <c r="J1042" t="s">
        <v>92</v>
      </c>
      <c r="K1042" t="s">
        <v>93</v>
      </c>
      <c r="L1042" t="s">
        <v>44</v>
      </c>
      <c r="M1042" t="s">
        <v>82</v>
      </c>
      <c r="N1042" t="s">
        <v>124</v>
      </c>
      <c r="O1042" t="s">
        <v>2212</v>
      </c>
      <c r="P1042">
        <v>4.0999999999999996</v>
      </c>
      <c r="Q1042">
        <v>91</v>
      </c>
      <c r="R1042">
        <v>72.400000000000006</v>
      </c>
      <c r="S1042">
        <v>7.7</v>
      </c>
      <c r="T1042">
        <v>2026</v>
      </c>
      <c r="U1042">
        <v>2</v>
      </c>
      <c r="V1042">
        <v>1</v>
      </c>
      <c r="W1042" t="s">
        <v>47</v>
      </c>
      <c r="X1042" t="s">
        <v>64</v>
      </c>
      <c r="Y1042" t="s">
        <v>95</v>
      </c>
    </row>
    <row r="1043" spans="1:25" x14ac:dyDescent="0.35">
      <c r="A1043" t="s">
        <v>2213</v>
      </c>
      <c r="B1043" t="s">
        <v>233</v>
      </c>
      <c r="C1043" t="s">
        <v>180</v>
      </c>
      <c r="D1043" t="s">
        <v>68</v>
      </c>
      <c r="E1043">
        <v>8</v>
      </c>
      <c r="F1043" t="s">
        <v>69</v>
      </c>
      <c r="G1043">
        <v>149000</v>
      </c>
      <c r="H1043">
        <v>100000</v>
      </c>
      <c r="I1043">
        <v>200000</v>
      </c>
      <c r="J1043" t="s">
        <v>142</v>
      </c>
      <c r="K1043" t="s">
        <v>143</v>
      </c>
      <c r="L1043" t="s">
        <v>44</v>
      </c>
      <c r="M1043" t="s">
        <v>45</v>
      </c>
      <c r="N1043" t="s">
        <v>155</v>
      </c>
      <c r="O1043" t="s">
        <v>2214</v>
      </c>
      <c r="P1043">
        <v>11.6</v>
      </c>
      <c r="Q1043">
        <v>68</v>
      </c>
      <c r="R1043">
        <v>25.1</v>
      </c>
      <c r="S1043">
        <v>8.9</v>
      </c>
      <c r="T1043">
        <v>2026</v>
      </c>
      <c r="U1043">
        <v>3</v>
      </c>
      <c r="V1043">
        <v>1</v>
      </c>
      <c r="W1043" t="s">
        <v>47</v>
      </c>
      <c r="X1043" t="s">
        <v>64</v>
      </c>
      <c r="Y1043" t="s">
        <v>95</v>
      </c>
    </row>
    <row r="1044" spans="1:25" x14ac:dyDescent="0.35">
      <c r="A1044" t="s">
        <v>2215</v>
      </c>
      <c r="B1044" t="s">
        <v>233</v>
      </c>
      <c r="C1044" t="s">
        <v>180</v>
      </c>
      <c r="D1044" t="s">
        <v>74</v>
      </c>
      <c r="E1044">
        <v>8</v>
      </c>
      <c r="F1044" t="s">
        <v>29</v>
      </c>
      <c r="G1044">
        <v>100000</v>
      </c>
      <c r="H1044">
        <v>100000</v>
      </c>
      <c r="I1044">
        <v>200000</v>
      </c>
      <c r="J1044" t="s">
        <v>42</v>
      </c>
      <c r="K1044" t="s">
        <v>43</v>
      </c>
      <c r="L1044" t="s">
        <v>53</v>
      </c>
      <c r="M1044" t="s">
        <v>45</v>
      </c>
      <c r="N1044" t="s">
        <v>155</v>
      </c>
      <c r="O1044" t="s">
        <v>2216</v>
      </c>
      <c r="P1044">
        <v>15.1</v>
      </c>
      <c r="Q1044">
        <v>68</v>
      </c>
      <c r="R1044">
        <v>21.8</v>
      </c>
      <c r="S1044">
        <v>7.5</v>
      </c>
      <c r="T1044">
        <v>2025</v>
      </c>
      <c r="U1044">
        <v>3</v>
      </c>
      <c r="V1044">
        <v>0</v>
      </c>
      <c r="W1044" t="s">
        <v>47</v>
      </c>
      <c r="X1044" t="s">
        <v>64</v>
      </c>
      <c r="Y1044" t="s">
        <v>98</v>
      </c>
    </row>
    <row r="1045" spans="1:25" x14ac:dyDescent="0.35">
      <c r="A1045" t="s">
        <v>2217</v>
      </c>
      <c r="B1045" t="s">
        <v>66</v>
      </c>
      <c r="C1045" t="s">
        <v>67</v>
      </c>
      <c r="D1045" t="s">
        <v>68</v>
      </c>
      <c r="E1045">
        <v>5</v>
      </c>
      <c r="F1045" t="s">
        <v>29</v>
      </c>
      <c r="G1045">
        <v>277000</v>
      </c>
      <c r="H1045">
        <v>140000</v>
      </c>
      <c r="I1045">
        <v>260000</v>
      </c>
      <c r="J1045" t="s">
        <v>142</v>
      </c>
      <c r="K1045" t="s">
        <v>143</v>
      </c>
      <c r="L1045" t="s">
        <v>44</v>
      </c>
      <c r="M1045" t="s">
        <v>45</v>
      </c>
      <c r="N1045" t="s">
        <v>62</v>
      </c>
      <c r="O1045" t="s">
        <v>2218</v>
      </c>
      <c r="P1045">
        <v>16.899999999999999</v>
      </c>
      <c r="Q1045">
        <v>85</v>
      </c>
      <c r="R1045">
        <v>22.1</v>
      </c>
      <c r="S1045">
        <v>6.5</v>
      </c>
      <c r="T1045">
        <v>2026</v>
      </c>
      <c r="U1045">
        <v>3</v>
      </c>
      <c r="V1045">
        <v>1</v>
      </c>
      <c r="W1045" t="s">
        <v>47</v>
      </c>
      <c r="X1045" t="s">
        <v>64</v>
      </c>
      <c r="Y1045" t="s">
        <v>38</v>
      </c>
    </row>
    <row r="1046" spans="1:25" x14ac:dyDescent="0.35">
      <c r="A1046" t="s">
        <v>2219</v>
      </c>
      <c r="B1046" t="s">
        <v>141</v>
      </c>
      <c r="C1046" t="s">
        <v>27</v>
      </c>
      <c r="D1046" t="s">
        <v>68</v>
      </c>
      <c r="E1046">
        <v>5</v>
      </c>
      <c r="F1046" t="s">
        <v>69</v>
      </c>
      <c r="G1046">
        <v>189000</v>
      </c>
      <c r="H1046">
        <v>141000</v>
      </c>
      <c r="I1046">
        <v>270000</v>
      </c>
      <c r="J1046" t="s">
        <v>113</v>
      </c>
      <c r="K1046" t="s">
        <v>114</v>
      </c>
      <c r="L1046" t="s">
        <v>53</v>
      </c>
      <c r="M1046" t="s">
        <v>61</v>
      </c>
      <c r="N1046" t="s">
        <v>76</v>
      </c>
      <c r="O1046" t="s">
        <v>2220</v>
      </c>
      <c r="P1046">
        <v>7.9</v>
      </c>
      <c r="Q1046">
        <v>89</v>
      </c>
      <c r="R1046">
        <v>24.9</v>
      </c>
      <c r="S1046">
        <v>8</v>
      </c>
      <c r="T1046">
        <v>2026</v>
      </c>
      <c r="U1046">
        <v>2</v>
      </c>
      <c r="V1046">
        <v>1</v>
      </c>
      <c r="W1046" t="s">
        <v>47</v>
      </c>
      <c r="X1046" t="s">
        <v>64</v>
      </c>
      <c r="Y1046" t="s">
        <v>48</v>
      </c>
    </row>
    <row r="1047" spans="1:25" x14ac:dyDescent="0.35">
      <c r="A1047" t="s">
        <v>2221</v>
      </c>
      <c r="B1047" t="s">
        <v>153</v>
      </c>
      <c r="C1047" t="s">
        <v>154</v>
      </c>
      <c r="D1047" t="s">
        <v>74</v>
      </c>
      <c r="E1047">
        <v>8</v>
      </c>
      <c r="F1047" t="s">
        <v>128</v>
      </c>
      <c r="G1047">
        <v>95000</v>
      </c>
      <c r="H1047">
        <v>95000</v>
      </c>
      <c r="I1047">
        <v>180000</v>
      </c>
      <c r="J1047" t="s">
        <v>42</v>
      </c>
      <c r="K1047" t="s">
        <v>43</v>
      </c>
      <c r="L1047" t="s">
        <v>53</v>
      </c>
      <c r="M1047" t="s">
        <v>61</v>
      </c>
      <c r="N1047" t="s">
        <v>165</v>
      </c>
      <c r="O1047" t="s">
        <v>2222</v>
      </c>
      <c r="P1047">
        <v>12.7</v>
      </c>
      <c r="Q1047">
        <v>78</v>
      </c>
      <c r="R1047">
        <v>19.399999999999999</v>
      </c>
      <c r="S1047">
        <v>8.8000000000000007</v>
      </c>
      <c r="T1047">
        <v>2026</v>
      </c>
      <c r="U1047">
        <v>2</v>
      </c>
      <c r="V1047">
        <v>0</v>
      </c>
      <c r="W1047" t="s">
        <v>47</v>
      </c>
      <c r="X1047" t="s">
        <v>64</v>
      </c>
      <c r="Y1047" t="s">
        <v>98</v>
      </c>
    </row>
    <row r="1048" spans="1:25" x14ac:dyDescent="0.35">
      <c r="A1048" t="s">
        <v>2223</v>
      </c>
      <c r="B1048" t="s">
        <v>158</v>
      </c>
      <c r="C1048" t="s">
        <v>27</v>
      </c>
      <c r="D1048" t="s">
        <v>28</v>
      </c>
      <c r="E1048">
        <v>7</v>
      </c>
      <c r="F1048" t="s">
        <v>41</v>
      </c>
      <c r="G1048">
        <v>241000</v>
      </c>
      <c r="H1048">
        <v>145000</v>
      </c>
      <c r="I1048">
        <v>280000</v>
      </c>
      <c r="J1048" t="s">
        <v>170</v>
      </c>
      <c r="K1048" t="s">
        <v>171</v>
      </c>
      <c r="L1048" t="s">
        <v>44</v>
      </c>
      <c r="M1048" t="s">
        <v>45</v>
      </c>
      <c r="N1048" t="s">
        <v>124</v>
      </c>
      <c r="O1048" t="s">
        <v>2224</v>
      </c>
      <c r="P1048">
        <v>4.8</v>
      </c>
      <c r="Q1048">
        <v>94</v>
      </c>
      <c r="R1048">
        <v>46.9</v>
      </c>
      <c r="S1048">
        <v>6.3</v>
      </c>
      <c r="T1048">
        <v>2026</v>
      </c>
      <c r="U1048">
        <v>1</v>
      </c>
      <c r="V1048">
        <v>1</v>
      </c>
      <c r="W1048" t="s">
        <v>47</v>
      </c>
      <c r="X1048" t="s">
        <v>37</v>
      </c>
      <c r="Y1048" t="s">
        <v>38</v>
      </c>
    </row>
    <row r="1049" spans="1:25" x14ac:dyDescent="0.35">
      <c r="A1049" t="s">
        <v>2225</v>
      </c>
      <c r="B1049" t="s">
        <v>91</v>
      </c>
      <c r="C1049" t="s">
        <v>27</v>
      </c>
      <c r="D1049" t="s">
        <v>81</v>
      </c>
      <c r="E1049">
        <v>9</v>
      </c>
      <c r="F1049" t="s">
        <v>29</v>
      </c>
      <c r="G1049">
        <v>179000</v>
      </c>
      <c r="H1049">
        <v>145000</v>
      </c>
      <c r="I1049">
        <v>290000</v>
      </c>
      <c r="J1049" t="s">
        <v>117</v>
      </c>
      <c r="K1049" t="s">
        <v>118</v>
      </c>
      <c r="L1049" t="s">
        <v>32</v>
      </c>
      <c r="M1049" t="s">
        <v>82</v>
      </c>
      <c r="N1049" t="s">
        <v>88</v>
      </c>
      <c r="O1049" t="s">
        <v>2226</v>
      </c>
      <c r="P1049">
        <v>8.3000000000000007</v>
      </c>
      <c r="Q1049">
        <v>91</v>
      </c>
      <c r="R1049">
        <v>76</v>
      </c>
      <c r="S1049">
        <v>9.1999999999999993</v>
      </c>
      <c r="T1049">
        <v>2026</v>
      </c>
      <c r="U1049">
        <v>2</v>
      </c>
      <c r="V1049">
        <v>0</v>
      </c>
      <c r="W1049" t="s">
        <v>36</v>
      </c>
      <c r="X1049" t="s">
        <v>64</v>
      </c>
      <c r="Y1049" t="s">
        <v>48</v>
      </c>
    </row>
    <row r="1050" spans="1:25" x14ac:dyDescent="0.35">
      <c r="A1050" t="s">
        <v>2227</v>
      </c>
      <c r="B1050" t="s">
        <v>40</v>
      </c>
      <c r="C1050" t="s">
        <v>27</v>
      </c>
      <c r="D1050" t="s">
        <v>68</v>
      </c>
      <c r="E1050">
        <v>1</v>
      </c>
      <c r="F1050" t="s">
        <v>41</v>
      </c>
      <c r="G1050">
        <v>90000</v>
      </c>
      <c r="H1050">
        <v>90000</v>
      </c>
      <c r="I1050">
        <v>200000</v>
      </c>
      <c r="J1050" t="s">
        <v>108</v>
      </c>
      <c r="K1050" t="s">
        <v>109</v>
      </c>
      <c r="L1050" t="s">
        <v>44</v>
      </c>
      <c r="M1050" t="s">
        <v>33</v>
      </c>
      <c r="N1050" t="s">
        <v>165</v>
      </c>
      <c r="O1050" t="s">
        <v>2228</v>
      </c>
      <c r="P1050">
        <v>3.2</v>
      </c>
      <c r="Q1050">
        <v>82</v>
      </c>
      <c r="R1050">
        <v>9.4</v>
      </c>
      <c r="S1050">
        <v>6.4</v>
      </c>
      <c r="T1050">
        <v>2026</v>
      </c>
      <c r="U1050">
        <v>3</v>
      </c>
      <c r="V1050">
        <v>1</v>
      </c>
      <c r="W1050" t="s">
        <v>47</v>
      </c>
      <c r="X1050" t="s">
        <v>37</v>
      </c>
      <c r="Y1050" t="s">
        <v>98</v>
      </c>
    </row>
    <row r="1051" spans="1:25" x14ac:dyDescent="0.35">
      <c r="A1051" t="s">
        <v>2229</v>
      </c>
      <c r="B1051" t="s">
        <v>196</v>
      </c>
      <c r="C1051" t="s">
        <v>27</v>
      </c>
      <c r="D1051" t="s">
        <v>81</v>
      </c>
      <c r="E1051">
        <v>3</v>
      </c>
      <c r="F1051" t="s">
        <v>29</v>
      </c>
      <c r="G1051">
        <v>215000</v>
      </c>
      <c r="H1051">
        <v>100000</v>
      </c>
      <c r="I1051">
        <v>250000</v>
      </c>
      <c r="J1051" t="s">
        <v>70</v>
      </c>
      <c r="K1051" t="s">
        <v>31</v>
      </c>
      <c r="L1051" t="s">
        <v>32</v>
      </c>
      <c r="M1051" t="s">
        <v>54</v>
      </c>
      <c r="N1051" t="s">
        <v>34</v>
      </c>
      <c r="O1051" t="s">
        <v>2230</v>
      </c>
      <c r="P1051">
        <v>13.5</v>
      </c>
      <c r="Q1051">
        <v>95</v>
      </c>
      <c r="R1051">
        <v>78.400000000000006</v>
      </c>
      <c r="S1051">
        <v>7.7</v>
      </c>
      <c r="T1051">
        <v>2026</v>
      </c>
      <c r="U1051">
        <v>1</v>
      </c>
      <c r="V1051">
        <v>0</v>
      </c>
      <c r="W1051" t="s">
        <v>36</v>
      </c>
      <c r="X1051" t="s">
        <v>64</v>
      </c>
      <c r="Y1051" t="s">
        <v>38</v>
      </c>
    </row>
    <row r="1052" spans="1:25" x14ac:dyDescent="0.35">
      <c r="A1052" t="s">
        <v>2231</v>
      </c>
      <c r="B1052" t="s">
        <v>141</v>
      </c>
      <c r="C1052" t="s">
        <v>27</v>
      </c>
      <c r="D1052" t="s">
        <v>81</v>
      </c>
      <c r="E1052">
        <v>3</v>
      </c>
      <c r="F1052" t="s">
        <v>69</v>
      </c>
      <c r="G1052">
        <v>227000</v>
      </c>
      <c r="H1052">
        <v>141000</v>
      </c>
      <c r="I1052">
        <v>270000</v>
      </c>
      <c r="J1052" t="s">
        <v>52</v>
      </c>
      <c r="K1052" t="s">
        <v>31</v>
      </c>
      <c r="L1052" t="s">
        <v>53</v>
      </c>
      <c r="M1052" t="s">
        <v>45</v>
      </c>
      <c r="N1052" t="s">
        <v>76</v>
      </c>
      <c r="O1052" t="s">
        <v>2232</v>
      </c>
      <c r="P1052">
        <v>4.3</v>
      </c>
      <c r="Q1052">
        <v>89</v>
      </c>
      <c r="R1052">
        <v>27.9</v>
      </c>
      <c r="S1052">
        <v>7.4</v>
      </c>
      <c r="T1052">
        <v>2025</v>
      </c>
      <c r="U1052">
        <v>2</v>
      </c>
      <c r="V1052">
        <v>0</v>
      </c>
      <c r="W1052" t="s">
        <v>47</v>
      </c>
      <c r="X1052" t="s">
        <v>64</v>
      </c>
      <c r="Y1052" t="s">
        <v>38</v>
      </c>
    </row>
    <row r="1053" spans="1:25" x14ac:dyDescent="0.35">
      <c r="A1053" t="s">
        <v>2233</v>
      </c>
      <c r="B1053" t="s">
        <v>100</v>
      </c>
      <c r="C1053" t="s">
        <v>101</v>
      </c>
      <c r="D1053" t="s">
        <v>28</v>
      </c>
      <c r="E1053">
        <v>9</v>
      </c>
      <c r="F1053" t="s">
        <v>69</v>
      </c>
      <c r="G1053">
        <v>344000</v>
      </c>
      <c r="H1053">
        <v>180000</v>
      </c>
      <c r="I1053">
        <v>320000</v>
      </c>
      <c r="J1053" t="s">
        <v>75</v>
      </c>
      <c r="K1053" t="s">
        <v>31</v>
      </c>
      <c r="L1053" t="s">
        <v>32</v>
      </c>
      <c r="M1053" t="s">
        <v>54</v>
      </c>
      <c r="N1053" t="s">
        <v>62</v>
      </c>
      <c r="O1053" t="s">
        <v>2234</v>
      </c>
      <c r="P1053">
        <v>11.5</v>
      </c>
      <c r="Q1053">
        <v>84</v>
      </c>
      <c r="R1053">
        <v>23.2</v>
      </c>
      <c r="S1053">
        <v>9.1</v>
      </c>
      <c r="T1053">
        <v>2026</v>
      </c>
      <c r="U1053">
        <v>1</v>
      </c>
      <c r="V1053">
        <v>1</v>
      </c>
      <c r="W1053" t="s">
        <v>36</v>
      </c>
      <c r="X1053" t="s">
        <v>64</v>
      </c>
      <c r="Y1053" t="s">
        <v>56</v>
      </c>
    </row>
    <row r="1054" spans="1:25" x14ac:dyDescent="0.35">
      <c r="A1054" t="s">
        <v>2235</v>
      </c>
      <c r="B1054" t="s">
        <v>185</v>
      </c>
      <c r="C1054" t="s">
        <v>186</v>
      </c>
      <c r="D1054" t="s">
        <v>81</v>
      </c>
      <c r="E1054">
        <v>4</v>
      </c>
      <c r="F1054" t="s">
        <v>29</v>
      </c>
      <c r="G1054">
        <v>140000</v>
      </c>
      <c r="H1054">
        <v>140000</v>
      </c>
      <c r="I1054">
        <v>270000</v>
      </c>
      <c r="J1054" t="s">
        <v>108</v>
      </c>
      <c r="K1054" t="s">
        <v>109</v>
      </c>
      <c r="L1054" t="s">
        <v>32</v>
      </c>
      <c r="M1054" t="s">
        <v>61</v>
      </c>
      <c r="N1054" t="s">
        <v>119</v>
      </c>
      <c r="O1054" t="s">
        <v>2236</v>
      </c>
      <c r="P1054">
        <v>17.7</v>
      </c>
      <c r="Q1054">
        <v>85</v>
      </c>
      <c r="R1054">
        <v>19.100000000000001</v>
      </c>
      <c r="S1054">
        <v>7.6</v>
      </c>
      <c r="T1054">
        <v>2025</v>
      </c>
      <c r="U1054">
        <v>7</v>
      </c>
      <c r="V1054">
        <v>0</v>
      </c>
      <c r="W1054" t="s">
        <v>36</v>
      </c>
      <c r="X1054" t="s">
        <v>64</v>
      </c>
      <c r="Y1054" t="s">
        <v>95</v>
      </c>
    </row>
    <row r="1055" spans="1:25" x14ac:dyDescent="0.35">
      <c r="A1055" t="s">
        <v>2237</v>
      </c>
      <c r="B1055" t="s">
        <v>185</v>
      </c>
      <c r="C1055" t="s">
        <v>186</v>
      </c>
      <c r="D1055" t="s">
        <v>68</v>
      </c>
      <c r="E1055">
        <v>6</v>
      </c>
      <c r="F1055" t="s">
        <v>128</v>
      </c>
      <c r="G1055">
        <v>317000</v>
      </c>
      <c r="H1055">
        <v>140000</v>
      </c>
      <c r="I1055">
        <v>270000</v>
      </c>
      <c r="J1055" t="s">
        <v>122</v>
      </c>
      <c r="K1055" t="s">
        <v>123</v>
      </c>
      <c r="L1055" t="s">
        <v>44</v>
      </c>
      <c r="M1055" t="s">
        <v>45</v>
      </c>
      <c r="N1055" t="s">
        <v>62</v>
      </c>
      <c r="O1055" t="s">
        <v>2238</v>
      </c>
      <c r="P1055">
        <v>8</v>
      </c>
      <c r="Q1055">
        <v>85</v>
      </c>
      <c r="R1055">
        <v>26.5</v>
      </c>
      <c r="S1055">
        <v>7.7</v>
      </c>
      <c r="T1055">
        <v>2026</v>
      </c>
      <c r="U1055">
        <v>2</v>
      </c>
      <c r="V1055">
        <v>1</v>
      </c>
      <c r="W1055" t="s">
        <v>47</v>
      </c>
      <c r="X1055" t="s">
        <v>64</v>
      </c>
      <c r="Y1055" t="s">
        <v>56</v>
      </c>
    </row>
    <row r="1056" spans="1:25" x14ac:dyDescent="0.35">
      <c r="A1056" t="s">
        <v>2239</v>
      </c>
      <c r="B1056" t="s">
        <v>134</v>
      </c>
      <c r="C1056" t="s">
        <v>27</v>
      </c>
      <c r="D1056" t="s">
        <v>68</v>
      </c>
      <c r="E1056">
        <v>6</v>
      </c>
      <c r="F1056" t="s">
        <v>41</v>
      </c>
      <c r="G1056">
        <v>295000</v>
      </c>
      <c r="H1056">
        <v>150000</v>
      </c>
      <c r="I1056">
        <v>295000</v>
      </c>
      <c r="J1056" t="s">
        <v>47</v>
      </c>
      <c r="K1056" t="s">
        <v>87</v>
      </c>
      <c r="L1056" t="s">
        <v>53</v>
      </c>
      <c r="M1056" t="s">
        <v>82</v>
      </c>
      <c r="N1056" t="s">
        <v>34</v>
      </c>
      <c r="O1056" t="s">
        <v>2240</v>
      </c>
      <c r="P1056">
        <v>15.8</v>
      </c>
      <c r="Q1056">
        <v>95</v>
      </c>
      <c r="R1056">
        <v>83.9</v>
      </c>
      <c r="S1056">
        <v>9.4</v>
      </c>
      <c r="T1056">
        <v>2025</v>
      </c>
      <c r="U1056">
        <v>1</v>
      </c>
      <c r="V1056">
        <v>1</v>
      </c>
      <c r="W1056" t="s">
        <v>47</v>
      </c>
      <c r="X1056" t="s">
        <v>37</v>
      </c>
      <c r="Y1056" t="s">
        <v>38</v>
      </c>
    </row>
    <row r="1057" spans="1:25" x14ac:dyDescent="0.35">
      <c r="A1057" t="s">
        <v>2241</v>
      </c>
      <c r="B1057" t="s">
        <v>224</v>
      </c>
      <c r="C1057" t="s">
        <v>27</v>
      </c>
      <c r="D1057" t="s">
        <v>74</v>
      </c>
      <c r="E1057">
        <v>5</v>
      </c>
      <c r="F1057" t="s">
        <v>51</v>
      </c>
      <c r="G1057">
        <v>145000</v>
      </c>
      <c r="H1057">
        <v>145000</v>
      </c>
      <c r="I1057">
        <v>280000</v>
      </c>
      <c r="J1057" t="s">
        <v>142</v>
      </c>
      <c r="K1057" t="s">
        <v>143</v>
      </c>
      <c r="L1057" t="s">
        <v>32</v>
      </c>
      <c r="M1057" t="s">
        <v>54</v>
      </c>
      <c r="N1057" t="s">
        <v>83</v>
      </c>
      <c r="O1057" t="s">
        <v>2242</v>
      </c>
      <c r="P1057">
        <v>4.0999999999999996</v>
      </c>
      <c r="Q1057">
        <v>87</v>
      </c>
      <c r="R1057">
        <v>14.4</v>
      </c>
      <c r="S1057">
        <v>8.5</v>
      </c>
      <c r="T1057">
        <v>2025</v>
      </c>
      <c r="U1057">
        <v>1</v>
      </c>
      <c r="V1057">
        <v>0</v>
      </c>
      <c r="W1057" t="s">
        <v>36</v>
      </c>
      <c r="X1057" t="s">
        <v>64</v>
      </c>
      <c r="Y1057" t="s">
        <v>95</v>
      </c>
    </row>
    <row r="1058" spans="1:25" x14ac:dyDescent="0.35">
      <c r="A1058" t="s">
        <v>2243</v>
      </c>
      <c r="B1058" t="s">
        <v>203</v>
      </c>
      <c r="C1058" t="s">
        <v>169</v>
      </c>
      <c r="D1058" t="s">
        <v>28</v>
      </c>
      <c r="E1058">
        <v>7</v>
      </c>
      <c r="F1058" t="s">
        <v>128</v>
      </c>
      <c r="G1058">
        <v>138000</v>
      </c>
      <c r="H1058">
        <v>138000</v>
      </c>
      <c r="I1058">
        <v>195000</v>
      </c>
      <c r="J1058" t="s">
        <v>108</v>
      </c>
      <c r="K1058" t="s">
        <v>109</v>
      </c>
      <c r="L1058" t="s">
        <v>53</v>
      </c>
      <c r="M1058" t="s">
        <v>61</v>
      </c>
      <c r="N1058" t="s">
        <v>71</v>
      </c>
      <c r="O1058" t="s">
        <v>2244</v>
      </c>
      <c r="P1058">
        <v>5.0999999999999996</v>
      </c>
      <c r="Q1058">
        <v>92</v>
      </c>
      <c r="R1058">
        <v>33</v>
      </c>
      <c r="S1058">
        <v>9.5</v>
      </c>
      <c r="T1058">
        <v>2026</v>
      </c>
      <c r="U1058">
        <v>1</v>
      </c>
      <c r="V1058">
        <v>1</v>
      </c>
      <c r="W1058" t="s">
        <v>47</v>
      </c>
      <c r="X1058" t="s">
        <v>64</v>
      </c>
      <c r="Y1058" t="s">
        <v>95</v>
      </c>
    </row>
    <row r="1059" spans="1:25" x14ac:dyDescent="0.35">
      <c r="A1059" t="s">
        <v>2245</v>
      </c>
      <c r="B1059" t="s">
        <v>196</v>
      </c>
      <c r="C1059" t="s">
        <v>27</v>
      </c>
      <c r="D1059" t="s">
        <v>28</v>
      </c>
      <c r="E1059">
        <v>6</v>
      </c>
      <c r="F1059" t="s">
        <v>51</v>
      </c>
      <c r="G1059">
        <v>120000</v>
      </c>
      <c r="H1059">
        <v>100000</v>
      </c>
      <c r="I1059">
        <v>250000</v>
      </c>
      <c r="J1059" t="s">
        <v>102</v>
      </c>
      <c r="K1059" t="s">
        <v>103</v>
      </c>
      <c r="L1059" t="s">
        <v>32</v>
      </c>
      <c r="M1059" t="s">
        <v>33</v>
      </c>
      <c r="N1059" t="s">
        <v>165</v>
      </c>
      <c r="O1059" t="s">
        <v>2246</v>
      </c>
      <c r="P1059">
        <v>15.8</v>
      </c>
      <c r="Q1059">
        <v>95</v>
      </c>
      <c r="R1059">
        <v>69.8</v>
      </c>
      <c r="S1059">
        <v>7.5</v>
      </c>
      <c r="T1059">
        <v>2026</v>
      </c>
      <c r="U1059">
        <v>3</v>
      </c>
      <c r="V1059">
        <v>1</v>
      </c>
      <c r="W1059" t="s">
        <v>36</v>
      </c>
      <c r="X1059" t="s">
        <v>64</v>
      </c>
      <c r="Y1059" t="s">
        <v>95</v>
      </c>
    </row>
    <row r="1060" spans="1:25" x14ac:dyDescent="0.35">
      <c r="A1060" t="s">
        <v>2247</v>
      </c>
      <c r="B1060" t="s">
        <v>158</v>
      </c>
      <c r="C1060" t="s">
        <v>27</v>
      </c>
      <c r="D1060" t="s">
        <v>74</v>
      </c>
      <c r="E1060">
        <v>5</v>
      </c>
      <c r="F1060" t="s">
        <v>41</v>
      </c>
      <c r="G1060">
        <v>145000</v>
      </c>
      <c r="H1060">
        <v>145000</v>
      </c>
      <c r="I1060">
        <v>280000</v>
      </c>
      <c r="J1060" t="s">
        <v>108</v>
      </c>
      <c r="K1060" t="s">
        <v>109</v>
      </c>
      <c r="L1060" t="s">
        <v>44</v>
      </c>
      <c r="M1060" t="s">
        <v>61</v>
      </c>
      <c r="N1060" t="s">
        <v>62</v>
      </c>
      <c r="O1060" t="s">
        <v>2248</v>
      </c>
      <c r="P1060">
        <v>7.2</v>
      </c>
      <c r="Q1060">
        <v>94</v>
      </c>
      <c r="R1060">
        <v>78.3</v>
      </c>
      <c r="S1060">
        <v>8.4</v>
      </c>
      <c r="T1060">
        <v>2026</v>
      </c>
      <c r="U1060">
        <v>2</v>
      </c>
      <c r="V1060">
        <v>0</v>
      </c>
      <c r="W1060" t="s">
        <v>47</v>
      </c>
      <c r="X1060" t="s">
        <v>37</v>
      </c>
      <c r="Y1060" t="s">
        <v>95</v>
      </c>
    </row>
    <row r="1061" spans="1:25" x14ac:dyDescent="0.35">
      <c r="A1061" t="s">
        <v>2249</v>
      </c>
      <c r="B1061" t="s">
        <v>66</v>
      </c>
      <c r="C1061" t="s">
        <v>67</v>
      </c>
      <c r="D1061" t="s">
        <v>81</v>
      </c>
      <c r="E1061">
        <v>4</v>
      </c>
      <c r="F1061" t="s">
        <v>29</v>
      </c>
      <c r="G1061">
        <v>140000</v>
      </c>
      <c r="H1061">
        <v>140000</v>
      </c>
      <c r="I1061">
        <v>260000</v>
      </c>
      <c r="J1061" t="s">
        <v>108</v>
      </c>
      <c r="K1061" t="s">
        <v>109</v>
      </c>
      <c r="L1061" t="s">
        <v>44</v>
      </c>
      <c r="M1061" t="s">
        <v>33</v>
      </c>
      <c r="N1061" t="s">
        <v>110</v>
      </c>
      <c r="O1061" t="s">
        <v>2250</v>
      </c>
      <c r="P1061">
        <v>9.5</v>
      </c>
      <c r="Q1061">
        <v>85</v>
      </c>
      <c r="R1061">
        <v>26.3</v>
      </c>
      <c r="S1061">
        <v>8.4</v>
      </c>
      <c r="T1061">
        <v>2025</v>
      </c>
      <c r="U1061">
        <v>7</v>
      </c>
      <c r="V1061">
        <v>0</v>
      </c>
      <c r="W1061" t="s">
        <v>47</v>
      </c>
      <c r="X1061" t="s">
        <v>64</v>
      </c>
      <c r="Y1061" t="s">
        <v>95</v>
      </c>
    </row>
    <row r="1062" spans="1:25" x14ac:dyDescent="0.35">
      <c r="A1062" t="s">
        <v>2251</v>
      </c>
      <c r="B1062" t="s">
        <v>203</v>
      </c>
      <c r="C1062" t="s">
        <v>169</v>
      </c>
      <c r="D1062" t="s">
        <v>68</v>
      </c>
      <c r="E1062">
        <v>8</v>
      </c>
      <c r="F1062" t="s">
        <v>41</v>
      </c>
      <c r="G1062">
        <v>200000</v>
      </c>
      <c r="H1062">
        <v>138000</v>
      </c>
      <c r="I1062">
        <v>195000</v>
      </c>
      <c r="J1062" t="s">
        <v>191</v>
      </c>
      <c r="K1062" t="s">
        <v>31</v>
      </c>
      <c r="L1062" t="s">
        <v>44</v>
      </c>
      <c r="M1062" t="s">
        <v>33</v>
      </c>
      <c r="N1062" t="s">
        <v>131</v>
      </c>
      <c r="O1062" t="s">
        <v>2252</v>
      </c>
      <c r="P1062">
        <v>4.3</v>
      </c>
      <c r="Q1062">
        <v>92</v>
      </c>
      <c r="R1062">
        <v>66.5</v>
      </c>
      <c r="S1062">
        <v>6.2</v>
      </c>
      <c r="T1062">
        <v>2026</v>
      </c>
      <c r="U1062">
        <v>2</v>
      </c>
      <c r="V1062">
        <v>1</v>
      </c>
      <c r="W1062" t="s">
        <v>47</v>
      </c>
      <c r="X1062" t="s">
        <v>64</v>
      </c>
      <c r="Y1062" t="s">
        <v>48</v>
      </c>
    </row>
    <row r="1063" spans="1:25" x14ac:dyDescent="0.35">
      <c r="A1063" t="s">
        <v>2253</v>
      </c>
      <c r="B1063" t="s">
        <v>58</v>
      </c>
      <c r="C1063" t="s">
        <v>59</v>
      </c>
      <c r="D1063" t="s">
        <v>74</v>
      </c>
      <c r="E1063">
        <v>8</v>
      </c>
      <c r="F1063" t="s">
        <v>128</v>
      </c>
      <c r="G1063">
        <v>171000</v>
      </c>
      <c r="H1063">
        <v>130000</v>
      </c>
      <c r="I1063">
        <v>220000</v>
      </c>
      <c r="J1063" t="s">
        <v>174</v>
      </c>
      <c r="K1063" t="s">
        <v>31</v>
      </c>
      <c r="L1063" t="s">
        <v>53</v>
      </c>
      <c r="M1063" t="s">
        <v>82</v>
      </c>
      <c r="N1063" t="s">
        <v>155</v>
      </c>
      <c r="O1063" t="s">
        <v>2254</v>
      </c>
      <c r="P1063">
        <v>12.9</v>
      </c>
      <c r="Q1063">
        <v>88</v>
      </c>
      <c r="R1063">
        <v>19.8</v>
      </c>
      <c r="S1063">
        <v>8.4</v>
      </c>
      <c r="T1063">
        <v>2025</v>
      </c>
      <c r="U1063">
        <v>10</v>
      </c>
      <c r="V1063">
        <v>0</v>
      </c>
      <c r="W1063" t="s">
        <v>47</v>
      </c>
      <c r="X1063" t="s">
        <v>64</v>
      </c>
      <c r="Y1063" t="s">
        <v>48</v>
      </c>
    </row>
    <row r="1064" spans="1:25" x14ac:dyDescent="0.35">
      <c r="A1064" t="s">
        <v>2255</v>
      </c>
      <c r="B1064" t="s">
        <v>168</v>
      </c>
      <c r="C1064" t="s">
        <v>169</v>
      </c>
      <c r="D1064" t="s">
        <v>81</v>
      </c>
      <c r="E1064">
        <v>8</v>
      </c>
      <c r="F1064" t="s">
        <v>29</v>
      </c>
      <c r="G1064">
        <v>177000</v>
      </c>
      <c r="H1064">
        <v>157000</v>
      </c>
      <c r="I1064">
        <v>218000</v>
      </c>
      <c r="J1064" t="s">
        <v>60</v>
      </c>
      <c r="K1064" t="s">
        <v>60</v>
      </c>
      <c r="L1064" t="s">
        <v>32</v>
      </c>
      <c r="M1064" t="s">
        <v>82</v>
      </c>
      <c r="N1064" t="s">
        <v>88</v>
      </c>
      <c r="O1064" t="s">
        <v>2256</v>
      </c>
      <c r="P1064">
        <v>6.4</v>
      </c>
      <c r="Q1064">
        <v>90</v>
      </c>
      <c r="R1064">
        <v>14.6</v>
      </c>
      <c r="S1064">
        <v>8.1999999999999993</v>
      </c>
      <c r="T1064">
        <v>2026</v>
      </c>
      <c r="U1064">
        <v>1</v>
      </c>
      <c r="V1064">
        <v>0</v>
      </c>
      <c r="W1064" t="s">
        <v>36</v>
      </c>
      <c r="X1064" t="s">
        <v>64</v>
      </c>
      <c r="Y1064" t="s">
        <v>48</v>
      </c>
    </row>
    <row r="1065" spans="1:25" x14ac:dyDescent="0.35">
      <c r="A1065" t="s">
        <v>2257</v>
      </c>
      <c r="B1065" t="s">
        <v>233</v>
      </c>
      <c r="C1065" t="s">
        <v>180</v>
      </c>
      <c r="D1065" t="s">
        <v>68</v>
      </c>
      <c r="E1065">
        <v>3</v>
      </c>
      <c r="F1065" t="s">
        <v>128</v>
      </c>
      <c r="G1065">
        <v>240000</v>
      </c>
      <c r="H1065">
        <v>100000</v>
      </c>
      <c r="I1065">
        <v>200000</v>
      </c>
      <c r="J1065" t="s">
        <v>75</v>
      </c>
      <c r="K1065" t="s">
        <v>31</v>
      </c>
      <c r="L1065" t="s">
        <v>53</v>
      </c>
      <c r="M1065" t="s">
        <v>54</v>
      </c>
      <c r="N1065" t="s">
        <v>62</v>
      </c>
      <c r="O1065" t="s">
        <v>2258</v>
      </c>
      <c r="P1065">
        <v>11.3</v>
      </c>
      <c r="Q1065">
        <v>68</v>
      </c>
      <c r="R1065">
        <v>17.600000000000001</v>
      </c>
      <c r="S1065">
        <v>9</v>
      </c>
      <c r="T1065">
        <v>2026</v>
      </c>
      <c r="U1065">
        <v>3</v>
      </c>
      <c r="V1065">
        <v>1</v>
      </c>
      <c r="W1065" t="s">
        <v>47</v>
      </c>
      <c r="X1065" t="s">
        <v>64</v>
      </c>
      <c r="Y1065" t="s">
        <v>38</v>
      </c>
    </row>
    <row r="1066" spans="1:25" x14ac:dyDescent="0.35">
      <c r="A1066" t="s">
        <v>2259</v>
      </c>
      <c r="B1066" t="s">
        <v>141</v>
      </c>
      <c r="C1066" t="s">
        <v>27</v>
      </c>
      <c r="D1066" t="s">
        <v>28</v>
      </c>
      <c r="E1066">
        <v>10</v>
      </c>
      <c r="F1066" t="s">
        <v>69</v>
      </c>
      <c r="G1066">
        <v>162000</v>
      </c>
      <c r="H1066">
        <v>141000</v>
      </c>
      <c r="I1066">
        <v>270000</v>
      </c>
      <c r="J1066" t="s">
        <v>102</v>
      </c>
      <c r="K1066" t="s">
        <v>103</v>
      </c>
      <c r="L1066" t="s">
        <v>44</v>
      </c>
      <c r="M1066" t="s">
        <v>61</v>
      </c>
      <c r="N1066" t="s">
        <v>131</v>
      </c>
      <c r="O1066" t="s">
        <v>2260</v>
      </c>
      <c r="P1066">
        <v>8.5</v>
      </c>
      <c r="Q1066">
        <v>89</v>
      </c>
      <c r="R1066">
        <v>14.1</v>
      </c>
      <c r="S1066">
        <v>9.5</v>
      </c>
      <c r="T1066">
        <v>2026</v>
      </c>
      <c r="U1066">
        <v>3</v>
      </c>
      <c r="V1066">
        <v>1</v>
      </c>
      <c r="W1066" t="s">
        <v>47</v>
      </c>
      <c r="X1066" t="s">
        <v>64</v>
      </c>
      <c r="Y1066" t="s">
        <v>48</v>
      </c>
    </row>
    <row r="1067" spans="1:25" x14ac:dyDescent="0.35">
      <c r="A1067" t="s">
        <v>2261</v>
      </c>
      <c r="B1067" t="s">
        <v>66</v>
      </c>
      <c r="C1067" t="s">
        <v>67</v>
      </c>
      <c r="D1067" t="s">
        <v>68</v>
      </c>
      <c r="E1067">
        <v>5</v>
      </c>
      <c r="F1067" t="s">
        <v>29</v>
      </c>
      <c r="G1067">
        <v>229000</v>
      </c>
      <c r="H1067">
        <v>140000</v>
      </c>
      <c r="I1067">
        <v>260000</v>
      </c>
      <c r="J1067" t="s">
        <v>60</v>
      </c>
      <c r="K1067" t="s">
        <v>60</v>
      </c>
      <c r="L1067" t="s">
        <v>53</v>
      </c>
      <c r="M1067" t="s">
        <v>33</v>
      </c>
      <c r="N1067" t="s">
        <v>131</v>
      </c>
      <c r="O1067" t="s">
        <v>2262</v>
      </c>
      <c r="P1067">
        <v>17.899999999999999</v>
      </c>
      <c r="Q1067">
        <v>85</v>
      </c>
      <c r="R1067">
        <v>16.2</v>
      </c>
      <c r="S1067">
        <v>8.1</v>
      </c>
      <c r="T1067">
        <v>2025</v>
      </c>
      <c r="U1067">
        <v>5</v>
      </c>
      <c r="V1067">
        <v>1</v>
      </c>
      <c r="W1067" t="s">
        <v>47</v>
      </c>
      <c r="X1067" t="s">
        <v>64</v>
      </c>
      <c r="Y1067" t="s">
        <v>38</v>
      </c>
    </row>
    <row r="1068" spans="1:25" x14ac:dyDescent="0.35">
      <c r="A1068" t="s">
        <v>2263</v>
      </c>
      <c r="B1068" t="s">
        <v>609</v>
      </c>
      <c r="C1068" t="s">
        <v>124</v>
      </c>
      <c r="D1068" t="s">
        <v>81</v>
      </c>
      <c r="E1068">
        <v>8</v>
      </c>
      <c r="F1068" t="s">
        <v>29</v>
      </c>
      <c r="G1068">
        <v>194000</v>
      </c>
      <c r="H1068">
        <v>115000</v>
      </c>
      <c r="I1068">
        <v>280000</v>
      </c>
      <c r="J1068" t="s">
        <v>174</v>
      </c>
      <c r="K1068" t="s">
        <v>31</v>
      </c>
      <c r="L1068" t="s">
        <v>32</v>
      </c>
      <c r="M1068" t="s">
        <v>33</v>
      </c>
      <c r="N1068" t="s">
        <v>76</v>
      </c>
      <c r="O1068" t="s">
        <v>2264</v>
      </c>
      <c r="P1068">
        <v>14.9</v>
      </c>
      <c r="Q1068">
        <v>88</v>
      </c>
      <c r="R1068">
        <v>6</v>
      </c>
      <c r="S1068">
        <v>7.6</v>
      </c>
      <c r="T1068">
        <v>2025</v>
      </c>
      <c r="U1068">
        <v>6</v>
      </c>
      <c r="V1068">
        <v>0</v>
      </c>
      <c r="W1068" t="s">
        <v>36</v>
      </c>
      <c r="X1068" t="s">
        <v>64</v>
      </c>
      <c r="Y1068" t="s">
        <v>48</v>
      </c>
    </row>
    <row r="1069" spans="1:25" x14ac:dyDescent="0.35">
      <c r="A1069" t="s">
        <v>2265</v>
      </c>
      <c r="B1069" t="s">
        <v>127</v>
      </c>
      <c r="C1069" t="s">
        <v>27</v>
      </c>
      <c r="D1069" t="s">
        <v>68</v>
      </c>
      <c r="E1069">
        <v>10</v>
      </c>
      <c r="F1069" t="s">
        <v>29</v>
      </c>
      <c r="G1069">
        <v>120000</v>
      </c>
      <c r="H1069">
        <v>120000</v>
      </c>
      <c r="I1069">
        <v>280000</v>
      </c>
      <c r="J1069" t="s">
        <v>92</v>
      </c>
      <c r="K1069" t="s">
        <v>93</v>
      </c>
      <c r="L1069" t="s">
        <v>32</v>
      </c>
      <c r="M1069" t="s">
        <v>82</v>
      </c>
      <c r="N1069" t="s">
        <v>165</v>
      </c>
      <c r="O1069" t="s">
        <v>2266</v>
      </c>
      <c r="P1069">
        <v>11.7</v>
      </c>
      <c r="Q1069">
        <v>97</v>
      </c>
      <c r="R1069">
        <v>29.7</v>
      </c>
      <c r="S1069">
        <v>8.4</v>
      </c>
      <c r="T1069">
        <v>2025</v>
      </c>
      <c r="U1069">
        <v>5</v>
      </c>
      <c r="V1069">
        <v>1</v>
      </c>
      <c r="W1069" t="s">
        <v>36</v>
      </c>
      <c r="X1069" t="s">
        <v>64</v>
      </c>
      <c r="Y1069" t="s">
        <v>95</v>
      </c>
    </row>
    <row r="1070" spans="1:25" x14ac:dyDescent="0.35">
      <c r="A1070" t="s">
        <v>2267</v>
      </c>
      <c r="B1070" t="s">
        <v>100</v>
      </c>
      <c r="C1070" t="s">
        <v>101</v>
      </c>
      <c r="D1070" t="s">
        <v>81</v>
      </c>
      <c r="E1070">
        <v>6</v>
      </c>
      <c r="F1070" t="s">
        <v>69</v>
      </c>
      <c r="G1070">
        <v>215000</v>
      </c>
      <c r="H1070">
        <v>180000</v>
      </c>
      <c r="I1070">
        <v>320000</v>
      </c>
      <c r="J1070" t="s">
        <v>52</v>
      </c>
      <c r="K1070" t="s">
        <v>31</v>
      </c>
      <c r="L1070" t="s">
        <v>32</v>
      </c>
      <c r="M1070" t="s">
        <v>33</v>
      </c>
      <c r="N1070" t="s">
        <v>76</v>
      </c>
      <c r="O1070" t="s">
        <v>2268</v>
      </c>
      <c r="P1070">
        <v>14.9</v>
      </c>
      <c r="Q1070">
        <v>84</v>
      </c>
      <c r="R1070">
        <v>15.4</v>
      </c>
      <c r="S1070">
        <v>9.1999999999999993</v>
      </c>
      <c r="T1070">
        <v>2026</v>
      </c>
      <c r="U1070">
        <v>2</v>
      </c>
      <c r="V1070">
        <v>0</v>
      </c>
      <c r="W1070" t="s">
        <v>36</v>
      </c>
      <c r="X1070" t="s">
        <v>64</v>
      </c>
      <c r="Y1070" t="s">
        <v>38</v>
      </c>
    </row>
    <row r="1071" spans="1:25" x14ac:dyDescent="0.35">
      <c r="A1071" t="s">
        <v>2269</v>
      </c>
      <c r="B1071" t="s">
        <v>168</v>
      </c>
      <c r="C1071" t="s">
        <v>169</v>
      </c>
      <c r="D1071" t="s">
        <v>81</v>
      </c>
      <c r="E1071">
        <v>10</v>
      </c>
      <c r="F1071" t="s">
        <v>51</v>
      </c>
      <c r="G1071">
        <v>157000</v>
      </c>
      <c r="H1071">
        <v>157000</v>
      </c>
      <c r="I1071">
        <v>218000</v>
      </c>
      <c r="J1071" t="s">
        <v>137</v>
      </c>
      <c r="K1071" t="s">
        <v>138</v>
      </c>
      <c r="L1071" t="s">
        <v>32</v>
      </c>
      <c r="M1071" t="s">
        <v>82</v>
      </c>
      <c r="N1071" t="s">
        <v>131</v>
      </c>
      <c r="O1071" t="s">
        <v>2270</v>
      </c>
      <c r="P1071">
        <v>6</v>
      </c>
      <c r="Q1071">
        <v>90</v>
      </c>
      <c r="R1071">
        <v>16.100000000000001</v>
      </c>
      <c r="S1071">
        <v>7.6</v>
      </c>
      <c r="T1071">
        <v>2025</v>
      </c>
      <c r="U1071">
        <v>4</v>
      </c>
      <c r="V1071">
        <v>0</v>
      </c>
      <c r="W1071" t="s">
        <v>36</v>
      </c>
      <c r="X1071" t="s">
        <v>64</v>
      </c>
      <c r="Y1071" t="s">
        <v>48</v>
      </c>
    </row>
    <row r="1072" spans="1:25" x14ac:dyDescent="0.35">
      <c r="A1072" t="s">
        <v>2271</v>
      </c>
      <c r="B1072" t="s">
        <v>146</v>
      </c>
      <c r="C1072" t="s">
        <v>27</v>
      </c>
      <c r="D1072" t="s">
        <v>81</v>
      </c>
      <c r="E1072">
        <v>8</v>
      </c>
      <c r="F1072" t="s">
        <v>69</v>
      </c>
      <c r="G1072">
        <v>173000</v>
      </c>
      <c r="H1072">
        <v>160000</v>
      </c>
      <c r="I1072">
        <v>300000</v>
      </c>
      <c r="J1072" t="s">
        <v>30</v>
      </c>
      <c r="K1072" t="s">
        <v>31</v>
      </c>
      <c r="L1072" t="s">
        <v>32</v>
      </c>
      <c r="M1072" t="s">
        <v>61</v>
      </c>
      <c r="N1072" t="s">
        <v>124</v>
      </c>
      <c r="O1072" t="s">
        <v>2272</v>
      </c>
      <c r="P1072">
        <v>11.5</v>
      </c>
      <c r="Q1072">
        <v>90</v>
      </c>
      <c r="R1072">
        <v>27.5</v>
      </c>
      <c r="S1072">
        <v>7.1</v>
      </c>
      <c r="T1072">
        <v>2026</v>
      </c>
      <c r="U1072">
        <v>1</v>
      </c>
      <c r="V1072">
        <v>0</v>
      </c>
      <c r="W1072" t="s">
        <v>36</v>
      </c>
      <c r="X1072" t="s">
        <v>64</v>
      </c>
      <c r="Y1072" t="s">
        <v>48</v>
      </c>
    </row>
    <row r="1073" spans="1:25" x14ac:dyDescent="0.35">
      <c r="A1073" t="s">
        <v>2273</v>
      </c>
      <c r="B1073" t="s">
        <v>100</v>
      </c>
      <c r="C1073" t="s">
        <v>101</v>
      </c>
      <c r="D1073" t="s">
        <v>68</v>
      </c>
      <c r="E1073">
        <v>13</v>
      </c>
      <c r="F1073" t="s">
        <v>69</v>
      </c>
      <c r="G1073">
        <v>349000</v>
      </c>
      <c r="H1073">
        <v>180000</v>
      </c>
      <c r="I1073">
        <v>320000</v>
      </c>
      <c r="J1073" t="s">
        <v>75</v>
      </c>
      <c r="K1073" t="s">
        <v>31</v>
      </c>
      <c r="L1073" t="s">
        <v>44</v>
      </c>
      <c r="M1073" t="s">
        <v>45</v>
      </c>
      <c r="N1073" t="s">
        <v>34</v>
      </c>
      <c r="O1073" t="s">
        <v>2274</v>
      </c>
      <c r="P1073">
        <v>16.600000000000001</v>
      </c>
      <c r="Q1073">
        <v>84</v>
      </c>
      <c r="R1073">
        <v>7.5</v>
      </c>
      <c r="S1073">
        <v>8.1</v>
      </c>
      <c r="T1073">
        <v>2025</v>
      </c>
      <c r="U1073">
        <v>2</v>
      </c>
      <c r="V1073">
        <v>1</v>
      </c>
      <c r="W1073" t="s">
        <v>47</v>
      </c>
      <c r="X1073" t="s">
        <v>64</v>
      </c>
      <c r="Y1073" t="s">
        <v>56</v>
      </c>
    </row>
    <row r="1074" spans="1:25" x14ac:dyDescent="0.35">
      <c r="A1074" t="s">
        <v>2275</v>
      </c>
      <c r="B1074" t="s">
        <v>179</v>
      </c>
      <c r="C1074" t="s">
        <v>180</v>
      </c>
      <c r="D1074" t="s">
        <v>81</v>
      </c>
      <c r="E1074">
        <v>6</v>
      </c>
      <c r="F1074" t="s">
        <v>29</v>
      </c>
      <c r="G1074">
        <v>110000</v>
      </c>
      <c r="H1074">
        <v>110000</v>
      </c>
      <c r="I1074">
        <v>210000</v>
      </c>
      <c r="J1074" t="s">
        <v>108</v>
      </c>
      <c r="K1074" t="s">
        <v>109</v>
      </c>
      <c r="L1074" t="s">
        <v>44</v>
      </c>
      <c r="M1074" t="s">
        <v>54</v>
      </c>
      <c r="N1074" t="s">
        <v>110</v>
      </c>
      <c r="O1074" t="s">
        <v>2276</v>
      </c>
      <c r="P1074">
        <v>10.7</v>
      </c>
      <c r="Q1074">
        <v>72</v>
      </c>
      <c r="R1074">
        <v>24.2</v>
      </c>
      <c r="S1074">
        <v>6.6</v>
      </c>
      <c r="T1074">
        <v>2025</v>
      </c>
      <c r="U1074">
        <v>7</v>
      </c>
      <c r="V1074">
        <v>0</v>
      </c>
      <c r="W1074" t="s">
        <v>47</v>
      </c>
      <c r="X1074" t="s">
        <v>64</v>
      </c>
      <c r="Y1074" t="s">
        <v>95</v>
      </c>
    </row>
    <row r="1075" spans="1:25" x14ac:dyDescent="0.35">
      <c r="A1075" t="s">
        <v>2277</v>
      </c>
      <c r="B1075" t="s">
        <v>233</v>
      </c>
      <c r="C1075" t="s">
        <v>180</v>
      </c>
      <c r="D1075" t="s">
        <v>68</v>
      </c>
      <c r="E1075">
        <v>3</v>
      </c>
      <c r="F1075" t="s">
        <v>51</v>
      </c>
      <c r="G1075">
        <v>129000</v>
      </c>
      <c r="H1075">
        <v>100000</v>
      </c>
      <c r="I1075">
        <v>200000</v>
      </c>
      <c r="J1075" t="s">
        <v>113</v>
      </c>
      <c r="K1075" t="s">
        <v>114</v>
      </c>
      <c r="L1075" t="s">
        <v>44</v>
      </c>
      <c r="M1075" t="s">
        <v>61</v>
      </c>
      <c r="N1075" t="s">
        <v>131</v>
      </c>
      <c r="O1075" t="s">
        <v>2278</v>
      </c>
      <c r="P1075">
        <v>13.7</v>
      </c>
      <c r="Q1075">
        <v>68</v>
      </c>
      <c r="R1075">
        <v>12</v>
      </c>
      <c r="S1075">
        <v>7.8</v>
      </c>
      <c r="T1075">
        <v>2025</v>
      </c>
      <c r="U1075">
        <v>7</v>
      </c>
      <c r="V1075">
        <v>1</v>
      </c>
      <c r="W1075" t="s">
        <v>47</v>
      </c>
      <c r="X1075" t="s">
        <v>64</v>
      </c>
      <c r="Y1075" t="s">
        <v>95</v>
      </c>
    </row>
    <row r="1076" spans="1:25" x14ac:dyDescent="0.35">
      <c r="A1076" t="s">
        <v>2279</v>
      </c>
      <c r="B1076" t="s">
        <v>134</v>
      </c>
      <c r="C1076" t="s">
        <v>27</v>
      </c>
      <c r="D1076" t="s">
        <v>74</v>
      </c>
      <c r="E1076">
        <v>3</v>
      </c>
      <c r="F1076" t="s">
        <v>41</v>
      </c>
      <c r="G1076">
        <v>150000</v>
      </c>
      <c r="H1076">
        <v>150000</v>
      </c>
      <c r="I1076">
        <v>295000</v>
      </c>
      <c r="J1076" t="s">
        <v>142</v>
      </c>
      <c r="K1076" t="s">
        <v>143</v>
      </c>
      <c r="L1076" t="s">
        <v>53</v>
      </c>
      <c r="M1076" t="s">
        <v>33</v>
      </c>
      <c r="N1076" t="s">
        <v>76</v>
      </c>
      <c r="O1076" t="s">
        <v>2280</v>
      </c>
      <c r="P1076">
        <v>10.3</v>
      </c>
      <c r="Q1076">
        <v>95</v>
      </c>
      <c r="R1076">
        <v>72</v>
      </c>
      <c r="S1076">
        <v>8.3000000000000007</v>
      </c>
      <c r="T1076">
        <v>2026</v>
      </c>
      <c r="U1076">
        <v>1</v>
      </c>
      <c r="V1076">
        <v>0</v>
      </c>
      <c r="W1076" t="s">
        <v>47</v>
      </c>
      <c r="X1076" t="s">
        <v>37</v>
      </c>
      <c r="Y1076" t="s">
        <v>95</v>
      </c>
    </row>
    <row r="1077" spans="1:25" x14ac:dyDescent="0.35">
      <c r="A1077" t="s">
        <v>2281</v>
      </c>
      <c r="B1077" t="s">
        <v>153</v>
      </c>
      <c r="C1077" t="s">
        <v>154</v>
      </c>
      <c r="D1077" t="s">
        <v>74</v>
      </c>
      <c r="E1077">
        <v>2</v>
      </c>
      <c r="F1077" t="s">
        <v>128</v>
      </c>
      <c r="G1077">
        <v>109000</v>
      </c>
      <c r="H1077">
        <v>95000</v>
      </c>
      <c r="I1077">
        <v>180000</v>
      </c>
      <c r="J1077" t="s">
        <v>42</v>
      </c>
      <c r="K1077" t="s">
        <v>43</v>
      </c>
      <c r="L1077" t="s">
        <v>53</v>
      </c>
      <c r="M1077" t="s">
        <v>45</v>
      </c>
      <c r="N1077" t="s">
        <v>155</v>
      </c>
      <c r="O1077" t="s">
        <v>2282</v>
      </c>
      <c r="P1077">
        <v>13.2</v>
      </c>
      <c r="Q1077">
        <v>78</v>
      </c>
      <c r="R1077">
        <v>11.9</v>
      </c>
      <c r="S1077">
        <v>7.7</v>
      </c>
      <c r="T1077">
        <v>2025</v>
      </c>
      <c r="U1077">
        <v>7</v>
      </c>
      <c r="V1077">
        <v>0</v>
      </c>
      <c r="W1077" t="s">
        <v>47</v>
      </c>
      <c r="X1077" t="s">
        <v>64</v>
      </c>
      <c r="Y1077" t="s">
        <v>95</v>
      </c>
    </row>
    <row r="1078" spans="1:25" x14ac:dyDescent="0.35">
      <c r="A1078" t="s">
        <v>2283</v>
      </c>
      <c r="B1078" t="s">
        <v>86</v>
      </c>
      <c r="C1078" t="s">
        <v>27</v>
      </c>
      <c r="D1078" t="s">
        <v>28</v>
      </c>
      <c r="E1078">
        <v>11</v>
      </c>
      <c r="F1078" t="s">
        <v>69</v>
      </c>
      <c r="G1078">
        <v>215000</v>
      </c>
      <c r="H1078">
        <v>180000</v>
      </c>
      <c r="I1078">
        <v>312000</v>
      </c>
      <c r="J1078" t="s">
        <v>102</v>
      </c>
      <c r="K1078" t="s">
        <v>103</v>
      </c>
      <c r="L1078" t="s">
        <v>53</v>
      </c>
      <c r="M1078" t="s">
        <v>45</v>
      </c>
      <c r="N1078" t="s">
        <v>155</v>
      </c>
      <c r="O1078" t="s">
        <v>2284</v>
      </c>
      <c r="P1078">
        <v>13.7</v>
      </c>
      <c r="Q1078">
        <v>96</v>
      </c>
      <c r="R1078">
        <v>83.5</v>
      </c>
      <c r="S1078">
        <v>6.6</v>
      </c>
      <c r="T1078">
        <v>2026</v>
      </c>
      <c r="U1078">
        <v>3</v>
      </c>
      <c r="V1078">
        <v>1</v>
      </c>
      <c r="W1078" t="s">
        <v>47</v>
      </c>
      <c r="X1078" t="s">
        <v>64</v>
      </c>
      <c r="Y1078" t="s">
        <v>38</v>
      </c>
    </row>
    <row r="1079" spans="1:25" x14ac:dyDescent="0.35">
      <c r="A1079" t="s">
        <v>2285</v>
      </c>
      <c r="B1079" t="s">
        <v>609</v>
      </c>
      <c r="C1079" t="s">
        <v>124</v>
      </c>
      <c r="D1079" t="s">
        <v>74</v>
      </c>
      <c r="E1079">
        <v>4</v>
      </c>
      <c r="F1079" t="s">
        <v>51</v>
      </c>
      <c r="G1079">
        <v>115000</v>
      </c>
      <c r="H1079">
        <v>115000</v>
      </c>
      <c r="I1079">
        <v>280000</v>
      </c>
      <c r="J1079" t="s">
        <v>92</v>
      </c>
      <c r="K1079" t="s">
        <v>93</v>
      </c>
      <c r="L1079" t="s">
        <v>44</v>
      </c>
      <c r="M1079" t="s">
        <v>33</v>
      </c>
      <c r="N1079" t="s">
        <v>62</v>
      </c>
      <c r="O1079" t="s">
        <v>2286</v>
      </c>
      <c r="P1079">
        <v>8.4</v>
      </c>
      <c r="Q1079">
        <v>88</v>
      </c>
      <c r="R1079">
        <v>22.6</v>
      </c>
      <c r="S1079">
        <v>7.7</v>
      </c>
      <c r="T1079">
        <v>2026</v>
      </c>
      <c r="U1079">
        <v>3</v>
      </c>
      <c r="V1079">
        <v>0</v>
      </c>
      <c r="W1079" t="s">
        <v>47</v>
      </c>
      <c r="X1079" t="s">
        <v>64</v>
      </c>
      <c r="Y1079" t="s">
        <v>95</v>
      </c>
    </row>
    <row r="1080" spans="1:25" x14ac:dyDescent="0.35">
      <c r="A1080" t="s">
        <v>2287</v>
      </c>
      <c r="B1080" t="s">
        <v>79</v>
      </c>
      <c r="C1080" t="s">
        <v>80</v>
      </c>
      <c r="D1080" t="s">
        <v>74</v>
      </c>
      <c r="E1080">
        <v>10</v>
      </c>
      <c r="F1080" t="s">
        <v>69</v>
      </c>
      <c r="G1080">
        <v>140000</v>
      </c>
      <c r="H1080">
        <v>140000</v>
      </c>
      <c r="I1080">
        <v>260000</v>
      </c>
      <c r="J1080" t="s">
        <v>42</v>
      </c>
      <c r="K1080" t="s">
        <v>43</v>
      </c>
      <c r="L1080" t="s">
        <v>44</v>
      </c>
      <c r="M1080" t="s">
        <v>61</v>
      </c>
      <c r="N1080" t="s">
        <v>76</v>
      </c>
      <c r="O1080" t="s">
        <v>2288</v>
      </c>
      <c r="P1080">
        <v>16.600000000000001</v>
      </c>
      <c r="Q1080">
        <v>80</v>
      </c>
      <c r="R1080">
        <v>27.8</v>
      </c>
      <c r="S1080">
        <v>8.4</v>
      </c>
      <c r="T1080">
        <v>2026</v>
      </c>
      <c r="U1080">
        <v>3</v>
      </c>
      <c r="V1080">
        <v>0</v>
      </c>
      <c r="W1080" t="s">
        <v>47</v>
      </c>
      <c r="X1080" t="s">
        <v>64</v>
      </c>
      <c r="Y1080" t="s">
        <v>95</v>
      </c>
    </row>
    <row r="1081" spans="1:25" x14ac:dyDescent="0.35">
      <c r="A1081" t="s">
        <v>2289</v>
      </c>
      <c r="B1081" t="s">
        <v>196</v>
      </c>
      <c r="C1081" t="s">
        <v>27</v>
      </c>
      <c r="D1081" t="s">
        <v>68</v>
      </c>
      <c r="E1081">
        <v>8</v>
      </c>
      <c r="F1081" t="s">
        <v>128</v>
      </c>
      <c r="G1081">
        <v>246000</v>
      </c>
      <c r="H1081">
        <v>100000</v>
      </c>
      <c r="I1081">
        <v>250000</v>
      </c>
      <c r="J1081" t="s">
        <v>117</v>
      </c>
      <c r="K1081" t="s">
        <v>118</v>
      </c>
      <c r="L1081" t="s">
        <v>32</v>
      </c>
      <c r="M1081" t="s">
        <v>45</v>
      </c>
      <c r="N1081" t="s">
        <v>76</v>
      </c>
      <c r="O1081" t="s">
        <v>2290</v>
      </c>
      <c r="P1081">
        <v>14.8</v>
      </c>
      <c r="Q1081">
        <v>95</v>
      </c>
      <c r="R1081">
        <v>27.3</v>
      </c>
      <c r="S1081">
        <v>8</v>
      </c>
      <c r="T1081">
        <v>2026</v>
      </c>
      <c r="U1081">
        <v>3</v>
      </c>
      <c r="V1081">
        <v>1</v>
      </c>
      <c r="W1081" t="s">
        <v>36</v>
      </c>
      <c r="X1081" t="s">
        <v>64</v>
      </c>
      <c r="Y1081" t="s">
        <v>38</v>
      </c>
    </row>
    <row r="1082" spans="1:25" x14ac:dyDescent="0.35">
      <c r="A1082" t="s">
        <v>2291</v>
      </c>
      <c r="B1082" t="s">
        <v>233</v>
      </c>
      <c r="C1082" t="s">
        <v>180</v>
      </c>
      <c r="D1082" t="s">
        <v>74</v>
      </c>
      <c r="E1082">
        <v>8</v>
      </c>
      <c r="F1082" t="s">
        <v>128</v>
      </c>
      <c r="G1082">
        <v>151000</v>
      </c>
      <c r="H1082">
        <v>100000</v>
      </c>
      <c r="I1082">
        <v>200000</v>
      </c>
      <c r="J1082" t="s">
        <v>47</v>
      </c>
      <c r="K1082" t="s">
        <v>87</v>
      </c>
      <c r="L1082" t="s">
        <v>44</v>
      </c>
      <c r="M1082" t="s">
        <v>45</v>
      </c>
      <c r="N1082" t="s">
        <v>62</v>
      </c>
      <c r="O1082" t="s">
        <v>2292</v>
      </c>
      <c r="P1082">
        <v>16.600000000000001</v>
      </c>
      <c r="Q1082">
        <v>68</v>
      </c>
      <c r="R1082">
        <v>15.6</v>
      </c>
      <c r="S1082">
        <v>8.6999999999999993</v>
      </c>
      <c r="T1082">
        <v>2025</v>
      </c>
      <c r="U1082">
        <v>7</v>
      </c>
      <c r="V1082">
        <v>0</v>
      </c>
      <c r="W1082" t="s">
        <v>47</v>
      </c>
      <c r="X1082" t="s">
        <v>64</v>
      </c>
      <c r="Y1082" t="s">
        <v>48</v>
      </c>
    </row>
    <row r="1083" spans="1:25" x14ac:dyDescent="0.35">
      <c r="A1083" t="s">
        <v>2293</v>
      </c>
      <c r="B1083" t="s">
        <v>146</v>
      </c>
      <c r="C1083" t="s">
        <v>27</v>
      </c>
      <c r="D1083" t="s">
        <v>68</v>
      </c>
      <c r="E1083">
        <v>9</v>
      </c>
      <c r="F1083" t="s">
        <v>69</v>
      </c>
      <c r="G1083">
        <v>220000</v>
      </c>
      <c r="H1083">
        <v>160000</v>
      </c>
      <c r="I1083">
        <v>300000</v>
      </c>
      <c r="J1083" t="s">
        <v>170</v>
      </c>
      <c r="K1083" t="s">
        <v>171</v>
      </c>
      <c r="L1083" t="s">
        <v>44</v>
      </c>
      <c r="M1083" t="s">
        <v>33</v>
      </c>
      <c r="N1083" t="s">
        <v>165</v>
      </c>
      <c r="O1083" t="s">
        <v>2294</v>
      </c>
      <c r="P1083">
        <v>15.7</v>
      </c>
      <c r="Q1083">
        <v>90</v>
      </c>
      <c r="R1083">
        <v>17.7</v>
      </c>
      <c r="S1083">
        <v>8.3000000000000007</v>
      </c>
      <c r="T1083">
        <v>2026</v>
      </c>
      <c r="U1083">
        <v>3</v>
      </c>
      <c r="V1083">
        <v>1</v>
      </c>
      <c r="W1083" t="s">
        <v>47</v>
      </c>
      <c r="X1083" t="s">
        <v>64</v>
      </c>
      <c r="Y1083" t="s">
        <v>38</v>
      </c>
    </row>
    <row r="1084" spans="1:25" x14ac:dyDescent="0.35">
      <c r="A1084" t="s">
        <v>2295</v>
      </c>
      <c r="B1084" t="s">
        <v>163</v>
      </c>
      <c r="C1084" t="s">
        <v>164</v>
      </c>
      <c r="D1084" t="s">
        <v>74</v>
      </c>
      <c r="E1084">
        <v>8</v>
      </c>
      <c r="F1084" t="s">
        <v>51</v>
      </c>
      <c r="G1084">
        <v>125000</v>
      </c>
      <c r="H1084">
        <v>125000</v>
      </c>
      <c r="I1084">
        <v>240000</v>
      </c>
      <c r="J1084" t="s">
        <v>75</v>
      </c>
      <c r="K1084" t="s">
        <v>31</v>
      </c>
      <c r="L1084" t="s">
        <v>44</v>
      </c>
      <c r="M1084" t="s">
        <v>45</v>
      </c>
      <c r="N1084" t="s">
        <v>110</v>
      </c>
      <c r="O1084" t="s">
        <v>2296</v>
      </c>
      <c r="P1084">
        <v>9.6999999999999993</v>
      </c>
      <c r="Q1084">
        <v>76</v>
      </c>
      <c r="R1084">
        <v>19.7</v>
      </c>
      <c r="S1084">
        <v>6.6</v>
      </c>
      <c r="T1084">
        <v>2025</v>
      </c>
      <c r="U1084">
        <v>12</v>
      </c>
      <c r="V1084">
        <v>0</v>
      </c>
      <c r="W1084" t="s">
        <v>47</v>
      </c>
      <c r="X1084" t="s">
        <v>64</v>
      </c>
      <c r="Y1084" t="s">
        <v>95</v>
      </c>
    </row>
    <row r="1085" spans="1:25" x14ac:dyDescent="0.35">
      <c r="A1085" t="s">
        <v>2297</v>
      </c>
      <c r="B1085" t="s">
        <v>153</v>
      </c>
      <c r="C1085" t="s">
        <v>154</v>
      </c>
      <c r="D1085" t="s">
        <v>74</v>
      </c>
      <c r="E1085">
        <v>4</v>
      </c>
      <c r="F1085" t="s">
        <v>29</v>
      </c>
      <c r="G1085">
        <v>95000</v>
      </c>
      <c r="H1085">
        <v>95000</v>
      </c>
      <c r="I1085">
        <v>180000</v>
      </c>
      <c r="J1085" t="s">
        <v>102</v>
      </c>
      <c r="K1085" t="s">
        <v>103</v>
      </c>
      <c r="L1085" t="s">
        <v>53</v>
      </c>
      <c r="M1085" t="s">
        <v>61</v>
      </c>
      <c r="N1085" t="s">
        <v>62</v>
      </c>
      <c r="O1085" t="s">
        <v>2298</v>
      </c>
      <c r="P1085">
        <v>14</v>
      </c>
      <c r="Q1085">
        <v>78</v>
      </c>
      <c r="R1085">
        <v>6.6</v>
      </c>
      <c r="S1085">
        <v>7.3</v>
      </c>
      <c r="T1085">
        <v>2026</v>
      </c>
      <c r="U1085">
        <v>1</v>
      </c>
      <c r="V1085">
        <v>0</v>
      </c>
      <c r="W1085" t="s">
        <v>47</v>
      </c>
      <c r="X1085" t="s">
        <v>64</v>
      </c>
      <c r="Y1085" t="s">
        <v>98</v>
      </c>
    </row>
    <row r="1086" spans="1:25" x14ac:dyDescent="0.35">
      <c r="A1086" t="s">
        <v>2299</v>
      </c>
      <c r="B1086" t="s">
        <v>196</v>
      </c>
      <c r="C1086" t="s">
        <v>27</v>
      </c>
      <c r="D1086" t="s">
        <v>81</v>
      </c>
      <c r="E1086">
        <v>6</v>
      </c>
      <c r="F1086" t="s">
        <v>128</v>
      </c>
      <c r="G1086">
        <v>148000</v>
      </c>
      <c r="H1086">
        <v>100000</v>
      </c>
      <c r="I1086">
        <v>250000</v>
      </c>
      <c r="J1086" t="s">
        <v>60</v>
      </c>
      <c r="K1086" t="s">
        <v>60</v>
      </c>
      <c r="L1086" t="s">
        <v>44</v>
      </c>
      <c r="M1086" t="s">
        <v>82</v>
      </c>
      <c r="N1086" t="s">
        <v>76</v>
      </c>
      <c r="O1086" t="s">
        <v>2300</v>
      </c>
      <c r="P1086">
        <v>16.600000000000001</v>
      </c>
      <c r="Q1086">
        <v>95</v>
      </c>
      <c r="R1086">
        <v>15.4</v>
      </c>
      <c r="S1086">
        <v>8.4</v>
      </c>
      <c r="T1086">
        <v>2026</v>
      </c>
      <c r="U1086">
        <v>2</v>
      </c>
      <c r="V1086">
        <v>0</v>
      </c>
      <c r="W1086" t="s">
        <v>47</v>
      </c>
      <c r="X1086" t="s">
        <v>64</v>
      </c>
      <c r="Y1086" t="s">
        <v>95</v>
      </c>
    </row>
    <row r="1087" spans="1:25" x14ac:dyDescent="0.35">
      <c r="A1087" t="s">
        <v>2301</v>
      </c>
      <c r="B1087" t="s">
        <v>146</v>
      </c>
      <c r="C1087" t="s">
        <v>27</v>
      </c>
      <c r="D1087" t="s">
        <v>28</v>
      </c>
      <c r="E1087">
        <v>9</v>
      </c>
      <c r="F1087" t="s">
        <v>51</v>
      </c>
      <c r="G1087">
        <v>170000</v>
      </c>
      <c r="H1087">
        <v>160000</v>
      </c>
      <c r="I1087">
        <v>300000</v>
      </c>
      <c r="J1087" t="s">
        <v>42</v>
      </c>
      <c r="K1087" t="s">
        <v>43</v>
      </c>
      <c r="L1087" t="s">
        <v>44</v>
      </c>
      <c r="M1087" t="s">
        <v>33</v>
      </c>
      <c r="N1087" t="s">
        <v>119</v>
      </c>
      <c r="O1087" t="s">
        <v>2302</v>
      </c>
      <c r="P1087">
        <v>11.3</v>
      </c>
      <c r="Q1087">
        <v>90</v>
      </c>
      <c r="R1087">
        <v>10</v>
      </c>
      <c r="S1087">
        <v>7.7</v>
      </c>
      <c r="T1087">
        <v>2025</v>
      </c>
      <c r="U1087">
        <v>8</v>
      </c>
      <c r="V1087">
        <v>1</v>
      </c>
      <c r="W1087" t="s">
        <v>47</v>
      </c>
      <c r="X1087" t="s">
        <v>64</v>
      </c>
      <c r="Y1087" t="s">
        <v>48</v>
      </c>
    </row>
    <row r="1088" spans="1:25" x14ac:dyDescent="0.35">
      <c r="A1088" t="s">
        <v>2303</v>
      </c>
      <c r="B1088" t="s">
        <v>127</v>
      </c>
      <c r="C1088" t="s">
        <v>27</v>
      </c>
      <c r="D1088" t="s">
        <v>68</v>
      </c>
      <c r="E1088">
        <v>3</v>
      </c>
      <c r="F1088" t="s">
        <v>128</v>
      </c>
      <c r="G1088">
        <v>120000</v>
      </c>
      <c r="H1088">
        <v>120000</v>
      </c>
      <c r="I1088">
        <v>280000</v>
      </c>
      <c r="J1088" t="s">
        <v>108</v>
      </c>
      <c r="K1088" t="s">
        <v>109</v>
      </c>
      <c r="L1088" t="s">
        <v>32</v>
      </c>
      <c r="M1088" t="s">
        <v>61</v>
      </c>
      <c r="N1088" t="s">
        <v>76</v>
      </c>
      <c r="O1088" t="s">
        <v>2304</v>
      </c>
      <c r="P1088">
        <v>9.6999999999999993</v>
      </c>
      <c r="Q1088">
        <v>97</v>
      </c>
      <c r="R1088">
        <v>84</v>
      </c>
      <c r="S1088">
        <v>8.1</v>
      </c>
      <c r="T1088">
        <v>2026</v>
      </c>
      <c r="U1088">
        <v>2</v>
      </c>
      <c r="V1088">
        <v>1</v>
      </c>
      <c r="W1088" t="s">
        <v>36</v>
      </c>
      <c r="X1088" t="s">
        <v>64</v>
      </c>
      <c r="Y1088" t="s">
        <v>95</v>
      </c>
    </row>
    <row r="1089" spans="1:25" x14ac:dyDescent="0.35">
      <c r="A1089" t="s">
        <v>2305</v>
      </c>
      <c r="B1089" t="s">
        <v>149</v>
      </c>
      <c r="C1089" t="s">
        <v>150</v>
      </c>
      <c r="D1089" t="s">
        <v>74</v>
      </c>
      <c r="E1089">
        <v>7</v>
      </c>
      <c r="F1089" t="s">
        <v>41</v>
      </c>
      <c r="G1089">
        <v>130000</v>
      </c>
      <c r="H1089">
        <v>130000</v>
      </c>
      <c r="I1089">
        <v>260000</v>
      </c>
      <c r="J1089" t="s">
        <v>117</v>
      </c>
      <c r="K1089" t="s">
        <v>118</v>
      </c>
      <c r="L1089" t="s">
        <v>44</v>
      </c>
      <c r="M1089" t="s">
        <v>82</v>
      </c>
      <c r="N1089" t="s">
        <v>76</v>
      </c>
      <c r="O1089" t="s">
        <v>2306</v>
      </c>
      <c r="P1089">
        <v>12.2</v>
      </c>
      <c r="Q1089">
        <v>93</v>
      </c>
      <c r="R1089">
        <v>58.2</v>
      </c>
      <c r="S1089">
        <v>6.4</v>
      </c>
      <c r="T1089">
        <v>2026</v>
      </c>
      <c r="U1089">
        <v>2</v>
      </c>
      <c r="V1089">
        <v>0</v>
      </c>
      <c r="W1089" t="s">
        <v>47</v>
      </c>
      <c r="X1089" t="s">
        <v>64</v>
      </c>
      <c r="Y1089" t="s">
        <v>95</v>
      </c>
    </row>
    <row r="1090" spans="1:25" x14ac:dyDescent="0.35">
      <c r="A1090" t="s">
        <v>2307</v>
      </c>
      <c r="B1090" t="s">
        <v>203</v>
      </c>
      <c r="C1090" t="s">
        <v>169</v>
      </c>
      <c r="D1090" t="s">
        <v>68</v>
      </c>
      <c r="E1090">
        <v>6</v>
      </c>
      <c r="F1090" t="s">
        <v>69</v>
      </c>
      <c r="G1090">
        <v>209000</v>
      </c>
      <c r="H1090">
        <v>138000</v>
      </c>
      <c r="I1090">
        <v>195000</v>
      </c>
      <c r="J1090" t="s">
        <v>75</v>
      </c>
      <c r="K1090" t="s">
        <v>31</v>
      </c>
      <c r="L1090" t="s">
        <v>44</v>
      </c>
      <c r="M1090" t="s">
        <v>45</v>
      </c>
      <c r="N1090" t="s">
        <v>34</v>
      </c>
      <c r="O1090" t="s">
        <v>2308</v>
      </c>
      <c r="P1090">
        <v>7.4</v>
      </c>
      <c r="Q1090">
        <v>92</v>
      </c>
      <c r="R1090">
        <v>73.7</v>
      </c>
      <c r="S1090">
        <v>9.8000000000000007</v>
      </c>
      <c r="T1090">
        <v>2026</v>
      </c>
      <c r="U1090">
        <v>3</v>
      </c>
      <c r="V1090">
        <v>1</v>
      </c>
      <c r="W1090" t="s">
        <v>47</v>
      </c>
      <c r="X1090" t="s">
        <v>64</v>
      </c>
      <c r="Y1090" t="s">
        <v>38</v>
      </c>
    </row>
    <row r="1091" spans="1:25" x14ac:dyDescent="0.35">
      <c r="A1091" t="s">
        <v>2309</v>
      </c>
      <c r="B1091" t="s">
        <v>224</v>
      </c>
      <c r="C1091" t="s">
        <v>27</v>
      </c>
      <c r="D1091" t="s">
        <v>81</v>
      </c>
      <c r="E1091">
        <v>9</v>
      </c>
      <c r="F1091" t="s">
        <v>128</v>
      </c>
      <c r="G1091">
        <v>173000</v>
      </c>
      <c r="H1091">
        <v>145000</v>
      </c>
      <c r="I1091">
        <v>280000</v>
      </c>
      <c r="J1091" t="s">
        <v>142</v>
      </c>
      <c r="K1091" t="s">
        <v>143</v>
      </c>
      <c r="L1091" t="s">
        <v>32</v>
      </c>
      <c r="M1091" t="s">
        <v>82</v>
      </c>
      <c r="N1091" t="s">
        <v>131</v>
      </c>
      <c r="O1091" t="s">
        <v>2310</v>
      </c>
      <c r="P1091">
        <v>8.1999999999999993</v>
      </c>
      <c r="Q1091">
        <v>87</v>
      </c>
      <c r="R1091">
        <v>25.3</v>
      </c>
      <c r="S1091">
        <v>9.5</v>
      </c>
      <c r="T1091">
        <v>2025</v>
      </c>
      <c r="U1091">
        <v>3</v>
      </c>
      <c r="V1091">
        <v>0</v>
      </c>
      <c r="W1091" t="s">
        <v>36</v>
      </c>
      <c r="X1091" t="s">
        <v>64</v>
      </c>
      <c r="Y1091" t="s">
        <v>48</v>
      </c>
    </row>
    <row r="1092" spans="1:25" x14ac:dyDescent="0.35">
      <c r="A1092" t="s">
        <v>2311</v>
      </c>
      <c r="B1092" t="s">
        <v>146</v>
      </c>
      <c r="C1092" t="s">
        <v>27</v>
      </c>
      <c r="D1092" t="s">
        <v>68</v>
      </c>
      <c r="E1092">
        <v>3</v>
      </c>
      <c r="F1092" t="s">
        <v>51</v>
      </c>
      <c r="G1092">
        <v>206000</v>
      </c>
      <c r="H1092">
        <v>160000</v>
      </c>
      <c r="I1092">
        <v>300000</v>
      </c>
      <c r="J1092" t="s">
        <v>60</v>
      </c>
      <c r="K1092" t="s">
        <v>60</v>
      </c>
      <c r="L1092" t="s">
        <v>44</v>
      </c>
      <c r="M1092" t="s">
        <v>61</v>
      </c>
      <c r="N1092" t="s">
        <v>131</v>
      </c>
      <c r="O1092" t="s">
        <v>2312</v>
      </c>
      <c r="P1092">
        <v>10.7</v>
      </c>
      <c r="Q1092">
        <v>90</v>
      </c>
      <c r="R1092">
        <v>16.3</v>
      </c>
      <c r="S1092">
        <v>9.1</v>
      </c>
      <c r="T1092">
        <v>2026</v>
      </c>
      <c r="U1092">
        <v>1</v>
      </c>
      <c r="V1092">
        <v>1</v>
      </c>
      <c r="W1092" t="s">
        <v>47</v>
      </c>
      <c r="X1092" t="s">
        <v>64</v>
      </c>
      <c r="Y1092" t="s">
        <v>38</v>
      </c>
    </row>
    <row r="1093" spans="1:25" x14ac:dyDescent="0.35">
      <c r="A1093" t="s">
        <v>2313</v>
      </c>
      <c r="B1093" t="s">
        <v>91</v>
      </c>
      <c r="C1093" t="s">
        <v>27</v>
      </c>
      <c r="D1093" t="s">
        <v>68</v>
      </c>
      <c r="E1093">
        <v>7</v>
      </c>
      <c r="F1093" t="s">
        <v>41</v>
      </c>
      <c r="G1093">
        <v>145000</v>
      </c>
      <c r="H1093">
        <v>145000</v>
      </c>
      <c r="I1093">
        <v>290000</v>
      </c>
      <c r="J1093" t="s">
        <v>108</v>
      </c>
      <c r="K1093" t="s">
        <v>109</v>
      </c>
      <c r="L1093" t="s">
        <v>32</v>
      </c>
      <c r="M1093" t="s">
        <v>45</v>
      </c>
      <c r="N1093" t="s">
        <v>83</v>
      </c>
      <c r="O1093" t="s">
        <v>2314</v>
      </c>
      <c r="P1093">
        <v>8.3000000000000007</v>
      </c>
      <c r="Q1093">
        <v>91</v>
      </c>
      <c r="R1093">
        <v>33.700000000000003</v>
      </c>
      <c r="S1093">
        <v>8.9</v>
      </c>
      <c r="T1093">
        <v>2026</v>
      </c>
      <c r="U1093">
        <v>2</v>
      </c>
      <c r="V1093">
        <v>1</v>
      </c>
      <c r="W1093" t="s">
        <v>36</v>
      </c>
      <c r="X1093" t="s">
        <v>64</v>
      </c>
      <c r="Y1093" t="s">
        <v>95</v>
      </c>
    </row>
    <row r="1094" spans="1:25" x14ac:dyDescent="0.35">
      <c r="A1094" t="s">
        <v>2315</v>
      </c>
      <c r="B1094" t="s">
        <v>58</v>
      </c>
      <c r="C1094" t="s">
        <v>59</v>
      </c>
      <c r="D1094" t="s">
        <v>81</v>
      </c>
      <c r="E1094">
        <v>4</v>
      </c>
      <c r="F1094" t="s">
        <v>69</v>
      </c>
      <c r="G1094">
        <v>130000</v>
      </c>
      <c r="H1094">
        <v>130000</v>
      </c>
      <c r="I1094">
        <v>220000</v>
      </c>
      <c r="J1094" t="s">
        <v>142</v>
      </c>
      <c r="K1094" t="s">
        <v>143</v>
      </c>
      <c r="L1094" t="s">
        <v>44</v>
      </c>
      <c r="M1094" t="s">
        <v>33</v>
      </c>
      <c r="N1094" t="s">
        <v>83</v>
      </c>
      <c r="O1094" t="s">
        <v>2316</v>
      </c>
      <c r="P1094">
        <v>15.1</v>
      </c>
      <c r="Q1094">
        <v>88</v>
      </c>
      <c r="R1094">
        <v>15.3</v>
      </c>
      <c r="S1094">
        <v>9.8000000000000007</v>
      </c>
      <c r="T1094">
        <v>2026</v>
      </c>
      <c r="U1094">
        <v>1</v>
      </c>
      <c r="V1094">
        <v>0</v>
      </c>
      <c r="W1094" t="s">
        <v>47</v>
      </c>
      <c r="X1094" t="s">
        <v>64</v>
      </c>
      <c r="Y1094" t="s">
        <v>95</v>
      </c>
    </row>
    <row r="1095" spans="1:25" x14ac:dyDescent="0.35">
      <c r="A1095" t="s">
        <v>2317</v>
      </c>
      <c r="B1095" t="s">
        <v>40</v>
      </c>
      <c r="C1095" t="s">
        <v>27</v>
      </c>
      <c r="D1095" t="s">
        <v>68</v>
      </c>
      <c r="E1095">
        <v>5</v>
      </c>
      <c r="F1095" t="s">
        <v>69</v>
      </c>
      <c r="G1095">
        <v>240000</v>
      </c>
      <c r="H1095">
        <v>90000</v>
      </c>
      <c r="I1095">
        <v>200000</v>
      </c>
      <c r="J1095" t="s">
        <v>296</v>
      </c>
      <c r="K1095" t="s">
        <v>31</v>
      </c>
      <c r="L1095" t="s">
        <v>32</v>
      </c>
      <c r="M1095" t="s">
        <v>45</v>
      </c>
      <c r="N1095" t="s">
        <v>124</v>
      </c>
      <c r="O1095" t="s">
        <v>2318</v>
      </c>
      <c r="P1095">
        <v>4.8</v>
      </c>
      <c r="Q1095">
        <v>82</v>
      </c>
      <c r="R1095">
        <v>20.100000000000001</v>
      </c>
      <c r="S1095">
        <v>7.5</v>
      </c>
      <c r="T1095">
        <v>2025</v>
      </c>
      <c r="U1095">
        <v>7</v>
      </c>
      <c r="V1095">
        <v>1</v>
      </c>
      <c r="W1095" t="s">
        <v>36</v>
      </c>
      <c r="X1095" t="s">
        <v>37</v>
      </c>
      <c r="Y1095" t="s">
        <v>38</v>
      </c>
    </row>
    <row r="1096" spans="1:25" x14ac:dyDescent="0.35">
      <c r="A1096" t="s">
        <v>2319</v>
      </c>
      <c r="B1096" t="s">
        <v>153</v>
      </c>
      <c r="C1096" t="s">
        <v>154</v>
      </c>
      <c r="D1096" t="s">
        <v>74</v>
      </c>
      <c r="E1096">
        <v>2</v>
      </c>
      <c r="F1096" t="s">
        <v>69</v>
      </c>
      <c r="G1096">
        <v>95000</v>
      </c>
      <c r="H1096">
        <v>95000</v>
      </c>
      <c r="I1096">
        <v>180000</v>
      </c>
      <c r="J1096" t="s">
        <v>108</v>
      </c>
      <c r="K1096" t="s">
        <v>109</v>
      </c>
      <c r="L1096" t="s">
        <v>53</v>
      </c>
      <c r="M1096" t="s">
        <v>61</v>
      </c>
      <c r="N1096" t="s">
        <v>165</v>
      </c>
      <c r="O1096" t="s">
        <v>2320</v>
      </c>
      <c r="P1096">
        <v>14</v>
      </c>
      <c r="Q1096">
        <v>78</v>
      </c>
      <c r="R1096">
        <v>28.8</v>
      </c>
      <c r="S1096">
        <v>8.1</v>
      </c>
      <c r="T1096">
        <v>2025</v>
      </c>
      <c r="U1096">
        <v>9</v>
      </c>
      <c r="V1096">
        <v>0</v>
      </c>
      <c r="W1096" t="s">
        <v>47</v>
      </c>
      <c r="X1096" t="s">
        <v>64</v>
      </c>
      <c r="Y1096" t="s">
        <v>98</v>
      </c>
    </row>
    <row r="1097" spans="1:25" x14ac:dyDescent="0.35">
      <c r="A1097" t="s">
        <v>2321</v>
      </c>
      <c r="B1097" t="s">
        <v>134</v>
      </c>
      <c r="C1097" t="s">
        <v>27</v>
      </c>
      <c r="D1097" t="s">
        <v>68</v>
      </c>
      <c r="E1097">
        <v>3</v>
      </c>
      <c r="F1097" t="s">
        <v>69</v>
      </c>
      <c r="G1097">
        <v>320000</v>
      </c>
      <c r="H1097">
        <v>150000</v>
      </c>
      <c r="I1097">
        <v>295000</v>
      </c>
      <c r="J1097" t="s">
        <v>47</v>
      </c>
      <c r="K1097" t="s">
        <v>87</v>
      </c>
      <c r="L1097" t="s">
        <v>44</v>
      </c>
      <c r="M1097" t="s">
        <v>45</v>
      </c>
      <c r="N1097" t="s">
        <v>62</v>
      </c>
      <c r="O1097" t="s">
        <v>2322</v>
      </c>
      <c r="P1097">
        <v>16.7</v>
      </c>
      <c r="Q1097">
        <v>95</v>
      </c>
      <c r="R1097">
        <v>33.4</v>
      </c>
      <c r="S1097">
        <v>8.3000000000000007</v>
      </c>
      <c r="T1097">
        <v>2025</v>
      </c>
      <c r="U1097">
        <v>6</v>
      </c>
      <c r="V1097">
        <v>1</v>
      </c>
      <c r="W1097" t="s">
        <v>47</v>
      </c>
      <c r="X1097" t="s">
        <v>37</v>
      </c>
      <c r="Y1097" t="s">
        <v>56</v>
      </c>
    </row>
    <row r="1098" spans="1:25" x14ac:dyDescent="0.35">
      <c r="A1098" t="s">
        <v>2323</v>
      </c>
      <c r="B1098" t="s">
        <v>141</v>
      </c>
      <c r="C1098" t="s">
        <v>27</v>
      </c>
      <c r="D1098" t="s">
        <v>81</v>
      </c>
      <c r="E1098">
        <v>5</v>
      </c>
      <c r="F1098" t="s">
        <v>51</v>
      </c>
      <c r="G1098">
        <v>141000</v>
      </c>
      <c r="H1098">
        <v>141000</v>
      </c>
      <c r="I1098">
        <v>270000</v>
      </c>
      <c r="J1098" t="s">
        <v>108</v>
      </c>
      <c r="K1098" t="s">
        <v>109</v>
      </c>
      <c r="L1098" t="s">
        <v>32</v>
      </c>
      <c r="M1098" t="s">
        <v>54</v>
      </c>
      <c r="N1098" t="s">
        <v>76</v>
      </c>
      <c r="O1098" t="s">
        <v>2324</v>
      </c>
      <c r="P1098">
        <v>7.3</v>
      </c>
      <c r="Q1098">
        <v>89</v>
      </c>
      <c r="R1098">
        <v>23.7</v>
      </c>
      <c r="S1098">
        <v>6.3</v>
      </c>
      <c r="T1098">
        <v>2026</v>
      </c>
      <c r="U1098">
        <v>3</v>
      </c>
      <c r="V1098">
        <v>0</v>
      </c>
      <c r="W1098" t="s">
        <v>36</v>
      </c>
      <c r="X1098" t="s">
        <v>64</v>
      </c>
      <c r="Y1098" t="s">
        <v>95</v>
      </c>
    </row>
    <row r="1099" spans="1:25" x14ac:dyDescent="0.35">
      <c r="A1099" t="s">
        <v>2325</v>
      </c>
      <c r="B1099" t="s">
        <v>26</v>
      </c>
      <c r="C1099" t="s">
        <v>27</v>
      </c>
      <c r="D1099" t="s">
        <v>28</v>
      </c>
      <c r="E1099">
        <v>4</v>
      </c>
      <c r="F1099" t="s">
        <v>51</v>
      </c>
      <c r="G1099">
        <v>155000</v>
      </c>
      <c r="H1099">
        <v>155000</v>
      </c>
      <c r="I1099">
        <v>290000</v>
      </c>
      <c r="J1099" t="s">
        <v>42</v>
      </c>
      <c r="K1099" t="s">
        <v>43</v>
      </c>
      <c r="L1099" t="s">
        <v>32</v>
      </c>
      <c r="M1099" t="s">
        <v>33</v>
      </c>
      <c r="N1099" t="s">
        <v>88</v>
      </c>
      <c r="O1099" t="s">
        <v>2326</v>
      </c>
      <c r="P1099">
        <v>13.9</v>
      </c>
      <c r="Q1099">
        <v>96</v>
      </c>
      <c r="R1099">
        <v>54.4</v>
      </c>
      <c r="S1099">
        <v>8.4</v>
      </c>
      <c r="T1099">
        <v>2026</v>
      </c>
      <c r="U1099">
        <v>2</v>
      </c>
      <c r="V1099">
        <v>1</v>
      </c>
      <c r="W1099" t="s">
        <v>36</v>
      </c>
      <c r="X1099" t="s">
        <v>37</v>
      </c>
      <c r="Y1099" t="s">
        <v>48</v>
      </c>
    </row>
    <row r="1100" spans="1:25" x14ac:dyDescent="0.35">
      <c r="A1100" t="s">
        <v>2327</v>
      </c>
      <c r="B1100" t="s">
        <v>149</v>
      </c>
      <c r="C1100" t="s">
        <v>150</v>
      </c>
      <c r="D1100" t="s">
        <v>28</v>
      </c>
      <c r="E1100">
        <v>8</v>
      </c>
      <c r="F1100" t="s">
        <v>41</v>
      </c>
      <c r="G1100">
        <v>188000</v>
      </c>
      <c r="H1100">
        <v>130000</v>
      </c>
      <c r="I1100">
        <v>260000</v>
      </c>
      <c r="J1100" t="s">
        <v>75</v>
      </c>
      <c r="K1100" t="s">
        <v>31</v>
      </c>
      <c r="L1100" t="s">
        <v>53</v>
      </c>
      <c r="M1100" t="s">
        <v>61</v>
      </c>
      <c r="N1100" t="s">
        <v>165</v>
      </c>
      <c r="O1100" t="s">
        <v>2328</v>
      </c>
      <c r="P1100">
        <v>17.899999999999999</v>
      </c>
      <c r="Q1100">
        <v>93</v>
      </c>
      <c r="R1100">
        <v>46.3</v>
      </c>
      <c r="S1100">
        <v>9.6</v>
      </c>
      <c r="T1100">
        <v>2025</v>
      </c>
      <c r="U1100">
        <v>5</v>
      </c>
      <c r="V1100">
        <v>1</v>
      </c>
      <c r="W1100" t="s">
        <v>47</v>
      </c>
      <c r="X1100" t="s">
        <v>64</v>
      </c>
      <c r="Y1100" t="s">
        <v>48</v>
      </c>
    </row>
    <row r="1101" spans="1:25" x14ac:dyDescent="0.35">
      <c r="A1101" t="s">
        <v>2329</v>
      </c>
      <c r="B1101" t="s">
        <v>163</v>
      </c>
      <c r="C1101" t="s">
        <v>164</v>
      </c>
      <c r="D1101" t="s">
        <v>81</v>
      </c>
      <c r="E1101">
        <v>3</v>
      </c>
      <c r="F1101" t="s">
        <v>51</v>
      </c>
      <c r="G1101">
        <v>125000</v>
      </c>
      <c r="H1101">
        <v>125000</v>
      </c>
      <c r="I1101">
        <v>240000</v>
      </c>
      <c r="J1101" t="s">
        <v>108</v>
      </c>
      <c r="K1101" t="s">
        <v>109</v>
      </c>
      <c r="L1101" t="s">
        <v>53</v>
      </c>
      <c r="M1101" t="s">
        <v>45</v>
      </c>
      <c r="N1101" t="s">
        <v>119</v>
      </c>
      <c r="O1101" t="s">
        <v>2330</v>
      </c>
      <c r="P1101">
        <v>12.5</v>
      </c>
      <c r="Q1101">
        <v>76</v>
      </c>
      <c r="R1101">
        <v>15.2</v>
      </c>
      <c r="S1101">
        <v>6.4</v>
      </c>
      <c r="T1101">
        <v>2026</v>
      </c>
      <c r="U1101">
        <v>3</v>
      </c>
      <c r="V1101">
        <v>0</v>
      </c>
      <c r="W1101" t="s">
        <v>47</v>
      </c>
      <c r="X1101" t="s">
        <v>64</v>
      </c>
      <c r="Y1101" t="s">
        <v>95</v>
      </c>
    </row>
    <row r="1102" spans="1:25" x14ac:dyDescent="0.35">
      <c r="A1102" t="s">
        <v>2331</v>
      </c>
      <c r="B1102" t="s">
        <v>66</v>
      </c>
      <c r="C1102" t="s">
        <v>67</v>
      </c>
      <c r="D1102" t="s">
        <v>28</v>
      </c>
      <c r="E1102">
        <v>10</v>
      </c>
      <c r="F1102" t="s">
        <v>41</v>
      </c>
      <c r="G1102">
        <v>207000</v>
      </c>
      <c r="H1102">
        <v>140000</v>
      </c>
      <c r="I1102">
        <v>260000</v>
      </c>
      <c r="J1102" t="s">
        <v>47</v>
      </c>
      <c r="K1102" t="s">
        <v>87</v>
      </c>
      <c r="L1102" t="s">
        <v>32</v>
      </c>
      <c r="M1102" t="s">
        <v>61</v>
      </c>
      <c r="N1102" t="s">
        <v>119</v>
      </c>
      <c r="O1102" t="s">
        <v>2332</v>
      </c>
      <c r="P1102">
        <v>14.6</v>
      </c>
      <c r="Q1102">
        <v>85</v>
      </c>
      <c r="R1102">
        <v>12.9</v>
      </c>
      <c r="S1102">
        <v>7.5</v>
      </c>
      <c r="T1102">
        <v>2025</v>
      </c>
      <c r="U1102">
        <v>8</v>
      </c>
      <c r="V1102">
        <v>1</v>
      </c>
      <c r="W1102" t="s">
        <v>36</v>
      </c>
      <c r="X1102" t="s">
        <v>64</v>
      </c>
      <c r="Y1102" t="s">
        <v>38</v>
      </c>
    </row>
    <row r="1103" spans="1:25" x14ac:dyDescent="0.35">
      <c r="A1103" t="s">
        <v>2333</v>
      </c>
      <c r="B1103" t="s">
        <v>179</v>
      </c>
      <c r="C1103" t="s">
        <v>180</v>
      </c>
      <c r="D1103" t="s">
        <v>81</v>
      </c>
      <c r="E1103">
        <v>9</v>
      </c>
      <c r="F1103" t="s">
        <v>41</v>
      </c>
      <c r="G1103">
        <v>135000</v>
      </c>
      <c r="H1103">
        <v>110000</v>
      </c>
      <c r="I1103">
        <v>210000</v>
      </c>
      <c r="J1103" t="s">
        <v>47</v>
      </c>
      <c r="K1103" t="s">
        <v>87</v>
      </c>
      <c r="L1103" t="s">
        <v>44</v>
      </c>
      <c r="M1103" t="s">
        <v>61</v>
      </c>
      <c r="N1103" t="s">
        <v>124</v>
      </c>
      <c r="O1103" t="s">
        <v>2334</v>
      </c>
      <c r="P1103">
        <v>14.2</v>
      </c>
      <c r="Q1103">
        <v>72</v>
      </c>
      <c r="R1103">
        <v>25.9</v>
      </c>
      <c r="S1103">
        <v>8.3000000000000007</v>
      </c>
      <c r="T1103">
        <v>2025</v>
      </c>
      <c r="U1103">
        <v>4</v>
      </c>
      <c r="V1103">
        <v>0</v>
      </c>
      <c r="W1103" t="s">
        <v>47</v>
      </c>
      <c r="X1103" t="s">
        <v>64</v>
      </c>
      <c r="Y1103" t="s">
        <v>95</v>
      </c>
    </row>
    <row r="1104" spans="1:25" x14ac:dyDescent="0.35">
      <c r="A1104" t="s">
        <v>2335</v>
      </c>
      <c r="B1104" t="s">
        <v>79</v>
      </c>
      <c r="C1104" t="s">
        <v>80</v>
      </c>
      <c r="D1104" t="s">
        <v>81</v>
      </c>
      <c r="E1104">
        <v>7</v>
      </c>
      <c r="F1104" t="s">
        <v>69</v>
      </c>
      <c r="G1104">
        <v>140000</v>
      </c>
      <c r="H1104">
        <v>140000</v>
      </c>
      <c r="I1104">
        <v>260000</v>
      </c>
      <c r="J1104" t="s">
        <v>47</v>
      </c>
      <c r="K1104" t="s">
        <v>87</v>
      </c>
      <c r="L1104" t="s">
        <v>44</v>
      </c>
      <c r="M1104" t="s">
        <v>61</v>
      </c>
      <c r="N1104" t="s">
        <v>110</v>
      </c>
      <c r="O1104" t="s">
        <v>2336</v>
      </c>
      <c r="P1104">
        <v>8.3000000000000007</v>
      </c>
      <c r="Q1104">
        <v>80</v>
      </c>
      <c r="R1104">
        <v>23.7</v>
      </c>
      <c r="S1104">
        <v>8</v>
      </c>
      <c r="T1104">
        <v>2026</v>
      </c>
      <c r="U1104">
        <v>1</v>
      </c>
      <c r="V1104">
        <v>0</v>
      </c>
      <c r="W1104" t="s">
        <v>47</v>
      </c>
      <c r="X1104" t="s">
        <v>64</v>
      </c>
      <c r="Y1104" t="s">
        <v>95</v>
      </c>
    </row>
    <row r="1105" spans="1:25" x14ac:dyDescent="0.35">
      <c r="A1105" t="s">
        <v>2337</v>
      </c>
      <c r="B1105" t="s">
        <v>66</v>
      </c>
      <c r="C1105" t="s">
        <v>67</v>
      </c>
      <c r="D1105" t="s">
        <v>68</v>
      </c>
      <c r="E1105">
        <v>10</v>
      </c>
      <c r="F1105" t="s">
        <v>69</v>
      </c>
      <c r="G1105">
        <v>235000</v>
      </c>
      <c r="H1105">
        <v>140000</v>
      </c>
      <c r="I1105">
        <v>260000</v>
      </c>
      <c r="J1105" t="s">
        <v>52</v>
      </c>
      <c r="K1105" t="s">
        <v>31</v>
      </c>
      <c r="L1105" t="s">
        <v>32</v>
      </c>
      <c r="M1105" t="s">
        <v>33</v>
      </c>
      <c r="N1105" t="s">
        <v>124</v>
      </c>
      <c r="O1105" t="s">
        <v>2338</v>
      </c>
      <c r="P1105">
        <v>14.6</v>
      </c>
      <c r="Q1105">
        <v>85</v>
      </c>
      <c r="R1105">
        <v>26.6</v>
      </c>
      <c r="S1105">
        <v>8.3000000000000007</v>
      </c>
      <c r="T1105">
        <v>2025</v>
      </c>
      <c r="U1105">
        <v>6</v>
      </c>
      <c r="V1105">
        <v>1</v>
      </c>
      <c r="W1105" t="s">
        <v>36</v>
      </c>
      <c r="X1105" t="s">
        <v>64</v>
      </c>
      <c r="Y1105" t="s">
        <v>38</v>
      </c>
    </row>
    <row r="1106" spans="1:25" x14ac:dyDescent="0.35">
      <c r="A1106" t="s">
        <v>2339</v>
      </c>
      <c r="B1106" t="s">
        <v>50</v>
      </c>
      <c r="C1106" t="s">
        <v>27</v>
      </c>
      <c r="D1106" t="s">
        <v>74</v>
      </c>
      <c r="E1106">
        <v>6</v>
      </c>
      <c r="F1106" t="s">
        <v>51</v>
      </c>
      <c r="G1106">
        <v>167000</v>
      </c>
      <c r="H1106">
        <v>160000</v>
      </c>
      <c r="I1106">
        <v>300000</v>
      </c>
      <c r="J1106" t="s">
        <v>70</v>
      </c>
      <c r="K1106" t="s">
        <v>31</v>
      </c>
      <c r="L1106" t="s">
        <v>44</v>
      </c>
      <c r="M1106" t="s">
        <v>82</v>
      </c>
      <c r="N1106" t="s">
        <v>110</v>
      </c>
      <c r="O1106" t="s">
        <v>2340</v>
      </c>
      <c r="P1106">
        <v>8.6</v>
      </c>
      <c r="Q1106">
        <v>98</v>
      </c>
      <c r="R1106">
        <v>43.6</v>
      </c>
      <c r="S1106">
        <v>7.4</v>
      </c>
      <c r="T1106">
        <v>2026</v>
      </c>
      <c r="U1106">
        <v>1</v>
      </c>
      <c r="V1106">
        <v>0</v>
      </c>
      <c r="W1106" t="s">
        <v>47</v>
      </c>
      <c r="X1106" t="s">
        <v>37</v>
      </c>
      <c r="Y1106" t="s">
        <v>48</v>
      </c>
    </row>
    <row r="1107" spans="1:25" x14ac:dyDescent="0.35">
      <c r="A1107" t="s">
        <v>2341</v>
      </c>
      <c r="B1107" t="s">
        <v>50</v>
      </c>
      <c r="C1107" t="s">
        <v>27</v>
      </c>
      <c r="D1107" t="s">
        <v>68</v>
      </c>
      <c r="E1107">
        <v>2</v>
      </c>
      <c r="F1107" t="s">
        <v>41</v>
      </c>
      <c r="G1107">
        <v>360000</v>
      </c>
      <c r="H1107">
        <v>160000</v>
      </c>
      <c r="I1107">
        <v>300000</v>
      </c>
      <c r="J1107" t="s">
        <v>296</v>
      </c>
      <c r="K1107" t="s">
        <v>31</v>
      </c>
      <c r="L1107" t="s">
        <v>53</v>
      </c>
      <c r="M1107" t="s">
        <v>45</v>
      </c>
      <c r="N1107" t="s">
        <v>110</v>
      </c>
      <c r="O1107" t="s">
        <v>2342</v>
      </c>
      <c r="P1107">
        <v>10</v>
      </c>
      <c r="Q1107">
        <v>98</v>
      </c>
      <c r="R1107">
        <v>33.200000000000003</v>
      </c>
      <c r="S1107">
        <v>9.5</v>
      </c>
      <c r="T1107">
        <v>2026</v>
      </c>
      <c r="U1107">
        <v>1</v>
      </c>
      <c r="V1107">
        <v>1</v>
      </c>
      <c r="W1107" t="s">
        <v>47</v>
      </c>
      <c r="X1107" t="s">
        <v>37</v>
      </c>
      <c r="Y1107" t="s">
        <v>56</v>
      </c>
    </row>
    <row r="1108" spans="1:25" x14ac:dyDescent="0.35">
      <c r="A1108" t="s">
        <v>2343</v>
      </c>
      <c r="B1108" t="s">
        <v>609</v>
      </c>
      <c r="C1108" t="s">
        <v>124</v>
      </c>
      <c r="D1108" t="s">
        <v>74</v>
      </c>
      <c r="E1108">
        <v>10</v>
      </c>
      <c r="F1108" t="s">
        <v>29</v>
      </c>
      <c r="G1108">
        <v>222000</v>
      </c>
      <c r="H1108">
        <v>115000</v>
      </c>
      <c r="I1108">
        <v>280000</v>
      </c>
      <c r="J1108" t="s">
        <v>52</v>
      </c>
      <c r="K1108" t="s">
        <v>31</v>
      </c>
      <c r="L1108" t="s">
        <v>44</v>
      </c>
      <c r="M1108" t="s">
        <v>54</v>
      </c>
      <c r="N1108" t="s">
        <v>76</v>
      </c>
      <c r="O1108" t="s">
        <v>2344</v>
      </c>
      <c r="P1108">
        <v>10.8</v>
      </c>
      <c r="Q1108">
        <v>88</v>
      </c>
      <c r="R1108">
        <v>29.3</v>
      </c>
      <c r="S1108">
        <v>8.8000000000000007</v>
      </c>
      <c r="T1108">
        <v>2026</v>
      </c>
      <c r="U1108">
        <v>3</v>
      </c>
      <c r="V1108">
        <v>0</v>
      </c>
      <c r="W1108" t="s">
        <v>47</v>
      </c>
      <c r="X1108" t="s">
        <v>64</v>
      </c>
      <c r="Y1108" t="s">
        <v>38</v>
      </c>
    </row>
    <row r="1109" spans="1:25" x14ac:dyDescent="0.35">
      <c r="A1109" t="s">
        <v>2345</v>
      </c>
      <c r="B1109" t="s">
        <v>163</v>
      </c>
      <c r="C1109" t="s">
        <v>164</v>
      </c>
      <c r="D1109" t="s">
        <v>68</v>
      </c>
      <c r="E1109">
        <v>8</v>
      </c>
      <c r="F1109" t="s">
        <v>128</v>
      </c>
      <c r="G1109">
        <v>288000</v>
      </c>
      <c r="H1109">
        <v>125000</v>
      </c>
      <c r="I1109">
        <v>240000</v>
      </c>
      <c r="J1109" t="s">
        <v>174</v>
      </c>
      <c r="K1109" t="s">
        <v>31</v>
      </c>
      <c r="L1109" t="s">
        <v>32</v>
      </c>
      <c r="M1109" t="s">
        <v>61</v>
      </c>
      <c r="N1109" t="s">
        <v>124</v>
      </c>
      <c r="O1109" t="s">
        <v>2346</v>
      </c>
      <c r="P1109">
        <v>15.2</v>
      </c>
      <c r="Q1109">
        <v>76</v>
      </c>
      <c r="R1109">
        <v>8.3000000000000007</v>
      </c>
      <c r="S1109">
        <v>6.2</v>
      </c>
      <c r="T1109">
        <v>2025</v>
      </c>
      <c r="U1109">
        <v>8</v>
      </c>
      <c r="V1109">
        <v>1</v>
      </c>
      <c r="W1109" t="s">
        <v>36</v>
      </c>
      <c r="X1109" t="s">
        <v>64</v>
      </c>
      <c r="Y1109" t="s">
        <v>38</v>
      </c>
    </row>
    <row r="1110" spans="1:25" x14ac:dyDescent="0.35">
      <c r="A1110" t="s">
        <v>2347</v>
      </c>
      <c r="B1110" t="s">
        <v>149</v>
      </c>
      <c r="C1110" t="s">
        <v>150</v>
      </c>
      <c r="D1110" t="s">
        <v>74</v>
      </c>
      <c r="E1110">
        <v>7</v>
      </c>
      <c r="F1110" t="s">
        <v>69</v>
      </c>
      <c r="G1110">
        <v>130000</v>
      </c>
      <c r="H1110">
        <v>130000</v>
      </c>
      <c r="I1110">
        <v>260000</v>
      </c>
      <c r="J1110" t="s">
        <v>142</v>
      </c>
      <c r="K1110" t="s">
        <v>143</v>
      </c>
      <c r="L1110" t="s">
        <v>32</v>
      </c>
      <c r="M1110" t="s">
        <v>33</v>
      </c>
      <c r="N1110" t="s">
        <v>34</v>
      </c>
      <c r="O1110" t="s">
        <v>2348</v>
      </c>
      <c r="P1110">
        <v>16.600000000000001</v>
      </c>
      <c r="Q1110">
        <v>93</v>
      </c>
      <c r="R1110">
        <v>25.6</v>
      </c>
      <c r="S1110">
        <v>7.5</v>
      </c>
      <c r="T1110">
        <v>2025</v>
      </c>
      <c r="U1110">
        <v>6</v>
      </c>
      <c r="V1110">
        <v>0</v>
      </c>
      <c r="W1110" t="s">
        <v>36</v>
      </c>
      <c r="X1110" t="s">
        <v>64</v>
      </c>
      <c r="Y1110" t="s">
        <v>95</v>
      </c>
    </row>
    <row r="1111" spans="1:25" x14ac:dyDescent="0.35">
      <c r="A1111" t="s">
        <v>2349</v>
      </c>
      <c r="B1111" t="s">
        <v>163</v>
      </c>
      <c r="C1111" t="s">
        <v>164</v>
      </c>
      <c r="D1111" t="s">
        <v>28</v>
      </c>
      <c r="E1111">
        <v>5</v>
      </c>
      <c r="F1111" t="s">
        <v>51</v>
      </c>
      <c r="G1111">
        <v>166000</v>
      </c>
      <c r="H1111">
        <v>125000</v>
      </c>
      <c r="I1111">
        <v>240000</v>
      </c>
      <c r="J1111" t="s">
        <v>142</v>
      </c>
      <c r="K1111" t="s">
        <v>143</v>
      </c>
      <c r="L1111" t="s">
        <v>32</v>
      </c>
      <c r="M1111" t="s">
        <v>54</v>
      </c>
      <c r="N1111" t="s">
        <v>131</v>
      </c>
      <c r="O1111" t="s">
        <v>2350</v>
      </c>
      <c r="P1111">
        <v>10.3</v>
      </c>
      <c r="Q1111">
        <v>76</v>
      </c>
      <c r="R1111">
        <v>27.6</v>
      </c>
      <c r="S1111">
        <v>8.6</v>
      </c>
      <c r="T1111">
        <v>2026</v>
      </c>
      <c r="U1111">
        <v>2</v>
      </c>
      <c r="V1111">
        <v>1</v>
      </c>
      <c r="W1111" t="s">
        <v>36</v>
      </c>
      <c r="X1111" t="s">
        <v>64</v>
      </c>
      <c r="Y1111" t="s">
        <v>48</v>
      </c>
    </row>
    <row r="1112" spans="1:25" x14ac:dyDescent="0.35">
      <c r="A1112" t="s">
        <v>2351</v>
      </c>
      <c r="B1112" t="s">
        <v>58</v>
      </c>
      <c r="C1112" t="s">
        <v>59</v>
      </c>
      <c r="D1112" t="s">
        <v>68</v>
      </c>
      <c r="E1112">
        <v>7</v>
      </c>
      <c r="F1112" t="s">
        <v>41</v>
      </c>
      <c r="G1112">
        <v>196000</v>
      </c>
      <c r="H1112">
        <v>130000</v>
      </c>
      <c r="I1112">
        <v>220000</v>
      </c>
      <c r="J1112" t="s">
        <v>142</v>
      </c>
      <c r="K1112" t="s">
        <v>143</v>
      </c>
      <c r="L1112" t="s">
        <v>53</v>
      </c>
      <c r="M1112" t="s">
        <v>82</v>
      </c>
      <c r="N1112" t="s">
        <v>76</v>
      </c>
      <c r="O1112" t="s">
        <v>2352</v>
      </c>
      <c r="P1112">
        <v>16.2</v>
      </c>
      <c r="Q1112">
        <v>88</v>
      </c>
      <c r="R1112">
        <v>19.3</v>
      </c>
      <c r="S1112">
        <v>8.8000000000000007</v>
      </c>
      <c r="T1112">
        <v>2026</v>
      </c>
      <c r="U1112">
        <v>2</v>
      </c>
      <c r="V1112">
        <v>1</v>
      </c>
      <c r="W1112" t="s">
        <v>47</v>
      </c>
      <c r="X1112" t="s">
        <v>64</v>
      </c>
      <c r="Y1112" t="s">
        <v>48</v>
      </c>
    </row>
    <row r="1113" spans="1:25" x14ac:dyDescent="0.35">
      <c r="A1113" t="s">
        <v>2353</v>
      </c>
      <c r="B1113" t="s">
        <v>179</v>
      </c>
      <c r="C1113" t="s">
        <v>180</v>
      </c>
      <c r="D1113" t="s">
        <v>81</v>
      </c>
      <c r="E1113">
        <v>9</v>
      </c>
      <c r="F1113" t="s">
        <v>69</v>
      </c>
      <c r="G1113">
        <v>111000</v>
      </c>
      <c r="H1113">
        <v>110000</v>
      </c>
      <c r="I1113">
        <v>210000</v>
      </c>
      <c r="J1113" t="s">
        <v>137</v>
      </c>
      <c r="K1113" t="s">
        <v>138</v>
      </c>
      <c r="L1113" t="s">
        <v>44</v>
      </c>
      <c r="M1113" t="s">
        <v>45</v>
      </c>
      <c r="N1113" t="s">
        <v>124</v>
      </c>
      <c r="O1113" t="s">
        <v>2354</v>
      </c>
      <c r="P1113">
        <v>15.4</v>
      </c>
      <c r="Q1113">
        <v>72</v>
      </c>
      <c r="R1113">
        <v>12.5</v>
      </c>
      <c r="S1113">
        <v>6.5</v>
      </c>
      <c r="T1113">
        <v>2026</v>
      </c>
      <c r="U1113">
        <v>3</v>
      </c>
      <c r="V1113">
        <v>0</v>
      </c>
      <c r="W1113" t="s">
        <v>47</v>
      </c>
      <c r="X1113" t="s">
        <v>64</v>
      </c>
      <c r="Y1113" t="s">
        <v>95</v>
      </c>
    </row>
    <row r="1114" spans="1:25" x14ac:dyDescent="0.35">
      <c r="A1114" t="s">
        <v>2355</v>
      </c>
      <c r="B1114" t="s">
        <v>100</v>
      </c>
      <c r="C1114" t="s">
        <v>101</v>
      </c>
      <c r="D1114" t="s">
        <v>68</v>
      </c>
      <c r="E1114">
        <v>11</v>
      </c>
      <c r="F1114" t="s">
        <v>51</v>
      </c>
      <c r="G1114">
        <v>366000</v>
      </c>
      <c r="H1114">
        <v>180000</v>
      </c>
      <c r="I1114">
        <v>320000</v>
      </c>
      <c r="J1114" t="s">
        <v>174</v>
      </c>
      <c r="K1114" t="s">
        <v>31</v>
      </c>
      <c r="L1114" t="s">
        <v>53</v>
      </c>
      <c r="M1114" t="s">
        <v>61</v>
      </c>
      <c r="N1114" t="s">
        <v>76</v>
      </c>
      <c r="O1114" t="s">
        <v>2356</v>
      </c>
      <c r="P1114">
        <v>11.7</v>
      </c>
      <c r="Q1114">
        <v>84</v>
      </c>
      <c r="R1114">
        <v>8.1999999999999993</v>
      </c>
      <c r="S1114">
        <v>8</v>
      </c>
      <c r="T1114">
        <v>2026</v>
      </c>
      <c r="U1114">
        <v>3</v>
      </c>
      <c r="V1114">
        <v>1</v>
      </c>
      <c r="W1114" t="s">
        <v>47</v>
      </c>
      <c r="X1114" t="s">
        <v>64</v>
      </c>
      <c r="Y1114" t="s">
        <v>56</v>
      </c>
    </row>
    <row r="1115" spans="1:25" x14ac:dyDescent="0.35">
      <c r="A1115" t="s">
        <v>2357</v>
      </c>
      <c r="B1115" t="s">
        <v>26</v>
      </c>
      <c r="C1115" t="s">
        <v>27</v>
      </c>
      <c r="D1115" t="s">
        <v>74</v>
      </c>
      <c r="E1115">
        <v>2</v>
      </c>
      <c r="F1115" t="s">
        <v>51</v>
      </c>
      <c r="G1115">
        <v>155000</v>
      </c>
      <c r="H1115">
        <v>155000</v>
      </c>
      <c r="I1115">
        <v>290000</v>
      </c>
      <c r="J1115" t="s">
        <v>122</v>
      </c>
      <c r="K1115" t="s">
        <v>123</v>
      </c>
      <c r="L1115" t="s">
        <v>32</v>
      </c>
      <c r="M1115" t="s">
        <v>82</v>
      </c>
      <c r="N1115" t="s">
        <v>124</v>
      </c>
      <c r="O1115" t="s">
        <v>2358</v>
      </c>
      <c r="P1115">
        <v>8.3000000000000007</v>
      </c>
      <c r="Q1115">
        <v>96</v>
      </c>
      <c r="R1115">
        <v>41.6</v>
      </c>
      <c r="S1115">
        <v>6.1</v>
      </c>
      <c r="T1115">
        <v>2025</v>
      </c>
      <c r="U1115">
        <v>3</v>
      </c>
      <c r="V1115">
        <v>0</v>
      </c>
      <c r="W1115" t="s">
        <v>36</v>
      </c>
      <c r="X1115" t="s">
        <v>37</v>
      </c>
      <c r="Y1115" t="s">
        <v>48</v>
      </c>
    </row>
    <row r="1116" spans="1:25" x14ac:dyDescent="0.35">
      <c r="A1116" t="s">
        <v>2359</v>
      </c>
      <c r="B1116" t="s">
        <v>185</v>
      </c>
      <c r="C1116" t="s">
        <v>186</v>
      </c>
      <c r="D1116" t="s">
        <v>28</v>
      </c>
      <c r="E1116">
        <v>7</v>
      </c>
      <c r="F1116" t="s">
        <v>51</v>
      </c>
      <c r="G1116">
        <v>241000</v>
      </c>
      <c r="H1116">
        <v>140000</v>
      </c>
      <c r="I1116">
        <v>270000</v>
      </c>
      <c r="J1116" t="s">
        <v>70</v>
      </c>
      <c r="K1116" t="s">
        <v>31</v>
      </c>
      <c r="L1116" t="s">
        <v>44</v>
      </c>
      <c r="M1116" t="s">
        <v>45</v>
      </c>
      <c r="N1116" t="s">
        <v>124</v>
      </c>
      <c r="O1116" t="s">
        <v>2360</v>
      </c>
      <c r="P1116">
        <v>8.4</v>
      </c>
      <c r="Q1116">
        <v>85</v>
      </c>
      <c r="R1116">
        <v>26.6</v>
      </c>
      <c r="S1116">
        <v>7.8</v>
      </c>
      <c r="T1116">
        <v>2026</v>
      </c>
      <c r="U1116">
        <v>2</v>
      </c>
      <c r="V1116">
        <v>1</v>
      </c>
      <c r="W1116" t="s">
        <v>47</v>
      </c>
      <c r="X1116" t="s">
        <v>64</v>
      </c>
      <c r="Y1116" t="s">
        <v>38</v>
      </c>
    </row>
    <row r="1117" spans="1:25" x14ac:dyDescent="0.35">
      <c r="A1117" t="s">
        <v>2361</v>
      </c>
      <c r="B1117" t="s">
        <v>149</v>
      </c>
      <c r="C1117" t="s">
        <v>150</v>
      </c>
      <c r="D1117" t="s">
        <v>28</v>
      </c>
      <c r="E1117">
        <v>3</v>
      </c>
      <c r="F1117" t="s">
        <v>51</v>
      </c>
      <c r="G1117">
        <v>170000</v>
      </c>
      <c r="H1117">
        <v>130000</v>
      </c>
      <c r="I1117">
        <v>260000</v>
      </c>
      <c r="J1117" t="s">
        <v>113</v>
      </c>
      <c r="K1117" t="s">
        <v>114</v>
      </c>
      <c r="L1117" t="s">
        <v>32</v>
      </c>
      <c r="M1117" t="s">
        <v>82</v>
      </c>
      <c r="N1117" t="s">
        <v>155</v>
      </c>
      <c r="O1117" t="s">
        <v>2362</v>
      </c>
      <c r="P1117">
        <v>13.6</v>
      </c>
      <c r="Q1117">
        <v>93</v>
      </c>
      <c r="R1117">
        <v>61</v>
      </c>
      <c r="S1117">
        <v>6.5</v>
      </c>
      <c r="T1117">
        <v>2026</v>
      </c>
      <c r="U1117">
        <v>2</v>
      </c>
      <c r="V1117">
        <v>1</v>
      </c>
      <c r="W1117" t="s">
        <v>36</v>
      </c>
      <c r="X1117" t="s">
        <v>64</v>
      </c>
      <c r="Y1117" t="s">
        <v>48</v>
      </c>
    </row>
    <row r="1118" spans="1:25" x14ac:dyDescent="0.35">
      <c r="A1118" t="s">
        <v>2363</v>
      </c>
      <c r="B1118" t="s">
        <v>58</v>
      </c>
      <c r="C1118" t="s">
        <v>59</v>
      </c>
      <c r="D1118" t="s">
        <v>81</v>
      </c>
      <c r="E1118">
        <v>8</v>
      </c>
      <c r="F1118" t="s">
        <v>128</v>
      </c>
      <c r="G1118">
        <v>233000</v>
      </c>
      <c r="H1118">
        <v>130000</v>
      </c>
      <c r="I1118">
        <v>220000</v>
      </c>
      <c r="J1118" t="s">
        <v>60</v>
      </c>
      <c r="K1118" t="s">
        <v>60</v>
      </c>
      <c r="L1118" t="s">
        <v>44</v>
      </c>
      <c r="M1118" t="s">
        <v>54</v>
      </c>
      <c r="N1118" t="s">
        <v>119</v>
      </c>
      <c r="O1118" t="s">
        <v>2364</v>
      </c>
      <c r="P1118">
        <v>9.1999999999999993</v>
      </c>
      <c r="Q1118">
        <v>88</v>
      </c>
      <c r="R1118">
        <v>20.399999999999999</v>
      </c>
      <c r="S1118">
        <v>6.2</v>
      </c>
      <c r="T1118">
        <v>2026</v>
      </c>
      <c r="U1118">
        <v>2</v>
      </c>
      <c r="V1118">
        <v>0</v>
      </c>
      <c r="W1118" t="s">
        <v>47</v>
      </c>
      <c r="X1118" t="s">
        <v>64</v>
      </c>
      <c r="Y1118" t="s">
        <v>38</v>
      </c>
    </row>
    <row r="1119" spans="1:25" x14ac:dyDescent="0.35">
      <c r="A1119" t="s">
        <v>2365</v>
      </c>
      <c r="B1119" t="s">
        <v>196</v>
      </c>
      <c r="C1119" t="s">
        <v>27</v>
      </c>
      <c r="D1119" t="s">
        <v>74</v>
      </c>
      <c r="E1119">
        <v>4</v>
      </c>
      <c r="F1119" t="s">
        <v>69</v>
      </c>
      <c r="G1119">
        <v>107000</v>
      </c>
      <c r="H1119">
        <v>100000</v>
      </c>
      <c r="I1119">
        <v>250000</v>
      </c>
      <c r="J1119" t="s">
        <v>42</v>
      </c>
      <c r="K1119" t="s">
        <v>43</v>
      </c>
      <c r="L1119" t="s">
        <v>32</v>
      </c>
      <c r="M1119" t="s">
        <v>45</v>
      </c>
      <c r="N1119" t="s">
        <v>76</v>
      </c>
      <c r="O1119" t="s">
        <v>2366</v>
      </c>
      <c r="P1119">
        <v>10</v>
      </c>
      <c r="Q1119">
        <v>95</v>
      </c>
      <c r="R1119">
        <v>73.400000000000006</v>
      </c>
      <c r="S1119">
        <v>6.2</v>
      </c>
      <c r="T1119">
        <v>2026</v>
      </c>
      <c r="U1119">
        <v>1</v>
      </c>
      <c r="V1119">
        <v>0</v>
      </c>
      <c r="W1119" t="s">
        <v>36</v>
      </c>
      <c r="X1119" t="s">
        <v>64</v>
      </c>
      <c r="Y1119" t="s">
        <v>95</v>
      </c>
    </row>
    <row r="1120" spans="1:25" x14ac:dyDescent="0.35">
      <c r="A1120" t="s">
        <v>2367</v>
      </c>
      <c r="B1120" t="s">
        <v>86</v>
      </c>
      <c r="C1120" t="s">
        <v>27</v>
      </c>
      <c r="D1120" t="s">
        <v>74</v>
      </c>
      <c r="E1120">
        <v>6</v>
      </c>
      <c r="F1120" t="s">
        <v>41</v>
      </c>
      <c r="G1120">
        <v>180000</v>
      </c>
      <c r="H1120">
        <v>180000</v>
      </c>
      <c r="I1120">
        <v>312000</v>
      </c>
      <c r="J1120" t="s">
        <v>60</v>
      </c>
      <c r="K1120" t="s">
        <v>60</v>
      </c>
      <c r="L1120" t="s">
        <v>32</v>
      </c>
      <c r="M1120" t="s">
        <v>61</v>
      </c>
      <c r="N1120" t="s">
        <v>131</v>
      </c>
      <c r="O1120" t="s">
        <v>2368</v>
      </c>
      <c r="P1120">
        <v>11</v>
      </c>
      <c r="Q1120">
        <v>96</v>
      </c>
      <c r="R1120">
        <v>30.3</v>
      </c>
      <c r="S1120">
        <v>8.1999999999999993</v>
      </c>
      <c r="T1120">
        <v>2025</v>
      </c>
      <c r="U1120">
        <v>10</v>
      </c>
      <c r="V1120">
        <v>0</v>
      </c>
      <c r="W1120" t="s">
        <v>36</v>
      </c>
      <c r="X1120" t="s">
        <v>64</v>
      </c>
      <c r="Y1120" t="s">
        <v>48</v>
      </c>
    </row>
    <row r="1121" spans="1:25" x14ac:dyDescent="0.35">
      <c r="A1121" t="s">
        <v>2369</v>
      </c>
      <c r="B1121" t="s">
        <v>224</v>
      </c>
      <c r="C1121" t="s">
        <v>27</v>
      </c>
      <c r="D1121" t="s">
        <v>28</v>
      </c>
      <c r="E1121">
        <v>8</v>
      </c>
      <c r="F1121" t="s">
        <v>128</v>
      </c>
      <c r="G1121">
        <v>325000</v>
      </c>
      <c r="H1121">
        <v>145000</v>
      </c>
      <c r="I1121">
        <v>280000</v>
      </c>
      <c r="J1121" t="s">
        <v>296</v>
      </c>
      <c r="K1121" t="s">
        <v>31</v>
      </c>
      <c r="L1121" t="s">
        <v>53</v>
      </c>
      <c r="M1121" t="s">
        <v>45</v>
      </c>
      <c r="N1121" t="s">
        <v>76</v>
      </c>
      <c r="O1121" t="s">
        <v>2370</v>
      </c>
      <c r="P1121">
        <v>9.6</v>
      </c>
      <c r="Q1121">
        <v>87</v>
      </c>
      <c r="R1121">
        <v>26.2</v>
      </c>
      <c r="S1121">
        <v>7.5</v>
      </c>
      <c r="T1121">
        <v>2025</v>
      </c>
      <c r="U1121">
        <v>6</v>
      </c>
      <c r="V1121">
        <v>1</v>
      </c>
      <c r="W1121" t="s">
        <v>47</v>
      </c>
      <c r="X1121" t="s">
        <v>64</v>
      </c>
      <c r="Y1121" t="s">
        <v>56</v>
      </c>
    </row>
    <row r="1122" spans="1:25" x14ac:dyDescent="0.35">
      <c r="A1122" t="s">
        <v>2371</v>
      </c>
      <c r="B1122" t="s">
        <v>50</v>
      </c>
      <c r="C1122" t="s">
        <v>27</v>
      </c>
      <c r="D1122" t="s">
        <v>81</v>
      </c>
      <c r="E1122">
        <v>7</v>
      </c>
      <c r="F1122" t="s">
        <v>29</v>
      </c>
      <c r="G1122">
        <v>354000</v>
      </c>
      <c r="H1122">
        <v>160000</v>
      </c>
      <c r="I1122">
        <v>300000</v>
      </c>
      <c r="J1122" t="s">
        <v>30</v>
      </c>
      <c r="K1122" t="s">
        <v>31</v>
      </c>
      <c r="L1122" t="s">
        <v>53</v>
      </c>
      <c r="M1122" t="s">
        <v>54</v>
      </c>
      <c r="N1122" t="s">
        <v>71</v>
      </c>
      <c r="O1122" t="s">
        <v>2372</v>
      </c>
      <c r="P1122">
        <v>7.9</v>
      </c>
      <c r="Q1122">
        <v>98</v>
      </c>
      <c r="R1122">
        <v>76.900000000000006</v>
      </c>
      <c r="S1122">
        <v>9</v>
      </c>
      <c r="T1122">
        <v>2025</v>
      </c>
      <c r="U1122">
        <v>5</v>
      </c>
      <c r="V1122">
        <v>0</v>
      </c>
      <c r="W1122" t="s">
        <v>47</v>
      </c>
      <c r="X1122" t="s">
        <v>37</v>
      </c>
      <c r="Y1122" t="s">
        <v>56</v>
      </c>
    </row>
    <row r="1123" spans="1:25" x14ac:dyDescent="0.35">
      <c r="A1123" t="s">
        <v>2373</v>
      </c>
      <c r="B1123" t="s">
        <v>91</v>
      </c>
      <c r="C1123" t="s">
        <v>27</v>
      </c>
      <c r="D1123" t="s">
        <v>81</v>
      </c>
      <c r="E1123">
        <v>8</v>
      </c>
      <c r="F1123" t="s">
        <v>29</v>
      </c>
      <c r="G1123">
        <v>208000</v>
      </c>
      <c r="H1123">
        <v>145000</v>
      </c>
      <c r="I1123">
        <v>290000</v>
      </c>
      <c r="J1123" t="s">
        <v>174</v>
      </c>
      <c r="K1123" t="s">
        <v>31</v>
      </c>
      <c r="L1123" t="s">
        <v>44</v>
      </c>
      <c r="M1123" t="s">
        <v>33</v>
      </c>
      <c r="N1123" t="s">
        <v>71</v>
      </c>
      <c r="O1123" t="s">
        <v>2374</v>
      </c>
      <c r="P1123">
        <v>9</v>
      </c>
      <c r="Q1123">
        <v>91</v>
      </c>
      <c r="R1123">
        <v>36.1</v>
      </c>
      <c r="S1123">
        <v>6.2</v>
      </c>
      <c r="T1123">
        <v>2026</v>
      </c>
      <c r="U1123">
        <v>1</v>
      </c>
      <c r="V1123">
        <v>0</v>
      </c>
      <c r="W1123" t="s">
        <v>47</v>
      </c>
      <c r="X1123" t="s">
        <v>64</v>
      </c>
      <c r="Y1123" t="s">
        <v>38</v>
      </c>
    </row>
    <row r="1124" spans="1:25" x14ac:dyDescent="0.35">
      <c r="A1124" t="s">
        <v>2375</v>
      </c>
      <c r="B1124" t="s">
        <v>66</v>
      </c>
      <c r="C1124" t="s">
        <v>67</v>
      </c>
      <c r="D1124" t="s">
        <v>68</v>
      </c>
      <c r="E1124">
        <v>10</v>
      </c>
      <c r="F1124" t="s">
        <v>69</v>
      </c>
      <c r="G1124">
        <v>191000</v>
      </c>
      <c r="H1124">
        <v>140000</v>
      </c>
      <c r="I1124">
        <v>260000</v>
      </c>
      <c r="J1124" t="s">
        <v>42</v>
      </c>
      <c r="K1124" t="s">
        <v>43</v>
      </c>
      <c r="L1124" t="s">
        <v>32</v>
      </c>
      <c r="M1124" t="s">
        <v>61</v>
      </c>
      <c r="N1124" t="s">
        <v>124</v>
      </c>
      <c r="O1124" t="s">
        <v>2376</v>
      </c>
      <c r="P1124">
        <v>15.2</v>
      </c>
      <c r="Q1124">
        <v>85</v>
      </c>
      <c r="R1124">
        <v>26.7</v>
      </c>
      <c r="S1124">
        <v>8.5</v>
      </c>
      <c r="T1124">
        <v>2025</v>
      </c>
      <c r="U1124">
        <v>4</v>
      </c>
      <c r="V1124">
        <v>1</v>
      </c>
      <c r="W1124" t="s">
        <v>36</v>
      </c>
      <c r="X1124" t="s">
        <v>64</v>
      </c>
      <c r="Y1124" t="s">
        <v>48</v>
      </c>
    </row>
    <row r="1125" spans="1:25" x14ac:dyDescent="0.35">
      <c r="A1125" t="s">
        <v>2377</v>
      </c>
      <c r="B1125" t="s">
        <v>146</v>
      </c>
      <c r="C1125" t="s">
        <v>27</v>
      </c>
      <c r="D1125" t="s">
        <v>74</v>
      </c>
      <c r="E1125">
        <v>3</v>
      </c>
      <c r="F1125" t="s">
        <v>128</v>
      </c>
      <c r="G1125">
        <v>167000</v>
      </c>
      <c r="H1125">
        <v>160000</v>
      </c>
      <c r="I1125">
        <v>300000</v>
      </c>
      <c r="J1125" t="s">
        <v>75</v>
      </c>
      <c r="K1125" t="s">
        <v>31</v>
      </c>
      <c r="L1125" t="s">
        <v>44</v>
      </c>
      <c r="M1125" t="s">
        <v>33</v>
      </c>
      <c r="N1125" t="s">
        <v>110</v>
      </c>
      <c r="O1125" t="s">
        <v>2378</v>
      </c>
      <c r="P1125">
        <v>10.1</v>
      </c>
      <c r="Q1125">
        <v>90</v>
      </c>
      <c r="R1125">
        <v>12.4</v>
      </c>
      <c r="S1125">
        <v>8.5</v>
      </c>
      <c r="T1125">
        <v>2026</v>
      </c>
      <c r="U1125">
        <v>3</v>
      </c>
      <c r="V1125">
        <v>0</v>
      </c>
      <c r="W1125" t="s">
        <v>47</v>
      </c>
      <c r="X1125" t="s">
        <v>64</v>
      </c>
      <c r="Y1125" t="s">
        <v>48</v>
      </c>
    </row>
    <row r="1126" spans="1:25" x14ac:dyDescent="0.35">
      <c r="A1126" t="s">
        <v>2379</v>
      </c>
      <c r="B1126" t="s">
        <v>168</v>
      </c>
      <c r="C1126" t="s">
        <v>169</v>
      </c>
      <c r="D1126" t="s">
        <v>68</v>
      </c>
      <c r="E1126">
        <v>6</v>
      </c>
      <c r="F1126" t="s">
        <v>128</v>
      </c>
      <c r="G1126">
        <v>157000</v>
      </c>
      <c r="H1126">
        <v>157000</v>
      </c>
      <c r="I1126">
        <v>218000</v>
      </c>
      <c r="J1126" t="s">
        <v>108</v>
      </c>
      <c r="K1126" t="s">
        <v>109</v>
      </c>
      <c r="L1126" t="s">
        <v>44</v>
      </c>
      <c r="M1126" t="s">
        <v>33</v>
      </c>
      <c r="N1126" t="s">
        <v>165</v>
      </c>
      <c r="O1126" t="s">
        <v>2380</v>
      </c>
      <c r="P1126">
        <v>7.4</v>
      </c>
      <c r="Q1126">
        <v>90</v>
      </c>
      <c r="R1126">
        <v>10</v>
      </c>
      <c r="S1126">
        <v>9.6</v>
      </c>
      <c r="T1126">
        <v>2025</v>
      </c>
      <c r="U1126">
        <v>1</v>
      </c>
      <c r="V1126">
        <v>1</v>
      </c>
      <c r="W1126" t="s">
        <v>47</v>
      </c>
      <c r="X1126" t="s">
        <v>64</v>
      </c>
      <c r="Y1126" t="s">
        <v>48</v>
      </c>
    </row>
    <row r="1127" spans="1:25" x14ac:dyDescent="0.35">
      <c r="A1127" t="s">
        <v>2381</v>
      </c>
      <c r="B1127" t="s">
        <v>185</v>
      </c>
      <c r="C1127" t="s">
        <v>186</v>
      </c>
      <c r="D1127" t="s">
        <v>81</v>
      </c>
      <c r="E1127">
        <v>4</v>
      </c>
      <c r="F1127" t="s">
        <v>29</v>
      </c>
      <c r="G1127">
        <v>168000</v>
      </c>
      <c r="H1127">
        <v>140000</v>
      </c>
      <c r="I1127">
        <v>270000</v>
      </c>
      <c r="J1127" t="s">
        <v>137</v>
      </c>
      <c r="K1127" t="s">
        <v>138</v>
      </c>
      <c r="L1127" t="s">
        <v>44</v>
      </c>
      <c r="M1127" t="s">
        <v>82</v>
      </c>
      <c r="N1127" t="s">
        <v>34</v>
      </c>
      <c r="O1127" t="s">
        <v>2382</v>
      </c>
      <c r="P1127">
        <v>15.3</v>
      </c>
      <c r="Q1127">
        <v>85</v>
      </c>
      <c r="R1127">
        <v>22.5</v>
      </c>
      <c r="S1127">
        <v>6.1</v>
      </c>
      <c r="T1127">
        <v>2025</v>
      </c>
      <c r="U1127">
        <v>5</v>
      </c>
      <c r="V1127">
        <v>0</v>
      </c>
      <c r="W1127" t="s">
        <v>47</v>
      </c>
      <c r="X1127" t="s">
        <v>64</v>
      </c>
      <c r="Y1127" t="s">
        <v>48</v>
      </c>
    </row>
    <row r="1128" spans="1:25" x14ac:dyDescent="0.35">
      <c r="A1128" t="s">
        <v>2383</v>
      </c>
      <c r="B1128" t="s">
        <v>134</v>
      </c>
      <c r="C1128" t="s">
        <v>27</v>
      </c>
      <c r="D1128" t="s">
        <v>68</v>
      </c>
      <c r="E1128">
        <v>4</v>
      </c>
      <c r="F1128" t="s">
        <v>41</v>
      </c>
      <c r="G1128">
        <v>253000</v>
      </c>
      <c r="H1128">
        <v>150000</v>
      </c>
      <c r="I1128">
        <v>295000</v>
      </c>
      <c r="J1128" t="s">
        <v>47</v>
      </c>
      <c r="K1128" t="s">
        <v>87</v>
      </c>
      <c r="L1128" t="s">
        <v>44</v>
      </c>
      <c r="M1128" t="s">
        <v>33</v>
      </c>
      <c r="N1128" t="s">
        <v>131</v>
      </c>
      <c r="O1128" t="s">
        <v>2384</v>
      </c>
      <c r="P1128">
        <v>16</v>
      </c>
      <c r="Q1128">
        <v>95</v>
      </c>
      <c r="R1128">
        <v>24.9</v>
      </c>
      <c r="S1128">
        <v>7.1</v>
      </c>
      <c r="T1128">
        <v>2026</v>
      </c>
      <c r="U1128">
        <v>1</v>
      </c>
      <c r="V1128">
        <v>1</v>
      </c>
      <c r="W1128" t="s">
        <v>47</v>
      </c>
      <c r="X1128" t="s">
        <v>37</v>
      </c>
      <c r="Y1128" t="s">
        <v>38</v>
      </c>
    </row>
    <row r="1129" spans="1:25" x14ac:dyDescent="0.35">
      <c r="A1129" t="s">
        <v>2385</v>
      </c>
      <c r="B1129" t="s">
        <v>26</v>
      </c>
      <c r="C1129" t="s">
        <v>27</v>
      </c>
      <c r="D1129" t="s">
        <v>74</v>
      </c>
      <c r="E1129">
        <v>4</v>
      </c>
      <c r="F1129" t="s">
        <v>29</v>
      </c>
      <c r="G1129">
        <v>191000</v>
      </c>
      <c r="H1129">
        <v>155000</v>
      </c>
      <c r="I1129">
        <v>290000</v>
      </c>
      <c r="J1129" t="s">
        <v>47</v>
      </c>
      <c r="K1129" t="s">
        <v>87</v>
      </c>
      <c r="L1129" t="s">
        <v>44</v>
      </c>
      <c r="M1129" t="s">
        <v>82</v>
      </c>
      <c r="N1129" t="s">
        <v>76</v>
      </c>
      <c r="O1129" t="s">
        <v>2386</v>
      </c>
      <c r="P1129">
        <v>9.4</v>
      </c>
      <c r="Q1129">
        <v>96</v>
      </c>
      <c r="R1129">
        <v>56.5</v>
      </c>
      <c r="S1129">
        <v>6</v>
      </c>
      <c r="T1129">
        <v>2026</v>
      </c>
      <c r="U1129">
        <v>1</v>
      </c>
      <c r="V1129">
        <v>0</v>
      </c>
      <c r="W1129" t="s">
        <v>47</v>
      </c>
      <c r="X1129" t="s">
        <v>37</v>
      </c>
      <c r="Y1129" t="s">
        <v>48</v>
      </c>
    </row>
    <row r="1130" spans="1:25" x14ac:dyDescent="0.35">
      <c r="A1130" t="s">
        <v>2387</v>
      </c>
      <c r="B1130" t="s">
        <v>196</v>
      </c>
      <c r="C1130" t="s">
        <v>27</v>
      </c>
      <c r="D1130" t="s">
        <v>68</v>
      </c>
      <c r="E1130">
        <v>7</v>
      </c>
      <c r="F1130" t="s">
        <v>29</v>
      </c>
      <c r="G1130">
        <v>296000</v>
      </c>
      <c r="H1130">
        <v>100000</v>
      </c>
      <c r="I1130">
        <v>250000</v>
      </c>
      <c r="J1130" t="s">
        <v>296</v>
      </c>
      <c r="K1130" t="s">
        <v>31</v>
      </c>
      <c r="L1130" t="s">
        <v>44</v>
      </c>
      <c r="M1130" t="s">
        <v>61</v>
      </c>
      <c r="N1130" t="s">
        <v>110</v>
      </c>
      <c r="O1130" t="s">
        <v>2388</v>
      </c>
      <c r="P1130">
        <v>12.9</v>
      </c>
      <c r="Q1130">
        <v>95</v>
      </c>
      <c r="R1130">
        <v>57.8</v>
      </c>
      <c r="S1130">
        <v>6.4</v>
      </c>
      <c r="T1130">
        <v>2026</v>
      </c>
      <c r="U1130">
        <v>3</v>
      </c>
      <c r="V1130">
        <v>1</v>
      </c>
      <c r="W1130" t="s">
        <v>47</v>
      </c>
      <c r="X1130" t="s">
        <v>64</v>
      </c>
      <c r="Y1130" t="s">
        <v>38</v>
      </c>
    </row>
    <row r="1131" spans="1:25" x14ac:dyDescent="0.35">
      <c r="A1131" t="s">
        <v>2389</v>
      </c>
      <c r="B1131" t="s">
        <v>185</v>
      </c>
      <c r="C1131" t="s">
        <v>186</v>
      </c>
      <c r="D1131" t="s">
        <v>28</v>
      </c>
      <c r="E1131">
        <v>5</v>
      </c>
      <c r="F1131" t="s">
        <v>51</v>
      </c>
      <c r="G1131">
        <v>140000</v>
      </c>
      <c r="H1131">
        <v>140000</v>
      </c>
      <c r="I1131">
        <v>270000</v>
      </c>
      <c r="J1131" t="s">
        <v>92</v>
      </c>
      <c r="K1131" t="s">
        <v>93</v>
      </c>
      <c r="L1131" t="s">
        <v>44</v>
      </c>
      <c r="M1131" t="s">
        <v>45</v>
      </c>
      <c r="N1131" t="s">
        <v>76</v>
      </c>
      <c r="O1131" t="s">
        <v>2390</v>
      </c>
      <c r="P1131">
        <v>9.3000000000000007</v>
      </c>
      <c r="Q1131">
        <v>85</v>
      </c>
      <c r="R1131">
        <v>23.6</v>
      </c>
      <c r="S1131">
        <v>9.6999999999999993</v>
      </c>
      <c r="T1131">
        <v>2025</v>
      </c>
      <c r="U1131">
        <v>7</v>
      </c>
      <c r="V1131">
        <v>1</v>
      </c>
      <c r="W1131" t="s">
        <v>47</v>
      </c>
      <c r="X1131" t="s">
        <v>64</v>
      </c>
      <c r="Y1131" t="s">
        <v>95</v>
      </c>
    </row>
    <row r="1132" spans="1:25" x14ac:dyDescent="0.35">
      <c r="A1132" t="s">
        <v>2391</v>
      </c>
      <c r="B1132" t="s">
        <v>203</v>
      </c>
      <c r="C1132" t="s">
        <v>169</v>
      </c>
      <c r="D1132" t="s">
        <v>81</v>
      </c>
      <c r="E1132">
        <v>6</v>
      </c>
      <c r="F1132" t="s">
        <v>51</v>
      </c>
      <c r="G1132">
        <v>138000</v>
      </c>
      <c r="H1132">
        <v>138000</v>
      </c>
      <c r="I1132">
        <v>195000</v>
      </c>
      <c r="J1132" t="s">
        <v>191</v>
      </c>
      <c r="K1132" t="s">
        <v>31</v>
      </c>
      <c r="L1132" t="s">
        <v>44</v>
      </c>
      <c r="M1132" t="s">
        <v>33</v>
      </c>
      <c r="N1132" t="s">
        <v>71</v>
      </c>
      <c r="O1132" t="s">
        <v>2392</v>
      </c>
      <c r="P1132">
        <v>3</v>
      </c>
      <c r="Q1132">
        <v>92</v>
      </c>
      <c r="R1132">
        <v>20.3</v>
      </c>
      <c r="S1132">
        <v>8.6</v>
      </c>
      <c r="T1132">
        <v>2026</v>
      </c>
      <c r="U1132">
        <v>3</v>
      </c>
      <c r="V1132">
        <v>0</v>
      </c>
      <c r="W1132" t="s">
        <v>47</v>
      </c>
      <c r="X1132" t="s">
        <v>64</v>
      </c>
      <c r="Y1132" t="s">
        <v>95</v>
      </c>
    </row>
    <row r="1133" spans="1:25" x14ac:dyDescent="0.35">
      <c r="A1133" t="s">
        <v>2393</v>
      </c>
      <c r="B1133" t="s">
        <v>609</v>
      </c>
      <c r="C1133" t="s">
        <v>124</v>
      </c>
      <c r="D1133" t="s">
        <v>28</v>
      </c>
      <c r="E1133">
        <v>6</v>
      </c>
      <c r="F1133" t="s">
        <v>69</v>
      </c>
      <c r="G1133">
        <v>180000</v>
      </c>
      <c r="H1133">
        <v>115000</v>
      </c>
      <c r="I1133">
        <v>280000</v>
      </c>
      <c r="J1133" t="s">
        <v>191</v>
      </c>
      <c r="K1133" t="s">
        <v>31</v>
      </c>
      <c r="L1133" t="s">
        <v>44</v>
      </c>
      <c r="M1133" t="s">
        <v>61</v>
      </c>
      <c r="N1133" t="s">
        <v>88</v>
      </c>
      <c r="O1133" t="s">
        <v>2394</v>
      </c>
      <c r="P1133">
        <v>13.5</v>
      </c>
      <c r="Q1133">
        <v>88</v>
      </c>
      <c r="R1133">
        <v>17.100000000000001</v>
      </c>
      <c r="S1133">
        <v>7.3</v>
      </c>
      <c r="T1133">
        <v>2026</v>
      </c>
      <c r="U1133">
        <v>2</v>
      </c>
      <c r="V1133">
        <v>1</v>
      </c>
      <c r="W1133" t="s">
        <v>47</v>
      </c>
      <c r="X1133" t="s">
        <v>64</v>
      </c>
      <c r="Y1133" t="s">
        <v>48</v>
      </c>
    </row>
    <row r="1134" spans="1:25" x14ac:dyDescent="0.35">
      <c r="A1134" t="s">
        <v>2395</v>
      </c>
      <c r="B1134" t="s">
        <v>86</v>
      </c>
      <c r="C1134" t="s">
        <v>27</v>
      </c>
      <c r="D1134" t="s">
        <v>74</v>
      </c>
      <c r="E1134">
        <v>8</v>
      </c>
      <c r="F1134" t="s">
        <v>69</v>
      </c>
      <c r="G1134">
        <v>190000</v>
      </c>
      <c r="H1134">
        <v>180000</v>
      </c>
      <c r="I1134">
        <v>312000</v>
      </c>
      <c r="J1134" t="s">
        <v>137</v>
      </c>
      <c r="K1134" t="s">
        <v>138</v>
      </c>
      <c r="L1134" t="s">
        <v>32</v>
      </c>
      <c r="M1134" t="s">
        <v>54</v>
      </c>
      <c r="N1134" t="s">
        <v>76</v>
      </c>
      <c r="O1134" t="s">
        <v>2396</v>
      </c>
      <c r="P1134">
        <v>14.8</v>
      </c>
      <c r="Q1134">
        <v>96</v>
      </c>
      <c r="R1134">
        <v>52.6</v>
      </c>
      <c r="S1134">
        <v>8.6</v>
      </c>
      <c r="T1134">
        <v>2026</v>
      </c>
      <c r="U1134">
        <v>3</v>
      </c>
      <c r="V1134">
        <v>0</v>
      </c>
      <c r="W1134" t="s">
        <v>36</v>
      </c>
      <c r="X1134" t="s">
        <v>64</v>
      </c>
      <c r="Y1134" t="s">
        <v>48</v>
      </c>
    </row>
    <row r="1135" spans="1:25" x14ac:dyDescent="0.35">
      <c r="A1135" t="s">
        <v>2397</v>
      </c>
      <c r="B1135" t="s">
        <v>233</v>
      </c>
      <c r="C1135" t="s">
        <v>180</v>
      </c>
      <c r="D1135" t="s">
        <v>81</v>
      </c>
      <c r="E1135">
        <v>10</v>
      </c>
      <c r="F1135" t="s">
        <v>41</v>
      </c>
      <c r="G1135">
        <v>113000</v>
      </c>
      <c r="H1135">
        <v>100000</v>
      </c>
      <c r="I1135">
        <v>200000</v>
      </c>
      <c r="J1135" t="s">
        <v>137</v>
      </c>
      <c r="K1135" t="s">
        <v>138</v>
      </c>
      <c r="L1135" t="s">
        <v>44</v>
      </c>
      <c r="M1135" t="s">
        <v>61</v>
      </c>
      <c r="N1135" t="s">
        <v>62</v>
      </c>
      <c r="O1135" t="s">
        <v>2398</v>
      </c>
      <c r="P1135">
        <v>9.4</v>
      </c>
      <c r="Q1135">
        <v>68</v>
      </c>
      <c r="R1135">
        <v>7.1</v>
      </c>
      <c r="S1135">
        <v>7.5</v>
      </c>
      <c r="T1135">
        <v>2025</v>
      </c>
      <c r="U1135">
        <v>7</v>
      </c>
      <c r="V1135">
        <v>0</v>
      </c>
      <c r="W1135" t="s">
        <v>47</v>
      </c>
      <c r="X1135" t="s">
        <v>64</v>
      </c>
      <c r="Y1135" t="s">
        <v>95</v>
      </c>
    </row>
    <row r="1136" spans="1:25" x14ac:dyDescent="0.35">
      <c r="A1136" t="s">
        <v>2399</v>
      </c>
      <c r="B1136" t="s">
        <v>66</v>
      </c>
      <c r="C1136" t="s">
        <v>67</v>
      </c>
      <c r="D1136" t="s">
        <v>68</v>
      </c>
      <c r="E1136">
        <v>6</v>
      </c>
      <c r="F1136" t="s">
        <v>51</v>
      </c>
      <c r="G1136">
        <v>211000</v>
      </c>
      <c r="H1136">
        <v>140000</v>
      </c>
      <c r="I1136">
        <v>260000</v>
      </c>
      <c r="J1136" t="s">
        <v>60</v>
      </c>
      <c r="K1136" t="s">
        <v>60</v>
      </c>
      <c r="L1136" t="s">
        <v>53</v>
      </c>
      <c r="M1136" t="s">
        <v>82</v>
      </c>
      <c r="N1136" t="s">
        <v>34</v>
      </c>
      <c r="O1136" t="s">
        <v>2400</v>
      </c>
      <c r="P1136">
        <v>9.6999999999999993</v>
      </c>
      <c r="Q1136">
        <v>85</v>
      </c>
      <c r="R1136">
        <v>16.8</v>
      </c>
      <c r="S1136">
        <v>7</v>
      </c>
      <c r="T1136">
        <v>2025</v>
      </c>
      <c r="U1136">
        <v>7</v>
      </c>
      <c r="V1136">
        <v>1</v>
      </c>
      <c r="W1136" t="s">
        <v>47</v>
      </c>
      <c r="X1136" t="s">
        <v>64</v>
      </c>
      <c r="Y1136" t="s">
        <v>38</v>
      </c>
    </row>
    <row r="1137" spans="1:25" x14ac:dyDescent="0.35">
      <c r="A1137" t="s">
        <v>2401</v>
      </c>
      <c r="B1137" t="s">
        <v>79</v>
      </c>
      <c r="C1137" t="s">
        <v>80</v>
      </c>
      <c r="D1137" t="s">
        <v>68</v>
      </c>
      <c r="E1137">
        <v>7</v>
      </c>
      <c r="F1137" t="s">
        <v>51</v>
      </c>
      <c r="G1137">
        <v>241000</v>
      </c>
      <c r="H1137">
        <v>140000</v>
      </c>
      <c r="I1137">
        <v>260000</v>
      </c>
      <c r="J1137" t="s">
        <v>170</v>
      </c>
      <c r="K1137" t="s">
        <v>171</v>
      </c>
      <c r="L1137" t="s">
        <v>32</v>
      </c>
      <c r="M1137" t="s">
        <v>82</v>
      </c>
      <c r="N1137" t="s">
        <v>34</v>
      </c>
      <c r="O1137" t="s">
        <v>2402</v>
      </c>
      <c r="P1137">
        <v>16.899999999999999</v>
      </c>
      <c r="Q1137">
        <v>80</v>
      </c>
      <c r="R1137">
        <v>26.5</v>
      </c>
      <c r="S1137">
        <v>7</v>
      </c>
      <c r="T1137">
        <v>2026</v>
      </c>
      <c r="U1137">
        <v>3</v>
      </c>
      <c r="V1137">
        <v>1</v>
      </c>
      <c r="W1137" t="s">
        <v>36</v>
      </c>
      <c r="X1137" t="s">
        <v>64</v>
      </c>
      <c r="Y1137" t="s">
        <v>38</v>
      </c>
    </row>
    <row r="1138" spans="1:25" x14ac:dyDescent="0.35">
      <c r="A1138" t="s">
        <v>2403</v>
      </c>
      <c r="B1138" t="s">
        <v>158</v>
      </c>
      <c r="C1138" t="s">
        <v>27</v>
      </c>
      <c r="D1138" t="s">
        <v>74</v>
      </c>
      <c r="E1138">
        <v>3</v>
      </c>
      <c r="F1138" t="s">
        <v>29</v>
      </c>
      <c r="G1138">
        <v>179000</v>
      </c>
      <c r="H1138">
        <v>145000</v>
      </c>
      <c r="I1138">
        <v>280000</v>
      </c>
      <c r="J1138" t="s">
        <v>47</v>
      </c>
      <c r="K1138" t="s">
        <v>87</v>
      </c>
      <c r="L1138" t="s">
        <v>53</v>
      </c>
      <c r="M1138" t="s">
        <v>82</v>
      </c>
      <c r="N1138" t="s">
        <v>62</v>
      </c>
      <c r="O1138" t="s">
        <v>2404</v>
      </c>
      <c r="P1138">
        <v>6.2</v>
      </c>
      <c r="Q1138">
        <v>94</v>
      </c>
      <c r="R1138">
        <v>85</v>
      </c>
      <c r="S1138">
        <v>7.6</v>
      </c>
      <c r="T1138">
        <v>2025</v>
      </c>
      <c r="U1138">
        <v>10</v>
      </c>
      <c r="V1138">
        <v>0</v>
      </c>
      <c r="W1138" t="s">
        <v>47</v>
      </c>
      <c r="X1138" t="s">
        <v>37</v>
      </c>
      <c r="Y1138" t="s">
        <v>48</v>
      </c>
    </row>
    <row r="1139" spans="1:25" x14ac:dyDescent="0.35">
      <c r="A1139" t="s">
        <v>2405</v>
      </c>
      <c r="B1139" t="s">
        <v>149</v>
      </c>
      <c r="C1139" t="s">
        <v>150</v>
      </c>
      <c r="D1139" t="s">
        <v>81</v>
      </c>
      <c r="E1139">
        <v>3</v>
      </c>
      <c r="F1139" t="s">
        <v>51</v>
      </c>
      <c r="G1139">
        <v>130000</v>
      </c>
      <c r="H1139">
        <v>130000</v>
      </c>
      <c r="I1139">
        <v>260000</v>
      </c>
      <c r="J1139" t="s">
        <v>142</v>
      </c>
      <c r="K1139" t="s">
        <v>143</v>
      </c>
      <c r="L1139" t="s">
        <v>53</v>
      </c>
      <c r="M1139" t="s">
        <v>61</v>
      </c>
      <c r="N1139" t="s">
        <v>62</v>
      </c>
      <c r="O1139" t="s">
        <v>2406</v>
      </c>
      <c r="P1139">
        <v>15.8</v>
      </c>
      <c r="Q1139">
        <v>93</v>
      </c>
      <c r="R1139">
        <v>35.299999999999997</v>
      </c>
      <c r="S1139">
        <v>6.3</v>
      </c>
      <c r="T1139">
        <v>2025</v>
      </c>
      <c r="U1139">
        <v>10</v>
      </c>
      <c r="V1139">
        <v>0</v>
      </c>
      <c r="W1139" t="s">
        <v>47</v>
      </c>
      <c r="X1139" t="s">
        <v>64</v>
      </c>
      <c r="Y1139" t="s">
        <v>95</v>
      </c>
    </row>
    <row r="1140" spans="1:25" x14ac:dyDescent="0.35">
      <c r="A1140" t="s">
        <v>2407</v>
      </c>
      <c r="B1140" t="s">
        <v>196</v>
      </c>
      <c r="C1140" t="s">
        <v>27</v>
      </c>
      <c r="D1140" t="s">
        <v>74</v>
      </c>
      <c r="E1140">
        <v>5</v>
      </c>
      <c r="F1140" t="s">
        <v>51</v>
      </c>
      <c r="G1140">
        <v>100000</v>
      </c>
      <c r="H1140">
        <v>100000</v>
      </c>
      <c r="I1140">
        <v>250000</v>
      </c>
      <c r="J1140" t="s">
        <v>92</v>
      </c>
      <c r="K1140" t="s">
        <v>93</v>
      </c>
      <c r="L1140" t="s">
        <v>44</v>
      </c>
      <c r="M1140" t="s">
        <v>45</v>
      </c>
      <c r="N1140" t="s">
        <v>83</v>
      </c>
      <c r="O1140" t="s">
        <v>2408</v>
      </c>
      <c r="P1140">
        <v>10.7</v>
      </c>
      <c r="Q1140">
        <v>95</v>
      </c>
      <c r="R1140">
        <v>16</v>
      </c>
      <c r="S1140">
        <v>7.2</v>
      </c>
      <c r="T1140">
        <v>2025</v>
      </c>
      <c r="U1140">
        <v>4</v>
      </c>
      <c r="V1140">
        <v>0</v>
      </c>
      <c r="W1140" t="s">
        <v>47</v>
      </c>
      <c r="X1140" t="s">
        <v>64</v>
      </c>
      <c r="Y1140" t="s">
        <v>98</v>
      </c>
    </row>
    <row r="1141" spans="1:25" x14ac:dyDescent="0.35">
      <c r="A1141" t="s">
        <v>2409</v>
      </c>
      <c r="B1141" t="s">
        <v>58</v>
      </c>
      <c r="C1141" t="s">
        <v>59</v>
      </c>
      <c r="D1141" t="s">
        <v>28</v>
      </c>
      <c r="E1141">
        <v>2</v>
      </c>
      <c r="F1141" t="s">
        <v>51</v>
      </c>
      <c r="G1141">
        <v>174000</v>
      </c>
      <c r="H1141">
        <v>130000</v>
      </c>
      <c r="I1141">
        <v>220000</v>
      </c>
      <c r="J1141" t="s">
        <v>137</v>
      </c>
      <c r="K1141" t="s">
        <v>138</v>
      </c>
      <c r="L1141" t="s">
        <v>53</v>
      </c>
      <c r="M1141" t="s">
        <v>45</v>
      </c>
      <c r="N1141" t="s">
        <v>119</v>
      </c>
      <c r="O1141" t="s">
        <v>2410</v>
      </c>
      <c r="P1141">
        <v>8</v>
      </c>
      <c r="Q1141">
        <v>88</v>
      </c>
      <c r="R1141">
        <v>22.9</v>
      </c>
      <c r="S1141">
        <v>7</v>
      </c>
      <c r="T1141">
        <v>2025</v>
      </c>
      <c r="U1141">
        <v>1</v>
      </c>
      <c r="V1141">
        <v>1</v>
      </c>
      <c r="W1141" t="s">
        <v>47</v>
      </c>
      <c r="X1141" t="s">
        <v>64</v>
      </c>
      <c r="Y1141" t="s">
        <v>48</v>
      </c>
    </row>
    <row r="1142" spans="1:25" x14ac:dyDescent="0.35">
      <c r="A1142" t="s">
        <v>2411</v>
      </c>
      <c r="B1142" t="s">
        <v>91</v>
      </c>
      <c r="C1142" t="s">
        <v>27</v>
      </c>
      <c r="D1142" t="s">
        <v>81</v>
      </c>
      <c r="E1142">
        <v>3</v>
      </c>
      <c r="F1142" t="s">
        <v>128</v>
      </c>
      <c r="G1142">
        <v>258000</v>
      </c>
      <c r="H1142">
        <v>145000</v>
      </c>
      <c r="I1142">
        <v>290000</v>
      </c>
      <c r="J1142" t="s">
        <v>52</v>
      </c>
      <c r="K1142" t="s">
        <v>31</v>
      </c>
      <c r="L1142" t="s">
        <v>44</v>
      </c>
      <c r="M1142" t="s">
        <v>82</v>
      </c>
      <c r="N1142" t="s">
        <v>110</v>
      </c>
      <c r="O1142" t="s">
        <v>2412</v>
      </c>
      <c r="P1142">
        <v>6.2</v>
      </c>
      <c r="Q1142">
        <v>91</v>
      </c>
      <c r="R1142">
        <v>59.5</v>
      </c>
      <c r="S1142">
        <v>9.6</v>
      </c>
      <c r="T1142">
        <v>2025</v>
      </c>
      <c r="U1142">
        <v>5</v>
      </c>
      <c r="V1142">
        <v>0</v>
      </c>
      <c r="W1142" t="s">
        <v>47</v>
      </c>
      <c r="X1142" t="s">
        <v>64</v>
      </c>
      <c r="Y1142" t="s">
        <v>38</v>
      </c>
    </row>
    <row r="1143" spans="1:25" x14ac:dyDescent="0.35">
      <c r="A1143" t="s">
        <v>2413</v>
      </c>
      <c r="B1143" t="s">
        <v>86</v>
      </c>
      <c r="C1143" t="s">
        <v>27</v>
      </c>
      <c r="D1143" t="s">
        <v>28</v>
      </c>
      <c r="E1143">
        <v>8</v>
      </c>
      <c r="F1143" t="s">
        <v>51</v>
      </c>
      <c r="G1143">
        <v>253000</v>
      </c>
      <c r="H1143">
        <v>180000</v>
      </c>
      <c r="I1143">
        <v>312000</v>
      </c>
      <c r="J1143" t="s">
        <v>117</v>
      </c>
      <c r="K1143" t="s">
        <v>118</v>
      </c>
      <c r="L1143" t="s">
        <v>44</v>
      </c>
      <c r="M1143" t="s">
        <v>45</v>
      </c>
      <c r="N1143" t="s">
        <v>124</v>
      </c>
      <c r="O1143" t="s">
        <v>2414</v>
      </c>
      <c r="P1143">
        <v>17.399999999999999</v>
      </c>
      <c r="Q1143">
        <v>96</v>
      </c>
      <c r="R1143">
        <v>22.7</v>
      </c>
      <c r="S1143">
        <v>7.6</v>
      </c>
      <c r="T1143">
        <v>2025</v>
      </c>
      <c r="U1143">
        <v>4</v>
      </c>
      <c r="V1143">
        <v>1</v>
      </c>
      <c r="W1143" t="s">
        <v>47</v>
      </c>
      <c r="X1143" t="s">
        <v>64</v>
      </c>
      <c r="Y1143" t="s">
        <v>38</v>
      </c>
    </row>
    <row r="1144" spans="1:25" x14ac:dyDescent="0.35">
      <c r="A1144" t="s">
        <v>2415</v>
      </c>
      <c r="B1144" t="s">
        <v>609</v>
      </c>
      <c r="C1144" t="s">
        <v>124</v>
      </c>
      <c r="D1144" t="s">
        <v>28</v>
      </c>
      <c r="E1144">
        <v>8</v>
      </c>
      <c r="F1144" t="s">
        <v>51</v>
      </c>
      <c r="G1144">
        <v>128000</v>
      </c>
      <c r="H1144">
        <v>115000</v>
      </c>
      <c r="I1144">
        <v>280000</v>
      </c>
      <c r="J1144" t="s">
        <v>122</v>
      </c>
      <c r="K1144" t="s">
        <v>123</v>
      </c>
      <c r="L1144" t="s">
        <v>44</v>
      </c>
      <c r="M1144" t="s">
        <v>33</v>
      </c>
      <c r="N1144" t="s">
        <v>71</v>
      </c>
      <c r="O1144" t="s">
        <v>2416</v>
      </c>
      <c r="P1144">
        <v>11.8</v>
      </c>
      <c r="Q1144">
        <v>88</v>
      </c>
      <c r="R1144">
        <v>9.5</v>
      </c>
      <c r="S1144">
        <v>8.1999999999999993</v>
      </c>
      <c r="T1144">
        <v>2026</v>
      </c>
      <c r="U1144">
        <v>3</v>
      </c>
      <c r="V1144">
        <v>1</v>
      </c>
      <c r="W1144" t="s">
        <v>47</v>
      </c>
      <c r="X1144" t="s">
        <v>64</v>
      </c>
      <c r="Y1144" t="s">
        <v>95</v>
      </c>
    </row>
    <row r="1145" spans="1:25" x14ac:dyDescent="0.35">
      <c r="A1145" t="s">
        <v>2417</v>
      </c>
      <c r="B1145" t="s">
        <v>146</v>
      </c>
      <c r="C1145" t="s">
        <v>27</v>
      </c>
      <c r="D1145" t="s">
        <v>74</v>
      </c>
      <c r="E1145">
        <v>9</v>
      </c>
      <c r="F1145" t="s">
        <v>51</v>
      </c>
      <c r="G1145">
        <v>178000</v>
      </c>
      <c r="H1145">
        <v>160000</v>
      </c>
      <c r="I1145">
        <v>300000</v>
      </c>
      <c r="J1145" t="s">
        <v>52</v>
      </c>
      <c r="K1145" t="s">
        <v>31</v>
      </c>
      <c r="L1145" t="s">
        <v>53</v>
      </c>
      <c r="M1145" t="s">
        <v>82</v>
      </c>
      <c r="N1145" t="s">
        <v>83</v>
      </c>
      <c r="O1145" t="s">
        <v>2418</v>
      </c>
      <c r="P1145">
        <v>13.6</v>
      </c>
      <c r="Q1145">
        <v>90</v>
      </c>
      <c r="R1145">
        <v>15.4</v>
      </c>
      <c r="S1145">
        <v>8.1</v>
      </c>
      <c r="T1145">
        <v>2026</v>
      </c>
      <c r="U1145">
        <v>2</v>
      </c>
      <c r="V1145">
        <v>0</v>
      </c>
      <c r="W1145" t="s">
        <v>47</v>
      </c>
      <c r="X1145" t="s">
        <v>64</v>
      </c>
      <c r="Y1145" t="s">
        <v>48</v>
      </c>
    </row>
    <row r="1146" spans="1:25" x14ac:dyDescent="0.35">
      <c r="A1146" t="s">
        <v>2419</v>
      </c>
      <c r="B1146" t="s">
        <v>168</v>
      </c>
      <c r="C1146" t="s">
        <v>169</v>
      </c>
      <c r="D1146" t="s">
        <v>68</v>
      </c>
      <c r="E1146">
        <v>12</v>
      </c>
      <c r="F1146" t="s">
        <v>29</v>
      </c>
      <c r="G1146">
        <v>201000</v>
      </c>
      <c r="H1146">
        <v>157000</v>
      </c>
      <c r="I1146">
        <v>218000</v>
      </c>
      <c r="J1146" t="s">
        <v>42</v>
      </c>
      <c r="K1146" t="s">
        <v>43</v>
      </c>
      <c r="L1146" t="s">
        <v>44</v>
      </c>
      <c r="M1146" t="s">
        <v>61</v>
      </c>
      <c r="N1146" t="s">
        <v>71</v>
      </c>
      <c r="O1146" t="s">
        <v>2420</v>
      </c>
      <c r="P1146">
        <v>8.8000000000000007</v>
      </c>
      <c r="Q1146">
        <v>90</v>
      </c>
      <c r="R1146">
        <v>6.4</v>
      </c>
      <c r="S1146">
        <v>8.6999999999999993</v>
      </c>
      <c r="T1146">
        <v>2026</v>
      </c>
      <c r="U1146">
        <v>2</v>
      </c>
      <c r="V1146">
        <v>1</v>
      </c>
      <c r="W1146" t="s">
        <v>47</v>
      </c>
      <c r="X1146" t="s">
        <v>64</v>
      </c>
      <c r="Y1146" t="s">
        <v>38</v>
      </c>
    </row>
    <row r="1147" spans="1:25" x14ac:dyDescent="0.35">
      <c r="A1147" t="s">
        <v>2421</v>
      </c>
      <c r="B1147" t="s">
        <v>66</v>
      </c>
      <c r="C1147" t="s">
        <v>67</v>
      </c>
      <c r="D1147" t="s">
        <v>68</v>
      </c>
      <c r="E1147">
        <v>8</v>
      </c>
      <c r="F1147" t="s">
        <v>41</v>
      </c>
      <c r="G1147">
        <v>299000</v>
      </c>
      <c r="H1147">
        <v>140000</v>
      </c>
      <c r="I1147">
        <v>260000</v>
      </c>
      <c r="J1147" t="s">
        <v>142</v>
      </c>
      <c r="K1147" t="s">
        <v>143</v>
      </c>
      <c r="L1147" t="s">
        <v>44</v>
      </c>
      <c r="M1147" t="s">
        <v>54</v>
      </c>
      <c r="N1147" t="s">
        <v>76</v>
      </c>
      <c r="O1147" t="s">
        <v>2422</v>
      </c>
      <c r="P1147">
        <v>11.1</v>
      </c>
      <c r="Q1147">
        <v>85</v>
      </c>
      <c r="R1147">
        <v>19.8</v>
      </c>
      <c r="S1147">
        <v>6.3</v>
      </c>
      <c r="T1147">
        <v>2026</v>
      </c>
      <c r="U1147">
        <v>3</v>
      </c>
      <c r="V1147">
        <v>1</v>
      </c>
      <c r="W1147" t="s">
        <v>47</v>
      </c>
      <c r="X1147" t="s">
        <v>64</v>
      </c>
      <c r="Y1147" t="s">
        <v>38</v>
      </c>
    </row>
    <row r="1148" spans="1:25" x14ac:dyDescent="0.35">
      <c r="A1148" t="s">
        <v>2423</v>
      </c>
      <c r="B1148" t="s">
        <v>163</v>
      </c>
      <c r="C1148" t="s">
        <v>164</v>
      </c>
      <c r="D1148" t="s">
        <v>68</v>
      </c>
      <c r="E1148">
        <v>4</v>
      </c>
      <c r="F1148" t="s">
        <v>29</v>
      </c>
      <c r="G1148">
        <v>125000</v>
      </c>
      <c r="H1148">
        <v>125000</v>
      </c>
      <c r="I1148">
        <v>240000</v>
      </c>
      <c r="J1148" t="s">
        <v>108</v>
      </c>
      <c r="K1148" t="s">
        <v>109</v>
      </c>
      <c r="L1148" t="s">
        <v>53</v>
      </c>
      <c r="M1148" t="s">
        <v>33</v>
      </c>
      <c r="N1148" t="s">
        <v>155</v>
      </c>
      <c r="O1148" t="s">
        <v>2424</v>
      </c>
      <c r="P1148">
        <v>15.6</v>
      </c>
      <c r="Q1148">
        <v>76</v>
      </c>
      <c r="R1148">
        <v>20.7</v>
      </c>
      <c r="S1148">
        <v>6.6</v>
      </c>
      <c r="T1148">
        <v>2026</v>
      </c>
      <c r="U1148">
        <v>1</v>
      </c>
      <c r="V1148">
        <v>1</v>
      </c>
      <c r="W1148" t="s">
        <v>47</v>
      </c>
      <c r="X1148" t="s">
        <v>64</v>
      </c>
      <c r="Y1148" t="s">
        <v>95</v>
      </c>
    </row>
    <row r="1149" spans="1:25" x14ac:dyDescent="0.35">
      <c r="A1149" t="s">
        <v>2425</v>
      </c>
      <c r="B1149" t="s">
        <v>79</v>
      </c>
      <c r="C1149" t="s">
        <v>80</v>
      </c>
      <c r="D1149" t="s">
        <v>68</v>
      </c>
      <c r="E1149">
        <v>3</v>
      </c>
      <c r="F1149" t="s">
        <v>69</v>
      </c>
      <c r="G1149">
        <v>239000</v>
      </c>
      <c r="H1149">
        <v>140000</v>
      </c>
      <c r="I1149">
        <v>260000</v>
      </c>
      <c r="J1149" t="s">
        <v>142</v>
      </c>
      <c r="K1149" t="s">
        <v>143</v>
      </c>
      <c r="L1149" t="s">
        <v>44</v>
      </c>
      <c r="M1149" t="s">
        <v>54</v>
      </c>
      <c r="N1149" t="s">
        <v>71</v>
      </c>
      <c r="O1149" t="s">
        <v>2426</v>
      </c>
      <c r="P1149">
        <v>14.8</v>
      </c>
      <c r="Q1149">
        <v>80</v>
      </c>
      <c r="R1149">
        <v>9.5</v>
      </c>
      <c r="S1149">
        <v>9.6</v>
      </c>
      <c r="T1149">
        <v>2026</v>
      </c>
      <c r="U1149">
        <v>3</v>
      </c>
      <c r="V1149">
        <v>1</v>
      </c>
      <c r="W1149" t="s">
        <v>47</v>
      </c>
      <c r="X1149" t="s">
        <v>64</v>
      </c>
      <c r="Y1149" t="s">
        <v>38</v>
      </c>
    </row>
    <row r="1150" spans="1:25" x14ac:dyDescent="0.35">
      <c r="A1150" t="s">
        <v>2427</v>
      </c>
      <c r="B1150" t="s">
        <v>196</v>
      </c>
      <c r="C1150" t="s">
        <v>27</v>
      </c>
      <c r="D1150" t="s">
        <v>74</v>
      </c>
      <c r="E1150">
        <v>7</v>
      </c>
      <c r="F1150" t="s">
        <v>29</v>
      </c>
      <c r="G1150">
        <v>100000</v>
      </c>
      <c r="H1150">
        <v>100000</v>
      </c>
      <c r="I1150">
        <v>250000</v>
      </c>
      <c r="J1150" t="s">
        <v>113</v>
      </c>
      <c r="K1150" t="s">
        <v>114</v>
      </c>
      <c r="L1150" t="s">
        <v>53</v>
      </c>
      <c r="M1150" t="s">
        <v>33</v>
      </c>
      <c r="N1150" t="s">
        <v>62</v>
      </c>
      <c r="O1150" t="s">
        <v>2428</v>
      </c>
      <c r="P1150">
        <v>11.9</v>
      </c>
      <c r="Q1150">
        <v>95</v>
      </c>
      <c r="R1150">
        <v>70.5</v>
      </c>
      <c r="S1150">
        <v>9.6999999999999993</v>
      </c>
      <c r="T1150">
        <v>2025</v>
      </c>
      <c r="U1150">
        <v>2</v>
      </c>
      <c r="V1150">
        <v>0</v>
      </c>
      <c r="W1150" t="s">
        <v>47</v>
      </c>
      <c r="X1150" t="s">
        <v>64</v>
      </c>
      <c r="Y1150" t="s">
        <v>98</v>
      </c>
    </row>
    <row r="1151" spans="1:25" x14ac:dyDescent="0.35">
      <c r="A1151" t="s">
        <v>2429</v>
      </c>
      <c r="B1151" t="s">
        <v>127</v>
      </c>
      <c r="C1151" t="s">
        <v>27</v>
      </c>
      <c r="D1151" t="s">
        <v>81</v>
      </c>
      <c r="E1151">
        <v>5</v>
      </c>
      <c r="F1151" t="s">
        <v>29</v>
      </c>
      <c r="G1151">
        <v>242000</v>
      </c>
      <c r="H1151">
        <v>120000</v>
      </c>
      <c r="I1151">
        <v>280000</v>
      </c>
      <c r="J1151" t="s">
        <v>170</v>
      </c>
      <c r="K1151" t="s">
        <v>171</v>
      </c>
      <c r="L1151" t="s">
        <v>44</v>
      </c>
      <c r="M1151" t="s">
        <v>54</v>
      </c>
      <c r="N1151" t="s">
        <v>119</v>
      </c>
      <c r="O1151" t="s">
        <v>2430</v>
      </c>
      <c r="P1151">
        <v>17</v>
      </c>
      <c r="Q1151">
        <v>97</v>
      </c>
      <c r="R1151">
        <v>82.3</v>
      </c>
      <c r="S1151">
        <v>6.9</v>
      </c>
      <c r="T1151">
        <v>2025</v>
      </c>
      <c r="U1151">
        <v>7</v>
      </c>
      <c r="V1151">
        <v>0</v>
      </c>
      <c r="W1151" t="s">
        <v>47</v>
      </c>
      <c r="X1151" t="s">
        <v>64</v>
      </c>
      <c r="Y1151" t="s">
        <v>38</v>
      </c>
    </row>
    <row r="1152" spans="1:25" x14ac:dyDescent="0.35">
      <c r="A1152" t="s">
        <v>2431</v>
      </c>
      <c r="B1152" t="s">
        <v>179</v>
      </c>
      <c r="C1152" t="s">
        <v>180</v>
      </c>
      <c r="D1152" t="s">
        <v>68</v>
      </c>
      <c r="E1152">
        <v>7</v>
      </c>
      <c r="F1152" t="s">
        <v>51</v>
      </c>
      <c r="G1152">
        <v>184000</v>
      </c>
      <c r="H1152">
        <v>110000</v>
      </c>
      <c r="I1152">
        <v>210000</v>
      </c>
      <c r="J1152" t="s">
        <v>113</v>
      </c>
      <c r="K1152" t="s">
        <v>114</v>
      </c>
      <c r="L1152" t="s">
        <v>32</v>
      </c>
      <c r="M1152" t="s">
        <v>45</v>
      </c>
      <c r="N1152" t="s">
        <v>88</v>
      </c>
      <c r="O1152" t="s">
        <v>2432</v>
      </c>
      <c r="P1152">
        <v>9</v>
      </c>
      <c r="Q1152">
        <v>72</v>
      </c>
      <c r="R1152">
        <v>9.3000000000000007</v>
      </c>
      <c r="S1152">
        <v>9.1</v>
      </c>
      <c r="T1152">
        <v>2026</v>
      </c>
      <c r="U1152">
        <v>1</v>
      </c>
      <c r="V1152">
        <v>1</v>
      </c>
      <c r="W1152" t="s">
        <v>36</v>
      </c>
      <c r="X1152" t="s">
        <v>64</v>
      </c>
      <c r="Y1152" t="s">
        <v>48</v>
      </c>
    </row>
    <row r="1153" spans="1:25" x14ac:dyDescent="0.35">
      <c r="A1153" t="s">
        <v>2433</v>
      </c>
      <c r="B1153" t="s">
        <v>203</v>
      </c>
      <c r="C1153" t="s">
        <v>169</v>
      </c>
      <c r="D1153" t="s">
        <v>28</v>
      </c>
      <c r="E1153">
        <v>8</v>
      </c>
      <c r="F1153" t="s">
        <v>41</v>
      </c>
      <c r="G1153">
        <v>159000</v>
      </c>
      <c r="H1153">
        <v>138000</v>
      </c>
      <c r="I1153">
        <v>195000</v>
      </c>
      <c r="J1153" t="s">
        <v>113</v>
      </c>
      <c r="K1153" t="s">
        <v>114</v>
      </c>
      <c r="L1153" t="s">
        <v>53</v>
      </c>
      <c r="M1153" t="s">
        <v>82</v>
      </c>
      <c r="N1153" t="s">
        <v>124</v>
      </c>
      <c r="O1153" t="s">
        <v>2434</v>
      </c>
      <c r="P1153">
        <v>4.8</v>
      </c>
      <c r="Q1153">
        <v>92</v>
      </c>
      <c r="R1153">
        <v>37.700000000000003</v>
      </c>
      <c r="S1153">
        <v>9.6999999999999993</v>
      </c>
      <c r="T1153">
        <v>2026</v>
      </c>
      <c r="U1153">
        <v>1</v>
      </c>
      <c r="V1153">
        <v>1</v>
      </c>
      <c r="W1153" t="s">
        <v>47</v>
      </c>
      <c r="X1153" t="s">
        <v>64</v>
      </c>
      <c r="Y1153" t="s">
        <v>48</v>
      </c>
    </row>
    <row r="1154" spans="1:25" x14ac:dyDescent="0.35">
      <c r="A1154" t="s">
        <v>2435</v>
      </c>
      <c r="B1154" t="s">
        <v>86</v>
      </c>
      <c r="C1154" t="s">
        <v>27</v>
      </c>
      <c r="D1154" t="s">
        <v>28</v>
      </c>
      <c r="E1154">
        <v>6</v>
      </c>
      <c r="F1154" t="s">
        <v>69</v>
      </c>
      <c r="G1154">
        <v>195000</v>
      </c>
      <c r="H1154">
        <v>180000</v>
      </c>
      <c r="I1154">
        <v>312000</v>
      </c>
      <c r="J1154" t="s">
        <v>129</v>
      </c>
      <c r="K1154" t="s">
        <v>130</v>
      </c>
      <c r="L1154" t="s">
        <v>44</v>
      </c>
      <c r="M1154" t="s">
        <v>33</v>
      </c>
      <c r="N1154" t="s">
        <v>34</v>
      </c>
      <c r="O1154" t="s">
        <v>2436</v>
      </c>
      <c r="P1154">
        <v>15.5</v>
      </c>
      <c r="Q1154">
        <v>96</v>
      </c>
      <c r="R1154">
        <v>74.8</v>
      </c>
      <c r="S1154">
        <v>9</v>
      </c>
      <c r="T1154">
        <v>2026</v>
      </c>
      <c r="U1154">
        <v>3</v>
      </c>
      <c r="V1154">
        <v>1</v>
      </c>
      <c r="W1154" t="s">
        <v>47</v>
      </c>
      <c r="X1154" t="s">
        <v>64</v>
      </c>
      <c r="Y1154" t="s">
        <v>48</v>
      </c>
    </row>
    <row r="1155" spans="1:25" x14ac:dyDescent="0.35">
      <c r="A1155" t="s">
        <v>2437</v>
      </c>
      <c r="B1155" t="s">
        <v>127</v>
      </c>
      <c r="C1155" t="s">
        <v>27</v>
      </c>
      <c r="D1155" t="s">
        <v>68</v>
      </c>
      <c r="E1155">
        <v>3</v>
      </c>
      <c r="F1155" t="s">
        <v>51</v>
      </c>
      <c r="G1155">
        <v>120000</v>
      </c>
      <c r="H1155">
        <v>120000</v>
      </c>
      <c r="I1155">
        <v>280000</v>
      </c>
      <c r="J1155" t="s">
        <v>92</v>
      </c>
      <c r="K1155" t="s">
        <v>93</v>
      </c>
      <c r="L1155" t="s">
        <v>44</v>
      </c>
      <c r="M1155" t="s">
        <v>45</v>
      </c>
      <c r="N1155" t="s">
        <v>110</v>
      </c>
      <c r="O1155" t="s">
        <v>2438</v>
      </c>
      <c r="P1155">
        <v>12.7</v>
      </c>
      <c r="Q1155">
        <v>97</v>
      </c>
      <c r="R1155">
        <v>74.099999999999994</v>
      </c>
      <c r="S1155">
        <v>6.1</v>
      </c>
      <c r="T1155">
        <v>2026</v>
      </c>
      <c r="U1155">
        <v>1</v>
      </c>
      <c r="V1155">
        <v>1</v>
      </c>
      <c r="W1155" t="s">
        <v>47</v>
      </c>
      <c r="X1155" t="s">
        <v>64</v>
      </c>
      <c r="Y1155" t="s">
        <v>95</v>
      </c>
    </row>
    <row r="1156" spans="1:25" x14ac:dyDescent="0.35">
      <c r="A1156" t="s">
        <v>2439</v>
      </c>
      <c r="B1156" t="s">
        <v>233</v>
      </c>
      <c r="C1156" t="s">
        <v>180</v>
      </c>
      <c r="D1156" t="s">
        <v>28</v>
      </c>
      <c r="E1156">
        <v>6</v>
      </c>
      <c r="F1156" t="s">
        <v>41</v>
      </c>
      <c r="G1156">
        <v>139000</v>
      </c>
      <c r="H1156">
        <v>100000</v>
      </c>
      <c r="I1156">
        <v>200000</v>
      </c>
      <c r="J1156" t="s">
        <v>122</v>
      </c>
      <c r="K1156" t="s">
        <v>123</v>
      </c>
      <c r="L1156" t="s">
        <v>44</v>
      </c>
      <c r="M1156" t="s">
        <v>45</v>
      </c>
      <c r="N1156" t="s">
        <v>155</v>
      </c>
      <c r="O1156" t="s">
        <v>2440</v>
      </c>
      <c r="P1156">
        <v>16.7</v>
      </c>
      <c r="Q1156">
        <v>68</v>
      </c>
      <c r="R1156">
        <v>13.9</v>
      </c>
      <c r="S1156">
        <v>9.6</v>
      </c>
      <c r="T1156">
        <v>2025</v>
      </c>
      <c r="U1156">
        <v>12</v>
      </c>
      <c r="V1156">
        <v>1</v>
      </c>
      <c r="W1156" t="s">
        <v>47</v>
      </c>
      <c r="X1156" t="s">
        <v>64</v>
      </c>
      <c r="Y1156" t="s">
        <v>95</v>
      </c>
    </row>
    <row r="1157" spans="1:25" x14ac:dyDescent="0.35">
      <c r="A1157" t="s">
        <v>2441</v>
      </c>
      <c r="B1157" t="s">
        <v>609</v>
      </c>
      <c r="C1157" t="s">
        <v>124</v>
      </c>
      <c r="D1157" t="s">
        <v>68</v>
      </c>
      <c r="E1157">
        <v>10</v>
      </c>
      <c r="F1157" t="s">
        <v>29</v>
      </c>
      <c r="G1157">
        <v>115000</v>
      </c>
      <c r="H1157">
        <v>115000</v>
      </c>
      <c r="I1157">
        <v>280000</v>
      </c>
      <c r="J1157" t="s">
        <v>108</v>
      </c>
      <c r="K1157" t="s">
        <v>109</v>
      </c>
      <c r="L1157" t="s">
        <v>44</v>
      </c>
      <c r="M1157" t="s">
        <v>61</v>
      </c>
      <c r="N1157" t="s">
        <v>155</v>
      </c>
      <c r="O1157" t="s">
        <v>2442</v>
      </c>
      <c r="P1157">
        <v>15.1</v>
      </c>
      <c r="Q1157">
        <v>88</v>
      </c>
      <c r="R1157">
        <v>12.6</v>
      </c>
      <c r="S1157">
        <v>6.6</v>
      </c>
      <c r="T1157">
        <v>2026</v>
      </c>
      <c r="U1157">
        <v>1</v>
      </c>
      <c r="V1157">
        <v>1</v>
      </c>
      <c r="W1157" t="s">
        <v>47</v>
      </c>
      <c r="X1157" t="s">
        <v>64</v>
      </c>
      <c r="Y1157" t="s">
        <v>95</v>
      </c>
    </row>
    <row r="1158" spans="1:25" x14ac:dyDescent="0.35">
      <c r="A1158" t="s">
        <v>2443</v>
      </c>
      <c r="B1158" t="s">
        <v>609</v>
      </c>
      <c r="C1158" t="s">
        <v>124</v>
      </c>
      <c r="D1158" t="s">
        <v>68</v>
      </c>
      <c r="E1158">
        <v>9</v>
      </c>
      <c r="F1158" t="s">
        <v>128</v>
      </c>
      <c r="G1158">
        <v>186000</v>
      </c>
      <c r="H1158">
        <v>115000</v>
      </c>
      <c r="I1158">
        <v>280000</v>
      </c>
      <c r="J1158" t="s">
        <v>129</v>
      </c>
      <c r="K1158" t="s">
        <v>130</v>
      </c>
      <c r="L1158" t="s">
        <v>53</v>
      </c>
      <c r="M1158" t="s">
        <v>33</v>
      </c>
      <c r="N1158" t="s">
        <v>110</v>
      </c>
      <c r="O1158" t="s">
        <v>2444</v>
      </c>
      <c r="P1158">
        <v>16.5</v>
      </c>
      <c r="Q1158">
        <v>88</v>
      </c>
      <c r="R1158">
        <v>22.7</v>
      </c>
      <c r="S1158">
        <v>7.5</v>
      </c>
      <c r="T1158">
        <v>2026</v>
      </c>
      <c r="U1158">
        <v>2</v>
      </c>
      <c r="V1158">
        <v>1</v>
      </c>
      <c r="W1158" t="s">
        <v>47</v>
      </c>
      <c r="X1158" t="s">
        <v>64</v>
      </c>
      <c r="Y1158" t="s">
        <v>48</v>
      </c>
    </row>
    <row r="1159" spans="1:25" x14ac:dyDescent="0.35">
      <c r="A1159" t="s">
        <v>2445</v>
      </c>
      <c r="B1159" t="s">
        <v>134</v>
      </c>
      <c r="C1159" t="s">
        <v>27</v>
      </c>
      <c r="D1159" t="s">
        <v>28</v>
      </c>
      <c r="E1159">
        <v>5</v>
      </c>
      <c r="F1159" t="s">
        <v>41</v>
      </c>
      <c r="G1159">
        <v>150000</v>
      </c>
      <c r="H1159">
        <v>150000</v>
      </c>
      <c r="I1159">
        <v>295000</v>
      </c>
      <c r="J1159" t="s">
        <v>92</v>
      </c>
      <c r="K1159" t="s">
        <v>93</v>
      </c>
      <c r="L1159" t="s">
        <v>53</v>
      </c>
      <c r="M1159" t="s">
        <v>82</v>
      </c>
      <c r="N1159" t="s">
        <v>62</v>
      </c>
      <c r="O1159" t="s">
        <v>2446</v>
      </c>
      <c r="P1159">
        <v>17</v>
      </c>
      <c r="Q1159">
        <v>95</v>
      </c>
      <c r="R1159">
        <v>20.6</v>
      </c>
      <c r="S1159">
        <v>8.5</v>
      </c>
      <c r="T1159">
        <v>2026</v>
      </c>
      <c r="U1159">
        <v>3</v>
      </c>
      <c r="V1159">
        <v>1</v>
      </c>
      <c r="W1159" t="s">
        <v>47</v>
      </c>
      <c r="X1159" t="s">
        <v>37</v>
      </c>
      <c r="Y1159" t="s">
        <v>95</v>
      </c>
    </row>
    <row r="1160" spans="1:25" x14ac:dyDescent="0.35">
      <c r="A1160" t="s">
        <v>2447</v>
      </c>
      <c r="B1160" t="s">
        <v>86</v>
      </c>
      <c r="C1160" t="s">
        <v>27</v>
      </c>
      <c r="D1160" t="s">
        <v>81</v>
      </c>
      <c r="E1160">
        <v>12</v>
      </c>
      <c r="F1160" t="s">
        <v>128</v>
      </c>
      <c r="G1160">
        <v>191000</v>
      </c>
      <c r="H1160">
        <v>180000</v>
      </c>
      <c r="I1160">
        <v>312000</v>
      </c>
      <c r="J1160" t="s">
        <v>129</v>
      </c>
      <c r="K1160" t="s">
        <v>130</v>
      </c>
      <c r="L1160" t="s">
        <v>53</v>
      </c>
      <c r="M1160" t="s">
        <v>33</v>
      </c>
      <c r="N1160" t="s">
        <v>124</v>
      </c>
      <c r="O1160" t="s">
        <v>2448</v>
      </c>
      <c r="P1160">
        <v>13.9</v>
      </c>
      <c r="Q1160">
        <v>96</v>
      </c>
      <c r="R1160">
        <v>67.5</v>
      </c>
      <c r="S1160">
        <v>6.5</v>
      </c>
      <c r="T1160">
        <v>2026</v>
      </c>
      <c r="U1160">
        <v>3</v>
      </c>
      <c r="V1160">
        <v>0</v>
      </c>
      <c r="W1160" t="s">
        <v>47</v>
      </c>
      <c r="X1160" t="s">
        <v>64</v>
      </c>
      <c r="Y1160" t="s">
        <v>48</v>
      </c>
    </row>
    <row r="1161" spans="1:25" x14ac:dyDescent="0.35">
      <c r="A1161" t="s">
        <v>2449</v>
      </c>
      <c r="B1161" t="s">
        <v>26</v>
      </c>
      <c r="C1161" t="s">
        <v>27</v>
      </c>
      <c r="D1161" t="s">
        <v>74</v>
      </c>
      <c r="E1161">
        <v>7</v>
      </c>
      <c r="F1161" t="s">
        <v>29</v>
      </c>
      <c r="G1161">
        <v>155000</v>
      </c>
      <c r="H1161">
        <v>155000</v>
      </c>
      <c r="I1161">
        <v>290000</v>
      </c>
      <c r="J1161" t="s">
        <v>42</v>
      </c>
      <c r="K1161" t="s">
        <v>43</v>
      </c>
      <c r="L1161" t="s">
        <v>44</v>
      </c>
      <c r="M1161" t="s">
        <v>61</v>
      </c>
      <c r="N1161" t="s">
        <v>71</v>
      </c>
      <c r="O1161" t="s">
        <v>2450</v>
      </c>
      <c r="P1161">
        <v>12.5</v>
      </c>
      <c r="Q1161">
        <v>96</v>
      </c>
      <c r="R1161">
        <v>24</v>
      </c>
      <c r="S1161">
        <v>8.8000000000000007</v>
      </c>
      <c r="T1161">
        <v>2026</v>
      </c>
      <c r="U1161">
        <v>2</v>
      </c>
      <c r="V1161">
        <v>0</v>
      </c>
      <c r="W1161" t="s">
        <v>47</v>
      </c>
      <c r="X1161" t="s">
        <v>37</v>
      </c>
      <c r="Y1161" t="s">
        <v>48</v>
      </c>
    </row>
    <row r="1162" spans="1:25" x14ac:dyDescent="0.35">
      <c r="A1162" t="s">
        <v>2451</v>
      </c>
      <c r="B1162" t="s">
        <v>40</v>
      </c>
      <c r="C1162" t="s">
        <v>27</v>
      </c>
      <c r="D1162" t="s">
        <v>81</v>
      </c>
      <c r="E1162">
        <v>2</v>
      </c>
      <c r="F1162" t="s">
        <v>128</v>
      </c>
      <c r="G1162">
        <v>159000</v>
      </c>
      <c r="H1162">
        <v>90000</v>
      </c>
      <c r="I1162">
        <v>200000</v>
      </c>
      <c r="J1162" t="s">
        <v>52</v>
      </c>
      <c r="K1162" t="s">
        <v>31</v>
      </c>
      <c r="L1162" t="s">
        <v>53</v>
      </c>
      <c r="M1162" t="s">
        <v>33</v>
      </c>
      <c r="N1162" t="s">
        <v>34</v>
      </c>
      <c r="O1162" t="s">
        <v>2452</v>
      </c>
      <c r="P1162">
        <v>4.5</v>
      </c>
      <c r="Q1162">
        <v>82</v>
      </c>
      <c r="R1162">
        <v>15.9</v>
      </c>
      <c r="S1162">
        <v>7.6</v>
      </c>
      <c r="T1162">
        <v>2025</v>
      </c>
      <c r="U1162">
        <v>7</v>
      </c>
      <c r="V1162">
        <v>0</v>
      </c>
      <c r="W1162" t="s">
        <v>47</v>
      </c>
      <c r="X1162" t="s">
        <v>37</v>
      </c>
      <c r="Y1162" t="s">
        <v>48</v>
      </c>
    </row>
    <row r="1163" spans="1:25" x14ac:dyDescent="0.35">
      <c r="A1163" t="s">
        <v>2453</v>
      </c>
      <c r="B1163" t="s">
        <v>179</v>
      </c>
      <c r="C1163" t="s">
        <v>180</v>
      </c>
      <c r="D1163" t="s">
        <v>74</v>
      </c>
      <c r="E1163">
        <v>11</v>
      </c>
      <c r="F1163" t="s">
        <v>41</v>
      </c>
      <c r="G1163">
        <v>131000</v>
      </c>
      <c r="H1163">
        <v>110000</v>
      </c>
      <c r="I1163">
        <v>210000</v>
      </c>
      <c r="J1163" t="s">
        <v>60</v>
      </c>
      <c r="K1163" t="s">
        <v>60</v>
      </c>
      <c r="L1163" t="s">
        <v>32</v>
      </c>
      <c r="M1163" t="s">
        <v>54</v>
      </c>
      <c r="N1163" t="s">
        <v>110</v>
      </c>
      <c r="O1163" t="s">
        <v>2454</v>
      </c>
      <c r="P1163">
        <v>9.6</v>
      </c>
      <c r="Q1163">
        <v>72</v>
      </c>
      <c r="R1163">
        <v>11.1</v>
      </c>
      <c r="S1163">
        <v>9.3000000000000007</v>
      </c>
      <c r="T1163">
        <v>2025</v>
      </c>
      <c r="U1163">
        <v>5</v>
      </c>
      <c r="V1163">
        <v>0</v>
      </c>
      <c r="W1163" t="s">
        <v>36</v>
      </c>
      <c r="X1163" t="s">
        <v>64</v>
      </c>
      <c r="Y1163" t="s">
        <v>95</v>
      </c>
    </row>
    <row r="1164" spans="1:25" x14ac:dyDescent="0.35">
      <c r="A1164" t="s">
        <v>2455</v>
      </c>
      <c r="B1164" t="s">
        <v>50</v>
      </c>
      <c r="C1164" t="s">
        <v>27</v>
      </c>
      <c r="D1164" t="s">
        <v>28</v>
      </c>
      <c r="E1164">
        <v>5</v>
      </c>
      <c r="F1164" t="s">
        <v>29</v>
      </c>
      <c r="G1164">
        <v>301000</v>
      </c>
      <c r="H1164">
        <v>160000</v>
      </c>
      <c r="I1164">
        <v>300000</v>
      </c>
      <c r="J1164" t="s">
        <v>60</v>
      </c>
      <c r="K1164" t="s">
        <v>60</v>
      </c>
      <c r="L1164" t="s">
        <v>44</v>
      </c>
      <c r="M1164" t="s">
        <v>45</v>
      </c>
      <c r="N1164" t="s">
        <v>131</v>
      </c>
      <c r="O1164" t="s">
        <v>2456</v>
      </c>
      <c r="P1164">
        <v>3.5</v>
      </c>
      <c r="Q1164">
        <v>98</v>
      </c>
      <c r="R1164">
        <v>57.7</v>
      </c>
      <c r="S1164">
        <v>8.9</v>
      </c>
      <c r="T1164">
        <v>2026</v>
      </c>
      <c r="U1164">
        <v>3</v>
      </c>
      <c r="V1164">
        <v>1</v>
      </c>
      <c r="W1164" t="s">
        <v>47</v>
      </c>
      <c r="X1164" t="s">
        <v>37</v>
      </c>
      <c r="Y1164" t="s">
        <v>56</v>
      </c>
    </row>
    <row r="1165" spans="1:25" x14ac:dyDescent="0.35">
      <c r="A1165" t="s">
        <v>2457</v>
      </c>
      <c r="B1165" t="s">
        <v>50</v>
      </c>
      <c r="C1165" t="s">
        <v>27</v>
      </c>
      <c r="D1165" t="s">
        <v>28</v>
      </c>
      <c r="E1165">
        <v>7</v>
      </c>
      <c r="F1165" t="s">
        <v>51</v>
      </c>
      <c r="G1165">
        <v>160000</v>
      </c>
      <c r="H1165">
        <v>160000</v>
      </c>
      <c r="I1165">
        <v>300000</v>
      </c>
      <c r="J1165" t="s">
        <v>108</v>
      </c>
      <c r="K1165" t="s">
        <v>109</v>
      </c>
      <c r="L1165" t="s">
        <v>32</v>
      </c>
      <c r="M1165" t="s">
        <v>82</v>
      </c>
      <c r="N1165" t="s">
        <v>165</v>
      </c>
      <c r="O1165" t="s">
        <v>2458</v>
      </c>
      <c r="P1165">
        <v>4.5</v>
      </c>
      <c r="Q1165">
        <v>98</v>
      </c>
      <c r="R1165">
        <v>77.7</v>
      </c>
      <c r="S1165">
        <v>9</v>
      </c>
      <c r="T1165">
        <v>2026</v>
      </c>
      <c r="U1165">
        <v>2</v>
      </c>
      <c r="V1165">
        <v>1</v>
      </c>
      <c r="W1165" t="s">
        <v>36</v>
      </c>
      <c r="X1165" t="s">
        <v>37</v>
      </c>
      <c r="Y1165" t="s">
        <v>48</v>
      </c>
    </row>
    <row r="1166" spans="1:25" x14ac:dyDescent="0.35">
      <c r="A1166" t="s">
        <v>2459</v>
      </c>
      <c r="B1166" t="s">
        <v>196</v>
      </c>
      <c r="C1166" t="s">
        <v>27</v>
      </c>
      <c r="D1166" t="s">
        <v>28</v>
      </c>
      <c r="E1166">
        <v>3</v>
      </c>
      <c r="F1166" t="s">
        <v>41</v>
      </c>
      <c r="G1166">
        <v>200000</v>
      </c>
      <c r="H1166">
        <v>100000</v>
      </c>
      <c r="I1166">
        <v>250000</v>
      </c>
      <c r="J1166" t="s">
        <v>75</v>
      </c>
      <c r="K1166" t="s">
        <v>31</v>
      </c>
      <c r="L1166" t="s">
        <v>53</v>
      </c>
      <c r="M1166" t="s">
        <v>82</v>
      </c>
      <c r="N1166" t="s">
        <v>155</v>
      </c>
      <c r="O1166" t="s">
        <v>2460</v>
      </c>
      <c r="P1166">
        <v>10.3</v>
      </c>
      <c r="Q1166">
        <v>95</v>
      </c>
      <c r="R1166">
        <v>15.1</v>
      </c>
      <c r="S1166">
        <v>7.8</v>
      </c>
      <c r="T1166">
        <v>2025</v>
      </c>
      <c r="U1166">
        <v>4</v>
      </c>
      <c r="V1166">
        <v>1</v>
      </c>
      <c r="W1166" t="s">
        <v>47</v>
      </c>
      <c r="X1166" t="s">
        <v>64</v>
      </c>
      <c r="Y1166" t="s">
        <v>48</v>
      </c>
    </row>
    <row r="1167" spans="1:25" x14ac:dyDescent="0.35">
      <c r="A1167" t="s">
        <v>2461</v>
      </c>
      <c r="B1167" t="s">
        <v>86</v>
      </c>
      <c r="C1167" t="s">
        <v>27</v>
      </c>
      <c r="D1167" t="s">
        <v>28</v>
      </c>
      <c r="E1167">
        <v>6</v>
      </c>
      <c r="F1167" t="s">
        <v>69</v>
      </c>
      <c r="G1167">
        <v>213000</v>
      </c>
      <c r="H1167">
        <v>180000</v>
      </c>
      <c r="I1167">
        <v>312000</v>
      </c>
      <c r="J1167" t="s">
        <v>142</v>
      </c>
      <c r="K1167" t="s">
        <v>143</v>
      </c>
      <c r="L1167" t="s">
        <v>32</v>
      </c>
      <c r="M1167" t="s">
        <v>82</v>
      </c>
      <c r="N1167" t="s">
        <v>34</v>
      </c>
      <c r="O1167" t="s">
        <v>2462</v>
      </c>
      <c r="P1167">
        <v>15</v>
      </c>
      <c r="Q1167">
        <v>96</v>
      </c>
      <c r="R1167">
        <v>58</v>
      </c>
      <c r="S1167">
        <v>8</v>
      </c>
      <c r="T1167">
        <v>2026</v>
      </c>
      <c r="U1167">
        <v>2</v>
      </c>
      <c r="V1167">
        <v>1</v>
      </c>
      <c r="W1167" t="s">
        <v>36</v>
      </c>
      <c r="X1167" t="s">
        <v>64</v>
      </c>
      <c r="Y1167" t="s">
        <v>38</v>
      </c>
    </row>
    <row r="1168" spans="1:25" x14ac:dyDescent="0.35">
      <c r="A1168" t="s">
        <v>2463</v>
      </c>
      <c r="B1168" t="s">
        <v>141</v>
      </c>
      <c r="C1168" t="s">
        <v>27</v>
      </c>
      <c r="D1168" t="s">
        <v>74</v>
      </c>
      <c r="E1168">
        <v>8</v>
      </c>
      <c r="F1168" t="s">
        <v>128</v>
      </c>
      <c r="G1168">
        <v>153000</v>
      </c>
      <c r="H1168">
        <v>141000</v>
      </c>
      <c r="I1168">
        <v>270000</v>
      </c>
      <c r="J1168" t="s">
        <v>52</v>
      </c>
      <c r="K1168" t="s">
        <v>31</v>
      </c>
      <c r="L1168" t="s">
        <v>32</v>
      </c>
      <c r="M1168" t="s">
        <v>61</v>
      </c>
      <c r="N1168" t="s">
        <v>71</v>
      </c>
      <c r="O1168" t="s">
        <v>2464</v>
      </c>
      <c r="P1168">
        <v>6.7</v>
      </c>
      <c r="Q1168">
        <v>89</v>
      </c>
      <c r="R1168">
        <v>14.3</v>
      </c>
      <c r="S1168">
        <v>6.2</v>
      </c>
      <c r="T1168">
        <v>2025</v>
      </c>
      <c r="U1168">
        <v>12</v>
      </c>
      <c r="V1168">
        <v>0</v>
      </c>
      <c r="W1168" t="s">
        <v>36</v>
      </c>
      <c r="X1168" t="s">
        <v>64</v>
      </c>
      <c r="Y1168" t="s">
        <v>48</v>
      </c>
    </row>
    <row r="1169" spans="1:25" x14ac:dyDescent="0.35">
      <c r="A1169" t="s">
        <v>2465</v>
      </c>
      <c r="B1169" t="s">
        <v>163</v>
      </c>
      <c r="C1169" t="s">
        <v>164</v>
      </c>
      <c r="D1169" t="s">
        <v>74</v>
      </c>
      <c r="E1169">
        <v>4</v>
      </c>
      <c r="F1169" t="s">
        <v>128</v>
      </c>
      <c r="G1169">
        <v>130000</v>
      </c>
      <c r="H1169">
        <v>125000</v>
      </c>
      <c r="I1169">
        <v>240000</v>
      </c>
      <c r="J1169" t="s">
        <v>47</v>
      </c>
      <c r="K1169" t="s">
        <v>87</v>
      </c>
      <c r="L1169" t="s">
        <v>44</v>
      </c>
      <c r="M1169" t="s">
        <v>61</v>
      </c>
      <c r="N1169" t="s">
        <v>131</v>
      </c>
      <c r="O1169" t="s">
        <v>2466</v>
      </c>
      <c r="P1169">
        <v>17.5</v>
      </c>
      <c r="Q1169">
        <v>76</v>
      </c>
      <c r="R1169">
        <v>5.4</v>
      </c>
      <c r="S1169">
        <v>9</v>
      </c>
      <c r="T1169">
        <v>2025</v>
      </c>
      <c r="U1169">
        <v>8</v>
      </c>
      <c r="V1169">
        <v>0</v>
      </c>
      <c r="W1169" t="s">
        <v>47</v>
      </c>
      <c r="X1169" t="s">
        <v>64</v>
      </c>
      <c r="Y1169" t="s">
        <v>95</v>
      </c>
    </row>
    <row r="1170" spans="1:25" x14ac:dyDescent="0.35">
      <c r="A1170" t="s">
        <v>2467</v>
      </c>
      <c r="B1170" t="s">
        <v>203</v>
      </c>
      <c r="C1170" t="s">
        <v>169</v>
      </c>
      <c r="D1170" t="s">
        <v>68</v>
      </c>
      <c r="E1170">
        <v>4</v>
      </c>
      <c r="F1170" t="s">
        <v>51</v>
      </c>
      <c r="G1170">
        <v>234000</v>
      </c>
      <c r="H1170">
        <v>138000</v>
      </c>
      <c r="I1170">
        <v>195000</v>
      </c>
      <c r="J1170" t="s">
        <v>296</v>
      </c>
      <c r="K1170" t="s">
        <v>31</v>
      </c>
      <c r="L1170" t="s">
        <v>53</v>
      </c>
      <c r="M1170" t="s">
        <v>54</v>
      </c>
      <c r="N1170" t="s">
        <v>76</v>
      </c>
      <c r="O1170" t="s">
        <v>2468</v>
      </c>
      <c r="P1170">
        <v>7.6</v>
      </c>
      <c r="Q1170">
        <v>92</v>
      </c>
      <c r="R1170">
        <v>32.799999999999997</v>
      </c>
      <c r="S1170">
        <v>9.1</v>
      </c>
      <c r="T1170">
        <v>2025</v>
      </c>
      <c r="U1170">
        <v>5</v>
      </c>
      <c r="V1170">
        <v>1</v>
      </c>
      <c r="W1170" t="s">
        <v>47</v>
      </c>
      <c r="X1170" t="s">
        <v>64</v>
      </c>
      <c r="Y1170" t="s">
        <v>38</v>
      </c>
    </row>
    <row r="1171" spans="1:25" x14ac:dyDescent="0.35">
      <c r="A1171" t="s">
        <v>2469</v>
      </c>
      <c r="B1171" t="s">
        <v>609</v>
      </c>
      <c r="C1171" t="s">
        <v>124</v>
      </c>
      <c r="D1171" t="s">
        <v>68</v>
      </c>
      <c r="E1171">
        <v>7</v>
      </c>
      <c r="F1171" t="s">
        <v>41</v>
      </c>
      <c r="G1171">
        <v>220000</v>
      </c>
      <c r="H1171">
        <v>115000</v>
      </c>
      <c r="I1171">
        <v>280000</v>
      </c>
      <c r="J1171" t="s">
        <v>70</v>
      </c>
      <c r="K1171" t="s">
        <v>31</v>
      </c>
      <c r="L1171" t="s">
        <v>44</v>
      </c>
      <c r="M1171" t="s">
        <v>33</v>
      </c>
      <c r="N1171" t="s">
        <v>119</v>
      </c>
      <c r="O1171" t="s">
        <v>2470</v>
      </c>
      <c r="P1171">
        <v>16.3</v>
      </c>
      <c r="Q1171">
        <v>88</v>
      </c>
      <c r="R1171">
        <v>9.1999999999999993</v>
      </c>
      <c r="S1171">
        <v>8.8000000000000007</v>
      </c>
      <c r="T1171">
        <v>2025</v>
      </c>
      <c r="U1171">
        <v>3</v>
      </c>
      <c r="V1171">
        <v>1</v>
      </c>
      <c r="W1171" t="s">
        <v>47</v>
      </c>
      <c r="X1171" t="s">
        <v>64</v>
      </c>
      <c r="Y1171" t="s">
        <v>38</v>
      </c>
    </row>
    <row r="1172" spans="1:25" x14ac:dyDescent="0.35">
      <c r="A1172" t="s">
        <v>2471</v>
      </c>
      <c r="B1172" t="s">
        <v>196</v>
      </c>
      <c r="C1172" t="s">
        <v>27</v>
      </c>
      <c r="D1172" t="s">
        <v>68</v>
      </c>
      <c r="E1172">
        <v>2</v>
      </c>
      <c r="F1172" t="s">
        <v>41</v>
      </c>
      <c r="G1172">
        <v>195000</v>
      </c>
      <c r="H1172">
        <v>100000</v>
      </c>
      <c r="I1172">
        <v>250000</v>
      </c>
      <c r="J1172" t="s">
        <v>137</v>
      </c>
      <c r="K1172" t="s">
        <v>138</v>
      </c>
      <c r="L1172" t="s">
        <v>53</v>
      </c>
      <c r="M1172" t="s">
        <v>45</v>
      </c>
      <c r="N1172" t="s">
        <v>71</v>
      </c>
      <c r="O1172" t="s">
        <v>2472</v>
      </c>
      <c r="P1172">
        <v>13.2</v>
      </c>
      <c r="Q1172">
        <v>95</v>
      </c>
      <c r="R1172">
        <v>24.4</v>
      </c>
      <c r="S1172">
        <v>9.1999999999999993</v>
      </c>
      <c r="T1172">
        <v>2025</v>
      </c>
      <c r="U1172">
        <v>1</v>
      </c>
      <c r="V1172">
        <v>1</v>
      </c>
      <c r="W1172" t="s">
        <v>47</v>
      </c>
      <c r="X1172" t="s">
        <v>64</v>
      </c>
      <c r="Y1172" t="s">
        <v>48</v>
      </c>
    </row>
    <row r="1173" spans="1:25" x14ac:dyDescent="0.35">
      <c r="A1173" t="s">
        <v>2473</v>
      </c>
      <c r="B1173" t="s">
        <v>66</v>
      </c>
      <c r="C1173" t="s">
        <v>67</v>
      </c>
      <c r="D1173" t="s">
        <v>81</v>
      </c>
      <c r="E1173">
        <v>4</v>
      </c>
      <c r="F1173" t="s">
        <v>29</v>
      </c>
      <c r="G1173">
        <v>226000</v>
      </c>
      <c r="H1173">
        <v>140000</v>
      </c>
      <c r="I1173">
        <v>260000</v>
      </c>
      <c r="J1173" t="s">
        <v>42</v>
      </c>
      <c r="K1173" t="s">
        <v>43</v>
      </c>
      <c r="L1173" t="s">
        <v>53</v>
      </c>
      <c r="M1173" t="s">
        <v>54</v>
      </c>
      <c r="N1173" t="s">
        <v>62</v>
      </c>
      <c r="O1173" t="s">
        <v>2474</v>
      </c>
      <c r="P1173">
        <v>9.1</v>
      </c>
      <c r="Q1173">
        <v>85</v>
      </c>
      <c r="R1173">
        <v>10.199999999999999</v>
      </c>
      <c r="S1173">
        <v>8</v>
      </c>
      <c r="T1173">
        <v>2025</v>
      </c>
      <c r="U1173">
        <v>10</v>
      </c>
      <c r="V1173">
        <v>0</v>
      </c>
      <c r="W1173" t="s">
        <v>47</v>
      </c>
      <c r="X1173" t="s">
        <v>64</v>
      </c>
      <c r="Y1173" t="s">
        <v>38</v>
      </c>
    </row>
    <row r="1174" spans="1:25" x14ac:dyDescent="0.35">
      <c r="A1174" t="s">
        <v>2475</v>
      </c>
      <c r="B1174" t="s">
        <v>203</v>
      </c>
      <c r="C1174" t="s">
        <v>169</v>
      </c>
      <c r="D1174" t="s">
        <v>81</v>
      </c>
      <c r="E1174">
        <v>5</v>
      </c>
      <c r="F1174" t="s">
        <v>128</v>
      </c>
      <c r="G1174">
        <v>164000</v>
      </c>
      <c r="H1174">
        <v>138000</v>
      </c>
      <c r="I1174">
        <v>195000</v>
      </c>
      <c r="J1174" t="s">
        <v>70</v>
      </c>
      <c r="K1174" t="s">
        <v>31</v>
      </c>
      <c r="L1174" t="s">
        <v>44</v>
      </c>
      <c r="M1174" t="s">
        <v>61</v>
      </c>
      <c r="N1174" t="s">
        <v>76</v>
      </c>
      <c r="O1174" t="s">
        <v>2476</v>
      </c>
      <c r="P1174">
        <v>5.3</v>
      </c>
      <c r="Q1174">
        <v>92</v>
      </c>
      <c r="R1174">
        <v>30.8</v>
      </c>
      <c r="S1174">
        <v>6.7</v>
      </c>
      <c r="T1174">
        <v>2025</v>
      </c>
      <c r="U1174">
        <v>5</v>
      </c>
      <c r="V1174">
        <v>0</v>
      </c>
      <c r="W1174" t="s">
        <v>47</v>
      </c>
      <c r="X1174" t="s">
        <v>64</v>
      </c>
      <c r="Y1174" t="s">
        <v>48</v>
      </c>
    </row>
    <row r="1175" spans="1:25" x14ac:dyDescent="0.35">
      <c r="A1175" t="s">
        <v>2477</v>
      </c>
      <c r="B1175" t="s">
        <v>158</v>
      </c>
      <c r="C1175" t="s">
        <v>27</v>
      </c>
      <c r="D1175" t="s">
        <v>74</v>
      </c>
      <c r="E1175">
        <v>6</v>
      </c>
      <c r="F1175" t="s">
        <v>29</v>
      </c>
      <c r="G1175">
        <v>156000</v>
      </c>
      <c r="H1175">
        <v>145000</v>
      </c>
      <c r="I1175">
        <v>280000</v>
      </c>
      <c r="J1175" t="s">
        <v>170</v>
      </c>
      <c r="K1175" t="s">
        <v>171</v>
      </c>
      <c r="L1175" t="s">
        <v>44</v>
      </c>
      <c r="M1175" t="s">
        <v>45</v>
      </c>
      <c r="N1175" t="s">
        <v>88</v>
      </c>
      <c r="O1175" t="s">
        <v>2478</v>
      </c>
      <c r="P1175">
        <v>6.3</v>
      </c>
      <c r="Q1175">
        <v>94</v>
      </c>
      <c r="R1175">
        <v>81.099999999999994</v>
      </c>
      <c r="S1175">
        <v>9.1</v>
      </c>
      <c r="T1175">
        <v>2025</v>
      </c>
      <c r="U1175">
        <v>10</v>
      </c>
      <c r="V1175">
        <v>0</v>
      </c>
      <c r="W1175" t="s">
        <v>47</v>
      </c>
      <c r="X1175" t="s">
        <v>37</v>
      </c>
      <c r="Y1175" t="s">
        <v>48</v>
      </c>
    </row>
    <row r="1176" spans="1:25" x14ac:dyDescent="0.35">
      <c r="A1176" t="s">
        <v>2479</v>
      </c>
      <c r="B1176" t="s">
        <v>163</v>
      </c>
      <c r="C1176" t="s">
        <v>164</v>
      </c>
      <c r="D1176" t="s">
        <v>68</v>
      </c>
      <c r="E1176">
        <v>4</v>
      </c>
      <c r="F1176" t="s">
        <v>29</v>
      </c>
      <c r="G1176">
        <v>212000</v>
      </c>
      <c r="H1176">
        <v>125000</v>
      </c>
      <c r="I1176">
        <v>240000</v>
      </c>
      <c r="J1176" t="s">
        <v>60</v>
      </c>
      <c r="K1176" t="s">
        <v>60</v>
      </c>
      <c r="L1176" t="s">
        <v>44</v>
      </c>
      <c r="M1176" t="s">
        <v>61</v>
      </c>
      <c r="N1176" t="s">
        <v>110</v>
      </c>
      <c r="O1176" t="s">
        <v>2480</v>
      </c>
      <c r="P1176">
        <v>17</v>
      </c>
      <c r="Q1176">
        <v>76</v>
      </c>
      <c r="R1176">
        <v>29</v>
      </c>
      <c r="S1176">
        <v>7.4</v>
      </c>
      <c r="T1176">
        <v>2025</v>
      </c>
      <c r="U1176">
        <v>11</v>
      </c>
      <c r="V1176">
        <v>1</v>
      </c>
      <c r="W1176" t="s">
        <v>47</v>
      </c>
      <c r="X1176" t="s">
        <v>64</v>
      </c>
      <c r="Y1176" t="s">
        <v>38</v>
      </c>
    </row>
    <row r="1177" spans="1:25" x14ac:dyDescent="0.35">
      <c r="A1177" t="s">
        <v>2481</v>
      </c>
      <c r="B1177" t="s">
        <v>79</v>
      </c>
      <c r="C1177" t="s">
        <v>80</v>
      </c>
      <c r="D1177" t="s">
        <v>68</v>
      </c>
      <c r="E1177">
        <v>7</v>
      </c>
      <c r="F1177" t="s">
        <v>69</v>
      </c>
      <c r="G1177">
        <v>312000</v>
      </c>
      <c r="H1177">
        <v>140000</v>
      </c>
      <c r="I1177">
        <v>260000</v>
      </c>
      <c r="J1177" t="s">
        <v>296</v>
      </c>
      <c r="K1177" t="s">
        <v>31</v>
      </c>
      <c r="L1177" t="s">
        <v>53</v>
      </c>
      <c r="M1177" t="s">
        <v>54</v>
      </c>
      <c r="N1177" t="s">
        <v>88</v>
      </c>
      <c r="O1177" t="s">
        <v>2482</v>
      </c>
      <c r="P1177">
        <v>17.5</v>
      </c>
      <c r="Q1177">
        <v>80</v>
      </c>
      <c r="R1177">
        <v>28.1</v>
      </c>
      <c r="S1177">
        <v>7.5</v>
      </c>
      <c r="T1177">
        <v>2026</v>
      </c>
      <c r="U1177">
        <v>3</v>
      </c>
      <c r="V1177">
        <v>1</v>
      </c>
      <c r="W1177" t="s">
        <v>47</v>
      </c>
      <c r="X1177" t="s">
        <v>64</v>
      </c>
      <c r="Y1177" t="s">
        <v>56</v>
      </c>
    </row>
    <row r="1178" spans="1:25" x14ac:dyDescent="0.35">
      <c r="A1178" t="s">
        <v>2483</v>
      </c>
      <c r="B1178" t="s">
        <v>91</v>
      </c>
      <c r="C1178" t="s">
        <v>27</v>
      </c>
      <c r="D1178" t="s">
        <v>68</v>
      </c>
      <c r="E1178">
        <v>8</v>
      </c>
      <c r="F1178" t="s">
        <v>29</v>
      </c>
      <c r="G1178">
        <v>255000</v>
      </c>
      <c r="H1178">
        <v>145000</v>
      </c>
      <c r="I1178">
        <v>290000</v>
      </c>
      <c r="J1178" t="s">
        <v>113</v>
      </c>
      <c r="K1178" t="s">
        <v>114</v>
      </c>
      <c r="L1178" t="s">
        <v>32</v>
      </c>
      <c r="M1178" t="s">
        <v>61</v>
      </c>
      <c r="N1178" t="s">
        <v>110</v>
      </c>
      <c r="O1178" t="s">
        <v>2484</v>
      </c>
      <c r="P1178">
        <v>6.3</v>
      </c>
      <c r="Q1178">
        <v>91</v>
      </c>
      <c r="R1178">
        <v>26.4</v>
      </c>
      <c r="S1178">
        <v>7.7</v>
      </c>
      <c r="T1178">
        <v>2026</v>
      </c>
      <c r="U1178">
        <v>2</v>
      </c>
      <c r="V1178">
        <v>1</v>
      </c>
      <c r="W1178" t="s">
        <v>36</v>
      </c>
      <c r="X1178" t="s">
        <v>64</v>
      </c>
      <c r="Y1178" t="s">
        <v>38</v>
      </c>
    </row>
    <row r="1179" spans="1:25" x14ac:dyDescent="0.35">
      <c r="A1179" t="s">
        <v>2485</v>
      </c>
      <c r="B1179" t="s">
        <v>141</v>
      </c>
      <c r="C1179" t="s">
        <v>27</v>
      </c>
      <c r="D1179" t="s">
        <v>28</v>
      </c>
      <c r="E1179">
        <v>7</v>
      </c>
      <c r="F1179" t="s">
        <v>128</v>
      </c>
      <c r="G1179">
        <v>184000</v>
      </c>
      <c r="H1179">
        <v>141000</v>
      </c>
      <c r="I1179">
        <v>270000</v>
      </c>
      <c r="J1179" t="s">
        <v>102</v>
      </c>
      <c r="K1179" t="s">
        <v>103</v>
      </c>
      <c r="L1179" t="s">
        <v>44</v>
      </c>
      <c r="M1179" t="s">
        <v>61</v>
      </c>
      <c r="N1179" t="s">
        <v>124</v>
      </c>
      <c r="O1179" t="s">
        <v>2486</v>
      </c>
      <c r="P1179">
        <v>5.0999999999999996</v>
      </c>
      <c r="Q1179">
        <v>89</v>
      </c>
      <c r="R1179">
        <v>16.8</v>
      </c>
      <c r="S1179">
        <v>8.4</v>
      </c>
      <c r="T1179">
        <v>2026</v>
      </c>
      <c r="U1179">
        <v>3</v>
      </c>
      <c r="V1179">
        <v>1</v>
      </c>
      <c r="W1179" t="s">
        <v>47</v>
      </c>
      <c r="X1179" t="s">
        <v>64</v>
      </c>
      <c r="Y1179" t="s">
        <v>48</v>
      </c>
    </row>
    <row r="1180" spans="1:25" x14ac:dyDescent="0.35">
      <c r="A1180" t="s">
        <v>2487</v>
      </c>
      <c r="B1180" t="s">
        <v>146</v>
      </c>
      <c r="C1180" t="s">
        <v>27</v>
      </c>
      <c r="D1180" t="s">
        <v>74</v>
      </c>
      <c r="E1180">
        <v>8</v>
      </c>
      <c r="F1180" t="s">
        <v>128</v>
      </c>
      <c r="G1180">
        <v>259000</v>
      </c>
      <c r="H1180">
        <v>160000</v>
      </c>
      <c r="I1180">
        <v>300000</v>
      </c>
      <c r="J1180" t="s">
        <v>52</v>
      </c>
      <c r="K1180" t="s">
        <v>31</v>
      </c>
      <c r="L1180" t="s">
        <v>32</v>
      </c>
      <c r="M1180" t="s">
        <v>45</v>
      </c>
      <c r="N1180" t="s">
        <v>71</v>
      </c>
      <c r="O1180" t="s">
        <v>2488</v>
      </c>
      <c r="P1180">
        <v>16.100000000000001</v>
      </c>
      <c r="Q1180">
        <v>90</v>
      </c>
      <c r="R1180">
        <v>16.8</v>
      </c>
      <c r="S1180">
        <v>7.4</v>
      </c>
      <c r="T1180">
        <v>2026</v>
      </c>
      <c r="U1180">
        <v>1</v>
      </c>
      <c r="V1180">
        <v>0</v>
      </c>
      <c r="W1180" t="s">
        <v>36</v>
      </c>
      <c r="X1180" t="s">
        <v>64</v>
      </c>
      <c r="Y1180" t="s">
        <v>38</v>
      </c>
    </row>
    <row r="1181" spans="1:25" x14ac:dyDescent="0.35">
      <c r="A1181" t="s">
        <v>2489</v>
      </c>
      <c r="B1181" t="s">
        <v>233</v>
      </c>
      <c r="C1181" t="s">
        <v>180</v>
      </c>
      <c r="D1181" t="s">
        <v>28</v>
      </c>
      <c r="E1181">
        <v>10</v>
      </c>
      <c r="F1181" t="s">
        <v>51</v>
      </c>
      <c r="G1181">
        <v>177000</v>
      </c>
      <c r="H1181">
        <v>100000</v>
      </c>
      <c r="I1181">
        <v>200000</v>
      </c>
      <c r="J1181" t="s">
        <v>174</v>
      </c>
      <c r="K1181" t="s">
        <v>31</v>
      </c>
      <c r="L1181" t="s">
        <v>53</v>
      </c>
      <c r="M1181" t="s">
        <v>33</v>
      </c>
      <c r="N1181" t="s">
        <v>34</v>
      </c>
      <c r="O1181" t="s">
        <v>2490</v>
      </c>
      <c r="P1181">
        <v>12</v>
      </c>
      <c r="Q1181">
        <v>68</v>
      </c>
      <c r="R1181">
        <v>9.9</v>
      </c>
      <c r="S1181">
        <v>8.9</v>
      </c>
      <c r="T1181">
        <v>2026</v>
      </c>
      <c r="U1181">
        <v>2</v>
      </c>
      <c r="V1181">
        <v>1</v>
      </c>
      <c r="W1181" t="s">
        <v>47</v>
      </c>
      <c r="X1181" t="s">
        <v>64</v>
      </c>
      <c r="Y1181" t="s">
        <v>48</v>
      </c>
    </row>
    <row r="1182" spans="1:25" x14ac:dyDescent="0.35">
      <c r="A1182" t="s">
        <v>2491</v>
      </c>
      <c r="B1182" t="s">
        <v>50</v>
      </c>
      <c r="C1182" t="s">
        <v>27</v>
      </c>
      <c r="D1182" t="s">
        <v>28</v>
      </c>
      <c r="E1182">
        <v>8</v>
      </c>
      <c r="F1182" t="s">
        <v>29</v>
      </c>
      <c r="G1182">
        <v>296000</v>
      </c>
      <c r="H1182">
        <v>160000</v>
      </c>
      <c r="I1182">
        <v>300000</v>
      </c>
      <c r="J1182" t="s">
        <v>75</v>
      </c>
      <c r="K1182" t="s">
        <v>31</v>
      </c>
      <c r="L1182" t="s">
        <v>32</v>
      </c>
      <c r="M1182" t="s">
        <v>82</v>
      </c>
      <c r="N1182" t="s">
        <v>165</v>
      </c>
      <c r="O1182" t="s">
        <v>2492</v>
      </c>
      <c r="P1182">
        <v>4</v>
      </c>
      <c r="Q1182">
        <v>98</v>
      </c>
      <c r="R1182">
        <v>82.9</v>
      </c>
      <c r="S1182">
        <v>9.3000000000000007</v>
      </c>
      <c r="T1182">
        <v>2026</v>
      </c>
      <c r="U1182">
        <v>2</v>
      </c>
      <c r="V1182">
        <v>1</v>
      </c>
      <c r="W1182" t="s">
        <v>36</v>
      </c>
      <c r="X1182" t="s">
        <v>37</v>
      </c>
      <c r="Y1182" t="s">
        <v>38</v>
      </c>
    </row>
    <row r="1183" spans="1:25" x14ac:dyDescent="0.35">
      <c r="A1183" t="s">
        <v>2493</v>
      </c>
      <c r="B1183" t="s">
        <v>196</v>
      </c>
      <c r="C1183" t="s">
        <v>27</v>
      </c>
      <c r="D1183" t="s">
        <v>28</v>
      </c>
      <c r="E1183">
        <v>2</v>
      </c>
      <c r="F1183" t="s">
        <v>51</v>
      </c>
      <c r="G1183">
        <v>223000</v>
      </c>
      <c r="H1183">
        <v>100000</v>
      </c>
      <c r="I1183">
        <v>250000</v>
      </c>
      <c r="J1183" t="s">
        <v>70</v>
      </c>
      <c r="K1183" t="s">
        <v>31</v>
      </c>
      <c r="L1183" t="s">
        <v>44</v>
      </c>
      <c r="M1183" t="s">
        <v>45</v>
      </c>
      <c r="N1183" t="s">
        <v>165</v>
      </c>
      <c r="O1183" t="s">
        <v>2494</v>
      </c>
      <c r="P1183">
        <v>17.899999999999999</v>
      </c>
      <c r="Q1183">
        <v>95</v>
      </c>
      <c r="R1183">
        <v>16.899999999999999</v>
      </c>
      <c r="S1183">
        <v>8.6</v>
      </c>
      <c r="T1183">
        <v>2026</v>
      </c>
      <c r="U1183">
        <v>1</v>
      </c>
      <c r="V1183">
        <v>1</v>
      </c>
      <c r="W1183" t="s">
        <v>47</v>
      </c>
      <c r="X1183" t="s">
        <v>64</v>
      </c>
      <c r="Y1183" t="s">
        <v>38</v>
      </c>
    </row>
    <row r="1184" spans="1:25" x14ac:dyDescent="0.35">
      <c r="A1184" t="s">
        <v>2495</v>
      </c>
      <c r="B1184" t="s">
        <v>66</v>
      </c>
      <c r="C1184" t="s">
        <v>67</v>
      </c>
      <c r="D1184" t="s">
        <v>74</v>
      </c>
      <c r="E1184">
        <v>7</v>
      </c>
      <c r="F1184" t="s">
        <v>41</v>
      </c>
      <c r="G1184">
        <v>142000</v>
      </c>
      <c r="H1184">
        <v>140000</v>
      </c>
      <c r="I1184">
        <v>260000</v>
      </c>
      <c r="J1184" t="s">
        <v>42</v>
      </c>
      <c r="K1184" t="s">
        <v>43</v>
      </c>
      <c r="L1184" t="s">
        <v>53</v>
      </c>
      <c r="M1184" t="s">
        <v>54</v>
      </c>
      <c r="N1184" t="s">
        <v>76</v>
      </c>
      <c r="O1184" t="s">
        <v>2496</v>
      </c>
      <c r="P1184">
        <v>10.5</v>
      </c>
      <c r="Q1184">
        <v>85</v>
      </c>
      <c r="R1184">
        <v>20</v>
      </c>
      <c r="S1184">
        <v>8.8000000000000007</v>
      </c>
      <c r="T1184">
        <v>2025</v>
      </c>
      <c r="U1184">
        <v>2</v>
      </c>
      <c r="V1184">
        <v>0</v>
      </c>
      <c r="W1184" t="s">
        <v>47</v>
      </c>
      <c r="X1184" t="s">
        <v>64</v>
      </c>
      <c r="Y1184" t="s">
        <v>95</v>
      </c>
    </row>
    <row r="1185" spans="1:25" x14ac:dyDescent="0.35">
      <c r="A1185" t="s">
        <v>2497</v>
      </c>
      <c r="B1185" t="s">
        <v>141</v>
      </c>
      <c r="C1185" t="s">
        <v>27</v>
      </c>
      <c r="D1185" t="s">
        <v>28</v>
      </c>
      <c r="E1185">
        <v>9</v>
      </c>
      <c r="F1185" t="s">
        <v>128</v>
      </c>
      <c r="G1185">
        <v>196000</v>
      </c>
      <c r="H1185">
        <v>141000</v>
      </c>
      <c r="I1185">
        <v>270000</v>
      </c>
      <c r="J1185" t="s">
        <v>42</v>
      </c>
      <c r="K1185" t="s">
        <v>43</v>
      </c>
      <c r="L1185" t="s">
        <v>53</v>
      </c>
      <c r="M1185" t="s">
        <v>61</v>
      </c>
      <c r="N1185" t="s">
        <v>155</v>
      </c>
      <c r="O1185" t="s">
        <v>2498</v>
      </c>
      <c r="P1185">
        <v>4.9000000000000004</v>
      </c>
      <c r="Q1185">
        <v>89</v>
      </c>
      <c r="R1185">
        <v>23.2</v>
      </c>
      <c r="S1185">
        <v>9.6</v>
      </c>
      <c r="T1185">
        <v>2026</v>
      </c>
      <c r="U1185">
        <v>2</v>
      </c>
      <c r="V1185">
        <v>1</v>
      </c>
      <c r="W1185" t="s">
        <v>47</v>
      </c>
      <c r="X1185" t="s">
        <v>64</v>
      </c>
      <c r="Y1185" t="s">
        <v>48</v>
      </c>
    </row>
    <row r="1186" spans="1:25" x14ac:dyDescent="0.35">
      <c r="A1186" t="s">
        <v>2499</v>
      </c>
      <c r="B1186" t="s">
        <v>158</v>
      </c>
      <c r="C1186" t="s">
        <v>27</v>
      </c>
      <c r="D1186" t="s">
        <v>74</v>
      </c>
      <c r="E1186">
        <v>2</v>
      </c>
      <c r="F1186" t="s">
        <v>128</v>
      </c>
      <c r="G1186">
        <v>181000</v>
      </c>
      <c r="H1186">
        <v>145000</v>
      </c>
      <c r="I1186">
        <v>280000</v>
      </c>
      <c r="J1186" t="s">
        <v>70</v>
      </c>
      <c r="K1186" t="s">
        <v>31</v>
      </c>
      <c r="L1186" t="s">
        <v>53</v>
      </c>
      <c r="M1186" t="s">
        <v>33</v>
      </c>
      <c r="N1186" t="s">
        <v>62</v>
      </c>
      <c r="O1186" t="s">
        <v>2500</v>
      </c>
      <c r="P1186">
        <v>7.6</v>
      </c>
      <c r="Q1186">
        <v>94</v>
      </c>
      <c r="R1186">
        <v>82.4</v>
      </c>
      <c r="S1186">
        <v>9.4</v>
      </c>
      <c r="T1186">
        <v>2025</v>
      </c>
      <c r="U1186">
        <v>9</v>
      </c>
      <c r="V1186">
        <v>0</v>
      </c>
      <c r="W1186" t="s">
        <v>47</v>
      </c>
      <c r="X1186" t="s">
        <v>37</v>
      </c>
      <c r="Y1186" t="s">
        <v>48</v>
      </c>
    </row>
    <row r="1187" spans="1:25" x14ac:dyDescent="0.35">
      <c r="A1187" t="s">
        <v>2501</v>
      </c>
      <c r="B1187" t="s">
        <v>163</v>
      </c>
      <c r="C1187" t="s">
        <v>164</v>
      </c>
      <c r="D1187" t="s">
        <v>74</v>
      </c>
      <c r="E1187">
        <v>3</v>
      </c>
      <c r="F1187" t="s">
        <v>69</v>
      </c>
      <c r="G1187">
        <v>125000</v>
      </c>
      <c r="H1187">
        <v>125000</v>
      </c>
      <c r="I1187">
        <v>240000</v>
      </c>
      <c r="J1187" t="s">
        <v>122</v>
      </c>
      <c r="K1187" t="s">
        <v>123</v>
      </c>
      <c r="L1187" t="s">
        <v>32</v>
      </c>
      <c r="M1187" t="s">
        <v>45</v>
      </c>
      <c r="N1187" t="s">
        <v>131</v>
      </c>
      <c r="O1187" t="s">
        <v>2502</v>
      </c>
      <c r="P1187">
        <v>16.5</v>
      </c>
      <c r="Q1187">
        <v>76</v>
      </c>
      <c r="R1187">
        <v>10</v>
      </c>
      <c r="S1187">
        <v>7.9</v>
      </c>
      <c r="T1187">
        <v>2026</v>
      </c>
      <c r="U1187">
        <v>2</v>
      </c>
      <c r="V1187">
        <v>0</v>
      </c>
      <c r="W1187" t="s">
        <v>36</v>
      </c>
      <c r="X1187" t="s">
        <v>64</v>
      </c>
      <c r="Y1187" t="s">
        <v>95</v>
      </c>
    </row>
    <row r="1188" spans="1:25" x14ac:dyDescent="0.35">
      <c r="A1188" t="s">
        <v>2503</v>
      </c>
      <c r="B1188" t="s">
        <v>149</v>
      </c>
      <c r="C1188" t="s">
        <v>150</v>
      </c>
      <c r="D1188" t="s">
        <v>81</v>
      </c>
      <c r="E1188">
        <v>4</v>
      </c>
      <c r="F1188" t="s">
        <v>41</v>
      </c>
      <c r="G1188">
        <v>130000</v>
      </c>
      <c r="H1188">
        <v>130000</v>
      </c>
      <c r="I1188">
        <v>260000</v>
      </c>
      <c r="J1188" t="s">
        <v>102</v>
      </c>
      <c r="K1188" t="s">
        <v>103</v>
      </c>
      <c r="L1188" t="s">
        <v>53</v>
      </c>
      <c r="M1188" t="s">
        <v>82</v>
      </c>
      <c r="N1188" t="s">
        <v>71</v>
      </c>
      <c r="O1188" t="s">
        <v>2504</v>
      </c>
      <c r="P1188">
        <v>11.8</v>
      </c>
      <c r="Q1188">
        <v>93</v>
      </c>
      <c r="R1188">
        <v>20.8</v>
      </c>
      <c r="S1188">
        <v>9</v>
      </c>
      <c r="T1188">
        <v>2025</v>
      </c>
      <c r="U1188">
        <v>12</v>
      </c>
      <c r="V1188">
        <v>0</v>
      </c>
      <c r="W1188" t="s">
        <v>47</v>
      </c>
      <c r="X1188" t="s">
        <v>64</v>
      </c>
      <c r="Y1188" t="s">
        <v>95</v>
      </c>
    </row>
    <row r="1189" spans="1:25" x14ac:dyDescent="0.35">
      <c r="A1189" t="s">
        <v>2505</v>
      </c>
      <c r="B1189" t="s">
        <v>86</v>
      </c>
      <c r="C1189" t="s">
        <v>27</v>
      </c>
      <c r="D1189" t="s">
        <v>81</v>
      </c>
      <c r="E1189">
        <v>6</v>
      </c>
      <c r="F1189" t="s">
        <v>29</v>
      </c>
      <c r="G1189">
        <v>227000</v>
      </c>
      <c r="H1189">
        <v>180000</v>
      </c>
      <c r="I1189">
        <v>312000</v>
      </c>
      <c r="J1189" t="s">
        <v>47</v>
      </c>
      <c r="K1189" t="s">
        <v>87</v>
      </c>
      <c r="L1189" t="s">
        <v>53</v>
      </c>
      <c r="M1189" t="s">
        <v>33</v>
      </c>
      <c r="N1189" t="s">
        <v>155</v>
      </c>
      <c r="O1189" t="s">
        <v>2506</v>
      </c>
      <c r="P1189">
        <v>8.9</v>
      </c>
      <c r="Q1189">
        <v>96</v>
      </c>
      <c r="R1189">
        <v>21.7</v>
      </c>
      <c r="S1189">
        <v>6.5</v>
      </c>
      <c r="T1189">
        <v>2026</v>
      </c>
      <c r="U1189">
        <v>3</v>
      </c>
      <c r="V1189">
        <v>0</v>
      </c>
      <c r="W1189" t="s">
        <v>47</v>
      </c>
      <c r="X1189" t="s">
        <v>64</v>
      </c>
      <c r="Y1189" t="s">
        <v>38</v>
      </c>
    </row>
    <row r="1190" spans="1:25" x14ac:dyDescent="0.35">
      <c r="A1190" t="s">
        <v>2507</v>
      </c>
      <c r="B1190" t="s">
        <v>149</v>
      </c>
      <c r="C1190" t="s">
        <v>150</v>
      </c>
      <c r="D1190" t="s">
        <v>68</v>
      </c>
      <c r="E1190">
        <v>7</v>
      </c>
      <c r="F1190" t="s">
        <v>41</v>
      </c>
      <c r="G1190">
        <v>208000</v>
      </c>
      <c r="H1190">
        <v>130000</v>
      </c>
      <c r="I1190">
        <v>260000</v>
      </c>
      <c r="J1190" t="s">
        <v>113</v>
      </c>
      <c r="K1190" t="s">
        <v>114</v>
      </c>
      <c r="L1190" t="s">
        <v>32</v>
      </c>
      <c r="M1190" t="s">
        <v>61</v>
      </c>
      <c r="N1190" t="s">
        <v>76</v>
      </c>
      <c r="O1190" t="s">
        <v>2508</v>
      </c>
      <c r="P1190">
        <v>8.6999999999999993</v>
      </c>
      <c r="Q1190">
        <v>93</v>
      </c>
      <c r="R1190">
        <v>55.4</v>
      </c>
      <c r="S1190">
        <v>9.6999999999999993</v>
      </c>
      <c r="T1190">
        <v>2025</v>
      </c>
      <c r="U1190">
        <v>11</v>
      </c>
      <c r="V1190">
        <v>1</v>
      </c>
      <c r="W1190" t="s">
        <v>36</v>
      </c>
      <c r="X1190" t="s">
        <v>64</v>
      </c>
      <c r="Y1190" t="s">
        <v>38</v>
      </c>
    </row>
    <row r="1191" spans="1:25" x14ac:dyDescent="0.35">
      <c r="A1191" t="s">
        <v>2509</v>
      </c>
      <c r="B1191" t="s">
        <v>179</v>
      </c>
      <c r="C1191" t="s">
        <v>180</v>
      </c>
      <c r="D1191" t="s">
        <v>74</v>
      </c>
      <c r="E1191">
        <v>8</v>
      </c>
      <c r="F1191" t="s">
        <v>69</v>
      </c>
      <c r="G1191">
        <v>110000</v>
      </c>
      <c r="H1191">
        <v>110000</v>
      </c>
      <c r="I1191">
        <v>210000</v>
      </c>
      <c r="J1191" t="s">
        <v>129</v>
      </c>
      <c r="K1191" t="s">
        <v>130</v>
      </c>
      <c r="L1191" t="s">
        <v>53</v>
      </c>
      <c r="M1191" t="s">
        <v>54</v>
      </c>
      <c r="N1191" t="s">
        <v>34</v>
      </c>
      <c r="O1191" t="s">
        <v>2510</v>
      </c>
      <c r="P1191">
        <v>8.8000000000000007</v>
      </c>
      <c r="Q1191">
        <v>72</v>
      </c>
      <c r="R1191">
        <v>13.4</v>
      </c>
      <c r="S1191">
        <v>7.3</v>
      </c>
      <c r="T1191">
        <v>2026</v>
      </c>
      <c r="U1191">
        <v>3</v>
      </c>
      <c r="V1191">
        <v>0</v>
      </c>
      <c r="W1191" t="s">
        <v>47</v>
      </c>
      <c r="X1191" t="s">
        <v>64</v>
      </c>
      <c r="Y1191" t="s">
        <v>95</v>
      </c>
    </row>
    <row r="1192" spans="1:25" x14ac:dyDescent="0.35">
      <c r="A1192" t="s">
        <v>2511</v>
      </c>
      <c r="B1192" t="s">
        <v>40</v>
      </c>
      <c r="C1192" t="s">
        <v>27</v>
      </c>
      <c r="D1192" t="s">
        <v>74</v>
      </c>
      <c r="E1192">
        <v>3</v>
      </c>
      <c r="F1192" t="s">
        <v>69</v>
      </c>
      <c r="G1192">
        <v>104000</v>
      </c>
      <c r="H1192">
        <v>90000</v>
      </c>
      <c r="I1192">
        <v>200000</v>
      </c>
      <c r="J1192" t="s">
        <v>75</v>
      </c>
      <c r="K1192" t="s">
        <v>31</v>
      </c>
      <c r="L1192" t="s">
        <v>44</v>
      </c>
      <c r="M1192" t="s">
        <v>45</v>
      </c>
      <c r="N1192" t="s">
        <v>131</v>
      </c>
      <c r="O1192" t="s">
        <v>2512</v>
      </c>
      <c r="P1192">
        <v>5</v>
      </c>
      <c r="Q1192">
        <v>82</v>
      </c>
      <c r="R1192">
        <v>23</v>
      </c>
      <c r="S1192">
        <v>6.2</v>
      </c>
      <c r="T1192">
        <v>2026</v>
      </c>
      <c r="U1192">
        <v>3</v>
      </c>
      <c r="V1192">
        <v>0</v>
      </c>
      <c r="W1192" t="s">
        <v>47</v>
      </c>
      <c r="X1192" t="s">
        <v>37</v>
      </c>
      <c r="Y1192" t="s">
        <v>95</v>
      </c>
    </row>
    <row r="1193" spans="1:25" x14ac:dyDescent="0.35">
      <c r="A1193" t="s">
        <v>2513</v>
      </c>
      <c r="B1193" t="s">
        <v>163</v>
      </c>
      <c r="C1193" t="s">
        <v>164</v>
      </c>
      <c r="D1193" t="s">
        <v>28</v>
      </c>
      <c r="E1193">
        <v>8</v>
      </c>
      <c r="F1193" t="s">
        <v>51</v>
      </c>
      <c r="G1193">
        <v>125000</v>
      </c>
      <c r="H1193">
        <v>125000</v>
      </c>
      <c r="I1193">
        <v>240000</v>
      </c>
      <c r="J1193" t="s">
        <v>108</v>
      </c>
      <c r="K1193" t="s">
        <v>109</v>
      </c>
      <c r="L1193" t="s">
        <v>44</v>
      </c>
      <c r="M1193" t="s">
        <v>54</v>
      </c>
      <c r="N1193" t="s">
        <v>34</v>
      </c>
      <c r="O1193" t="s">
        <v>2514</v>
      </c>
      <c r="P1193">
        <v>14.3</v>
      </c>
      <c r="Q1193">
        <v>76</v>
      </c>
      <c r="R1193">
        <v>23.3</v>
      </c>
      <c r="S1193">
        <v>7.6</v>
      </c>
      <c r="T1193">
        <v>2025</v>
      </c>
      <c r="U1193">
        <v>11</v>
      </c>
      <c r="V1193">
        <v>1</v>
      </c>
      <c r="W1193" t="s">
        <v>47</v>
      </c>
      <c r="X1193" t="s">
        <v>64</v>
      </c>
      <c r="Y1193" t="s">
        <v>95</v>
      </c>
    </row>
    <row r="1194" spans="1:25" x14ac:dyDescent="0.35">
      <c r="A1194" t="s">
        <v>2515</v>
      </c>
      <c r="B1194" t="s">
        <v>50</v>
      </c>
      <c r="C1194" t="s">
        <v>27</v>
      </c>
      <c r="D1194" t="s">
        <v>28</v>
      </c>
      <c r="E1194">
        <v>3</v>
      </c>
      <c r="F1194" t="s">
        <v>51</v>
      </c>
      <c r="G1194">
        <v>243000</v>
      </c>
      <c r="H1194">
        <v>160000</v>
      </c>
      <c r="I1194">
        <v>300000</v>
      </c>
      <c r="J1194" t="s">
        <v>70</v>
      </c>
      <c r="K1194" t="s">
        <v>31</v>
      </c>
      <c r="L1194" t="s">
        <v>44</v>
      </c>
      <c r="M1194" t="s">
        <v>82</v>
      </c>
      <c r="N1194" t="s">
        <v>119</v>
      </c>
      <c r="O1194" t="s">
        <v>2516</v>
      </c>
      <c r="P1194">
        <v>5.6</v>
      </c>
      <c r="Q1194">
        <v>98</v>
      </c>
      <c r="R1194">
        <v>33.9</v>
      </c>
      <c r="S1194">
        <v>9.3000000000000007</v>
      </c>
      <c r="T1194">
        <v>2026</v>
      </c>
      <c r="U1194">
        <v>3</v>
      </c>
      <c r="V1194">
        <v>1</v>
      </c>
      <c r="W1194" t="s">
        <v>47</v>
      </c>
      <c r="X1194" t="s">
        <v>37</v>
      </c>
      <c r="Y1194" t="s">
        <v>38</v>
      </c>
    </row>
    <row r="1195" spans="1:25" x14ac:dyDescent="0.35">
      <c r="A1195" t="s">
        <v>2517</v>
      </c>
      <c r="B1195" t="s">
        <v>127</v>
      </c>
      <c r="C1195" t="s">
        <v>27</v>
      </c>
      <c r="D1195" t="s">
        <v>28</v>
      </c>
      <c r="E1195">
        <v>3</v>
      </c>
      <c r="F1195" t="s">
        <v>41</v>
      </c>
      <c r="G1195">
        <v>279000</v>
      </c>
      <c r="H1195">
        <v>120000</v>
      </c>
      <c r="I1195">
        <v>280000</v>
      </c>
      <c r="J1195" t="s">
        <v>52</v>
      </c>
      <c r="K1195" t="s">
        <v>31</v>
      </c>
      <c r="L1195" t="s">
        <v>53</v>
      </c>
      <c r="M1195" t="s">
        <v>82</v>
      </c>
      <c r="N1195" t="s">
        <v>62</v>
      </c>
      <c r="O1195" t="s">
        <v>2518</v>
      </c>
      <c r="P1195">
        <v>17.8</v>
      </c>
      <c r="Q1195">
        <v>97</v>
      </c>
      <c r="R1195">
        <v>45.1</v>
      </c>
      <c r="S1195">
        <v>8.1</v>
      </c>
      <c r="T1195">
        <v>2025</v>
      </c>
      <c r="U1195">
        <v>5</v>
      </c>
      <c r="V1195">
        <v>1</v>
      </c>
      <c r="W1195" t="s">
        <v>47</v>
      </c>
      <c r="X1195" t="s">
        <v>64</v>
      </c>
      <c r="Y1195" t="s">
        <v>38</v>
      </c>
    </row>
    <row r="1196" spans="1:25" x14ac:dyDescent="0.35">
      <c r="A1196" t="s">
        <v>2519</v>
      </c>
      <c r="B1196" t="s">
        <v>233</v>
      </c>
      <c r="C1196" t="s">
        <v>180</v>
      </c>
      <c r="D1196" t="s">
        <v>81</v>
      </c>
      <c r="E1196">
        <v>10</v>
      </c>
      <c r="F1196" t="s">
        <v>51</v>
      </c>
      <c r="G1196">
        <v>130000</v>
      </c>
      <c r="H1196">
        <v>100000</v>
      </c>
      <c r="I1196">
        <v>200000</v>
      </c>
      <c r="J1196" t="s">
        <v>30</v>
      </c>
      <c r="K1196" t="s">
        <v>31</v>
      </c>
      <c r="L1196" t="s">
        <v>32</v>
      </c>
      <c r="M1196" t="s">
        <v>45</v>
      </c>
      <c r="N1196" t="s">
        <v>119</v>
      </c>
      <c r="O1196" t="s">
        <v>2520</v>
      </c>
      <c r="P1196">
        <v>10.3</v>
      </c>
      <c r="Q1196">
        <v>68</v>
      </c>
      <c r="R1196">
        <v>18.8</v>
      </c>
      <c r="S1196">
        <v>6.7</v>
      </c>
      <c r="T1196">
        <v>2026</v>
      </c>
      <c r="U1196">
        <v>2</v>
      </c>
      <c r="V1196">
        <v>0</v>
      </c>
      <c r="W1196" t="s">
        <v>36</v>
      </c>
      <c r="X1196" t="s">
        <v>64</v>
      </c>
      <c r="Y1196" t="s">
        <v>95</v>
      </c>
    </row>
    <row r="1197" spans="1:25" x14ac:dyDescent="0.35">
      <c r="A1197" t="s">
        <v>2521</v>
      </c>
      <c r="B1197" t="s">
        <v>196</v>
      </c>
      <c r="C1197" t="s">
        <v>27</v>
      </c>
      <c r="D1197" t="s">
        <v>68</v>
      </c>
      <c r="E1197">
        <v>6</v>
      </c>
      <c r="F1197" t="s">
        <v>128</v>
      </c>
      <c r="G1197">
        <v>237000</v>
      </c>
      <c r="H1197">
        <v>100000</v>
      </c>
      <c r="I1197">
        <v>250000</v>
      </c>
      <c r="J1197" t="s">
        <v>102</v>
      </c>
      <c r="K1197" t="s">
        <v>103</v>
      </c>
      <c r="L1197" t="s">
        <v>32</v>
      </c>
      <c r="M1197" t="s">
        <v>82</v>
      </c>
      <c r="N1197" t="s">
        <v>34</v>
      </c>
      <c r="O1197" t="s">
        <v>2522</v>
      </c>
      <c r="P1197">
        <v>15.5</v>
      </c>
      <c r="Q1197">
        <v>95</v>
      </c>
      <c r="R1197">
        <v>34.6</v>
      </c>
      <c r="S1197">
        <v>8.3000000000000007</v>
      </c>
      <c r="T1197">
        <v>2025</v>
      </c>
      <c r="U1197">
        <v>6</v>
      </c>
      <c r="V1197">
        <v>1</v>
      </c>
      <c r="W1197" t="s">
        <v>36</v>
      </c>
      <c r="X1197" t="s">
        <v>64</v>
      </c>
      <c r="Y1197" t="s">
        <v>38</v>
      </c>
    </row>
    <row r="1198" spans="1:25" x14ac:dyDescent="0.35">
      <c r="A1198" t="s">
        <v>2523</v>
      </c>
      <c r="B1198" t="s">
        <v>203</v>
      </c>
      <c r="C1198" t="s">
        <v>169</v>
      </c>
      <c r="D1198" t="s">
        <v>28</v>
      </c>
      <c r="E1198">
        <v>8</v>
      </c>
      <c r="F1198" t="s">
        <v>41</v>
      </c>
      <c r="G1198">
        <v>203000</v>
      </c>
      <c r="H1198">
        <v>138000</v>
      </c>
      <c r="I1198">
        <v>195000</v>
      </c>
      <c r="J1198" t="s">
        <v>30</v>
      </c>
      <c r="K1198" t="s">
        <v>31</v>
      </c>
      <c r="L1198" t="s">
        <v>44</v>
      </c>
      <c r="M1198" t="s">
        <v>61</v>
      </c>
      <c r="N1198" t="s">
        <v>76</v>
      </c>
      <c r="O1198" t="s">
        <v>2524</v>
      </c>
      <c r="P1198">
        <v>7.5</v>
      </c>
      <c r="Q1198">
        <v>92</v>
      </c>
      <c r="R1198">
        <v>83.3</v>
      </c>
      <c r="S1198">
        <v>7.4</v>
      </c>
      <c r="T1198">
        <v>2026</v>
      </c>
      <c r="U1198">
        <v>1</v>
      </c>
      <c r="V1198">
        <v>1</v>
      </c>
      <c r="W1198" t="s">
        <v>47</v>
      </c>
      <c r="X1198" t="s">
        <v>64</v>
      </c>
      <c r="Y1198" t="s">
        <v>38</v>
      </c>
    </row>
    <row r="1199" spans="1:25" x14ac:dyDescent="0.35">
      <c r="A1199" t="s">
        <v>2525</v>
      </c>
      <c r="B1199" t="s">
        <v>158</v>
      </c>
      <c r="C1199" t="s">
        <v>27</v>
      </c>
      <c r="D1199" t="s">
        <v>81</v>
      </c>
      <c r="E1199">
        <v>6</v>
      </c>
      <c r="F1199" t="s">
        <v>41</v>
      </c>
      <c r="G1199">
        <v>221000</v>
      </c>
      <c r="H1199">
        <v>145000</v>
      </c>
      <c r="I1199">
        <v>280000</v>
      </c>
      <c r="J1199" t="s">
        <v>170</v>
      </c>
      <c r="K1199" t="s">
        <v>171</v>
      </c>
      <c r="L1199" t="s">
        <v>53</v>
      </c>
      <c r="M1199" t="s">
        <v>54</v>
      </c>
      <c r="N1199" t="s">
        <v>110</v>
      </c>
      <c r="O1199" t="s">
        <v>2526</v>
      </c>
      <c r="P1199">
        <v>8</v>
      </c>
      <c r="Q1199">
        <v>94</v>
      </c>
      <c r="R1199">
        <v>39</v>
      </c>
      <c r="S1199">
        <v>7.1</v>
      </c>
      <c r="T1199">
        <v>2026</v>
      </c>
      <c r="U1199">
        <v>1</v>
      </c>
      <c r="V1199">
        <v>0</v>
      </c>
      <c r="W1199" t="s">
        <v>47</v>
      </c>
      <c r="X1199" t="s">
        <v>37</v>
      </c>
      <c r="Y1199" t="s">
        <v>38</v>
      </c>
    </row>
    <row r="1200" spans="1:25" x14ac:dyDescent="0.35">
      <c r="A1200" t="s">
        <v>2527</v>
      </c>
      <c r="B1200" t="s">
        <v>233</v>
      </c>
      <c r="C1200" t="s">
        <v>180</v>
      </c>
      <c r="D1200" t="s">
        <v>28</v>
      </c>
      <c r="E1200">
        <v>9</v>
      </c>
      <c r="F1200" t="s">
        <v>128</v>
      </c>
      <c r="G1200">
        <v>149000</v>
      </c>
      <c r="H1200">
        <v>100000</v>
      </c>
      <c r="I1200">
        <v>200000</v>
      </c>
      <c r="J1200" t="s">
        <v>117</v>
      </c>
      <c r="K1200" t="s">
        <v>118</v>
      </c>
      <c r="L1200" t="s">
        <v>44</v>
      </c>
      <c r="M1200" t="s">
        <v>33</v>
      </c>
      <c r="N1200" t="s">
        <v>119</v>
      </c>
      <c r="O1200" t="s">
        <v>2528</v>
      </c>
      <c r="P1200">
        <v>13.6</v>
      </c>
      <c r="Q1200">
        <v>68</v>
      </c>
      <c r="R1200">
        <v>20.3</v>
      </c>
      <c r="S1200">
        <v>6.1</v>
      </c>
      <c r="T1200">
        <v>2025</v>
      </c>
      <c r="U1200">
        <v>6</v>
      </c>
      <c r="V1200">
        <v>1</v>
      </c>
      <c r="W1200" t="s">
        <v>47</v>
      </c>
      <c r="X1200" t="s">
        <v>64</v>
      </c>
      <c r="Y1200" t="s">
        <v>95</v>
      </c>
    </row>
    <row r="1201" spans="1:25" x14ac:dyDescent="0.35">
      <c r="A1201" t="s">
        <v>2529</v>
      </c>
      <c r="B1201" t="s">
        <v>179</v>
      </c>
      <c r="C1201" t="s">
        <v>180</v>
      </c>
      <c r="D1201" t="s">
        <v>81</v>
      </c>
      <c r="E1201">
        <v>5</v>
      </c>
      <c r="F1201" t="s">
        <v>69</v>
      </c>
      <c r="G1201">
        <v>110000</v>
      </c>
      <c r="H1201">
        <v>110000</v>
      </c>
      <c r="I1201">
        <v>210000</v>
      </c>
      <c r="J1201" t="s">
        <v>102</v>
      </c>
      <c r="K1201" t="s">
        <v>103</v>
      </c>
      <c r="L1201" t="s">
        <v>44</v>
      </c>
      <c r="M1201" t="s">
        <v>33</v>
      </c>
      <c r="N1201" t="s">
        <v>165</v>
      </c>
      <c r="O1201" t="s">
        <v>2530</v>
      </c>
      <c r="P1201">
        <v>11.2</v>
      </c>
      <c r="Q1201">
        <v>72</v>
      </c>
      <c r="R1201">
        <v>13.3</v>
      </c>
      <c r="S1201">
        <v>7.2</v>
      </c>
      <c r="T1201">
        <v>2025</v>
      </c>
      <c r="U1201">
        <v>8</v>
      </c>
      <c r="V1201">
        <v>0</v>
      </c>
      <c r="W1201" t="s">
        <v>47</v>
      </c>
      <c r="X1201" t="s">
        <v>64</v>
      </c>
      <c r="Y1201" t="s">
        <v>95</v>
      </c>
    </row>
    <row r="1202" spans="1:25" x14ac:dyDescent="0.35">
      <c r="A1202" t="s">
        <v>2531</v>
      </c>
      <c r="B1202" t="s">
        <v>58</v>
      </c>
      <c r="C1202" t="s">
        <v>59</v>
      </c>
      <c r="D1202" t="s">
        <v>28</v>
      </c>
      <c r="E1202">
        <v>4</v>
      </c>
      <c r="F1202" t="s">
        <v>41</v>
      </c>
      <c r="G1202">
        <v>130000</v>
      </c>
      <c r="H1202">
        <v>130000</v>
      </c>
      <c r="I1202">
        <v>220000</v>
      </c>
      <c r="J1202" t="s">
        <v>92</v>
      </c>
      <c r="K1202" t="s">
        <v>93</v>
      </c>
      <c r="L1202" t="s">
        <v>53</v>
      </c>
      <c r="M1202" t="s">
        <v>54</v>
      </c>
      <c r="N1202" t="s">
        <v>83</v>
      </c>
      <c r="O1202" t="s">
        <v>2532</v>
      </c>
      <c r="P1202">
        <v>13.2</v>
      </c>
      <c r="Q1202">
        <v>88</v>
      </c>
      <c r="R1202">
        <v>25</v>
      </c>
      <c r="S1202">
        <v>7.6</v>
      </c>
      <c r="T1202">
        <v>2025</v>
      </c>
      <c r="U1202">
        <v>12</v>
      </c>
      <c r="V1202">
        <v>1</v>
      </c>
      <c r="W1202" t="s">
        <v>47</v>
      </c>
      <c r="X1202" t="s">
        <v>64</v>
      </c>
      <c r="Y1202" t="s">
        <v>95</v>
      </c>
    </row>
    <row r="1203" spans="1:25" x14ac:dyDescent="0.35">
      <c r="A1203" t="s">
        <v>2533</v>
      </c>
      <c r="B1203" t="s">
        <v>127</v>
      </c>
      <c r="C1203" t="s">
        <v>27</v>
      </c>
      <c r="D1203" t="s">
        <v>68</v>
      </c>
      <c r="E1203">
        <v>10</v>
      </c>
      <c r="F1203" t="s">
        <v>69</v>
      </c>
      <c r="G1203">
        <v>200000</v>
      </c>
      <c r="H1203">
        <v>120000</v>
      </c>
      <c r="I1203">
        <v>280000</v>
      </c>
      <c r="J1203" t="s">
        <v>137</v>
      </c>
      <c r="K1203" t="s">
        <v>138</v>
      </c>
      <c r="L1203" t="s">
        <v>32</v>
      </c>
      <c r="M1203" t="s">
        <v>82</v>
      </c>
      <c r="N1203" t="s">
        <v>76</v>
      </c>
      <c r="O1203" t="s">
        <v>2534</v>
      </c>
      <c r="P1203">
        <v>10.199999999999999</v>
      </c>
      <c r="Q1203">
        <v>97</v>
      </c>
      <c r="R1203">
        <v>63.5</v>
      </c>
      <c r="S1203">
        <v>6.3</v>
      </c>
      <c r="T1203">
        <v>2026</v>
      </c>
      <c r="U1203">
        <v>3</v>
      </c>
      <c r="V1203">
        <v>1</v>
      </c>
      <c r="W1203" t="s">
        <v>36</v>
      </c>
      <c r="X1203" t="s">
        <v>64</v>
      </c>
      <c r="Y1203" t="s">
        <v>48</v>
      </c>
    </row>
    <row r="1204" spans="1:25" x14ac:dyDescent="0.35">
      <c r="A1204" t="s">
        <v>2535</v>
      </c>
      <c r="B1204" t="s">
        <v>127</v>
      </c>
      <c r="C1204" t="s">
        <v>27</v>
      </c>
      <c r="D1204" t="s">
        <v>81</v>
      </c>
      <c r="E1204">
        <v>6</v>
      </c>
      <c r="F1204" t="s">
        <v>41</v>
      </c>
      <c r="G1204">
        <v>185000</v>
      </c>
      <c r="H1204">
        <v>120000</v>
      </c>
      <c r="I1204">
        <v>280000</v>
      </c>
      <c r="J1204" t="s">
        <v>191</v>
      </c>
      <c r="K1204" t="s">
        <v>31</v>
      </c>
      <c r="L1204" t="s">
        <v>53</v>
      </c>
      <c r="M1204" t="s">
        <v>82</v>
      </c>
      <c r="N1204" t="s">
        <v>88</v>
      </c>
      <c r="O1204" t="s">
        <v>2536</v>
      </c>
      <c r="P1204">
        <v>9.8000000000000007</v>
      </c>
      <c r="Q1204">
        <v>97</v>
      </c>
      <c r="R1204">
        <v>73.599999999999994</v>
      </c>
      <c r="S1204">
        <v>9.1</v>
      </c>
      <c r="T1204">
        <v>2026</v>
      </c>
      <c r="U1204">
        <v>3</v>
      </c>
      <c r="V1204">
        <v>0</v>
      </c>
      <c r="W1204" t="s">
        <v>47</v>
      </c>
      <c r="X1204" t="s">
        <v>64</v>
      </c>
      <c r="Y1204" t="s">
        <v>48</v>
      </c>
    </row>
    <row r="1205" spans="1:25" x14ac:dyDescent="0.35">
      <c r="A1205" t="s">
        <v>2537</v>
      </c>
      <c r="B1205" t="s">
        <v>609</v>
      </c>
      <c r="C1205" t="s">
        <v>124</v>
      </c>
      <c r="D1205" t="s">
        <v>28</v>
      </c>
      <c r="E1205">
        <v>12</v>
      </c>
      <c r="F1205" t="s">
        <v>29</v>
      </c>
      <c r="G1205">
        <v>167000</v>
      </c>
      <c r="H1205">
        <v>115000</v>
      </c>
      <c r="I1205">
        <v>280000</v>
      </c>
      <c r="J1205" t="s">
        <v>42</v>
      </c>
      <c r="K1205" t="s">
        <v>43</v>
      </c>
      <c r="L1205" t="s">
        <v>53</v>
      </c>
      <c r="M1205" t="s">
        <v>61</v>
      </c>
      <c r="N1205" t="s">
        <v>34</v>
      </c>
      <c r="O1205" t="s">
        <v>2538</v>
      </c>
      <c r="P1205">
        <v>11.4</v>
      </c>
      <c r="Q1205">
        <v>88</v>
      </c>
      <c r="R1205">
        <v>28.6</v>
      </c>
      <c r="S1205">
        <v>7.5</v>
      </c>
      <c r="T1205">
        <v>2025</v>
      </c>
      <c r="U1205">
        <v>9</v>
      </c>
      <c r="V1205">
        <v>1</v>
      </c>
      <c r="W1205" t="s">
        <v>47</v>
      </c>
      <c r="X1205" t="s">
        <v>64</v>
      </c>
      <c r="Y1205" t="s">
        <v>48</v>
      </c>
    </row>
    <row r="1206" spans="1:25" x14ac:dyDescent="0.35">
      <c r="A1206" t="s">
        <v>2539</v>
      </c>
      <c r="B1206" t="s">
        <v>66</v>
      </c>
      <c r="C1206" t="s">
        <v>67</v>
      </c>
      <c r="D1206" t="s">
        <v>28</v>
      </c>
      <c r="E1206">
        <v>7</v>
      </c>
      <c r="F1206" t="s">
        <v>51</v>
      </c>
      <c r="G1206">
        <v>196000</v>
      </c>
      <c r="H1206">
        <v>140000</v>
      </c>
      <c r="I1206">
        <v>260000</v>
      </c>
      <c r="J1206" t="s">
        <v>113</v>
      </c>
      <c r="K1206" t="s">
        <v>114</v>
      </c>
      <c r="L1206" t="s">
        <v>44</v>
      </c>
      <c r="M1206" t="s">
        <v>45</v>
      </c>
      <c r="N1206" t="s">
        <v>131</v>
      </c>
      <c r="O1206" t="s">
        <v>2540</v>
      </c>
      <c r="P1206">
        <v>8.6</v>
      </c>
      <c r="Q1206">
        <v>85</v>
      </c>
      <c r="R1206">
        <v>29.9</v>
      </c>
      <c r="S1206">
        <v>6.8</v>
      </c>
      <c r="T1206">
        <v>2026</v>
      </c>
      <c r="U1206">
        <v>3</v>
      </c>
      <c r="V1206">
        <v>1</v>
      </c>
      <c r="W1206" t="s">
        <v>47</v>
      </c>
      <c r="X1206" t="s">
        <v>64</v>
      </c>
      <c r="Y1206" t="s">
        <v>48</v>
      </c>
    </row>
    <row r="1207" spans="1:25" x14ac:dyDescent="0.35">
      <c r="A1207" t="s">
        <v>2541</v>
      </c>
      <c r="B1207" t="s">
        <v>66</v>
      </c>
      <c r="C1207" t="s">
        <v>67</v>
      </c>
      <c r="D1207" t="s">
        <v>28</v>
      </c>
      <c r="E1207">
        <v>10</v>
      </c>
      <c r="F1207" t="s">
        <v>29</v>
      </c>
      <c r="G1207">
        <v>140000</v>
      </c>
      <c r="H1207">
        <v>140000</v>
      </c>
      <c r="I1207">
        <v>260000</v>
      </c>
      <c r="J1207" t="s">
        <v>108</v>
      </c>
      <c r="K1207" t="s">
        <v>109</v>
      </c>
      <c r="L1207" t="s">
        <v>32</v>
      </c>
      <c r="M1207" t="s">
        <v>82</v>
      </c>
      <c r="N1207" t="s">
        <v>110</v>
      </c>
      <c r="O1207" t="s">
        <v>2542</v>
      </c>
      <c r="P1207">
        <v>16.3</v>
      </c>
      <c r="Q1207">
        <v>85</v>
      </c>
      <c r="R1207">
        <v>20.100000000000001</v>
      </c>
      <c r="S1207">
        <v>7.5</v>
      </c>
      <c r="T1207">
        <v>2026</v>
      </c>
      <c r="U1207">
        <v>3</v>
      </c>
      <c r="V1207">
        <v>1</v>
      </c>
      <c r="W1207" t="s">
        <v>36</v>
      </c>
      <c r="X1207" t="s">
        <v>64</v>
      </c>
      <c r="Y1207" t="s">
        <v>95</v>
      </c>
    </row>
    <row r="1208" spans="1:25" x14ac:dyDescent="0.35">
      <c r="A1208" t="s">
        <v>2543</v>
      </c>
      <c r="B1208" t="s">
        <v>158</v>
      </c>
      <c r="C1208" t="s">
        <v>27</v>
      </c>
      <c r="D1208" t="s">
        <v>68</v>
      </c>
      <c r="E1208">
        <v>4</v>
      </c>
      <c r="F1208" t="s">
        <v>29</v>
      </c>
      <c r="G1208">
        <v>145000</v>
      </c>
      <c r="H1208">
        <v>145000</v>
      </c>
      <c r="I1208">
        <v>280000</v>
      </c>
      <c r="J1208" t="s">
        <v>108</v>
      </c>
      <c r="K1208" t="s">
        <v>109</v>
      </c>
      <c r="L1208" t="s">
        <v>44</v>
      </c>
      <c r="M1208" t="s">
        <v>33</v>
      </c>
      <c r="N1208" t="s">
        <v>88</v>
      </c>
      <c r="O1208" t="s">
        <v>2544</v>
      </c>
      <c r="P1208">
        <v>8.4</v>
      </c>
      <c r="Q1208">
        <v>94</v>
      </c>
      <c r="R1208">
        <v>81.099999999999994</v>
      </c>
      <c r="S1208">
        <v>7.4</v>
      </c>
      <c r="T1208">
        <v>2025</v>
      </c>
      <c r="U1208">
        <v>3</v>
      </c>
      <c r="V1208">
        <v>1</v>
      </c>
      <c r="W1208" t="s">
        <v>47</v>
      </c>
      <c r="X1208" t="s">
        <v>37</v>
      </c>
      <c r="Y1208" t="s">
        <v>95</v>
      </c>
    </row>
    <row r="1209" spans="1:25" x14ac:dyDescent="0.35">
      <c r="A1209" t="s">
        <v>2545</v>
      </c>
      <c r="B1209" t="s">
        <v>50</v>
      </c>
      <c r="C1209" t="s">
        <v>27</v>
      </c>
      <c r="D1209" t="s">
        <v>81</v>
      </c>
      <c r="E1209">
        <v>8</v>
      </c>
      <c r="F1209" t="s">
        <v>69</v>
      </c>
      <c r="G1209">
        <v>232000</v>
      </c>
      <c r="H1209">
        <v>160000</v>
      </c>
      <c r="I1209">
        <v>300000</v>
      </c>
      <c r="J1209" t="s">
        <v>137</v>
      </c>
      <c r="K1209" t="s">
        <v>138</v>
      </c>
      <c r="L1209" t="s">
        <v>53</v>
      </c>
      <c r="M1209" t="s">
        <v>54</v>
      </c>
      <c r="N1209" t="s">
        <v>34</v>
      </c>
      <c r="O1209" t="s">
        <v>2546</v>
      </c>
      <c r="P1209">
        <v>7.1</v>
      </c>
      <c r="Q1209">
        <v>98</v>
      </c>
      <c r="R1209">
        <v>51.5</v>
      </c>
      <c r="S1209">
        <v>7.1</v>
      </c>
      <c r="T1209">
        <v>2026</v>
      </c>
      <c r="U1209">
        <v>2</v>
      </c>
      <c r="V1209">
        <v>0</v>
      </c>
      <c r="W1209" t="s">
        <v>47</v>
      </c>
      <c r="X1209" t="s">
        <v>37</v>
      </c>
      <c r="Y1209" t="s">
        <v>38</v>
      </c>
    </row>
    <row r="1210" spans="1:25" x14ac:dyDescent="0.35">
      <c r="A1210" t="s">
        <v>2547</v>
      </c>
      <c r="B1210" t="s">
        <v>196</v>
      </c>
      <c r="C1210" t="s">
        <v>27</v>
      </c>
      <c r="D1210" t="s">
        <v>74</v>
      </c>
      <c r="E1210">
        <v>6</v>
      </c>
      <c r="F1210" t="s">
        <v>69</v>
      </c>
      <c r="G1210">
        <v>100000</v>
      </c>
      <c r="H1210">
        <v>100000</v>
      </c>
      <c r="I1210">
        <v>250000</v>
      </c>
      <c r="J1210" t="s">
        <v>75</v>
      </c>
      <c r="K1210" t="s">
        <v>31</v>
      </c>
      <c r="L1210" t="s">
        <v>44</v>
      </c>
      <c r="M1210" t="s">
        <v>61</v>
      </c>
      <c r="N1210" t="s">
        <v>83</v>
      </c>
      <c r="O1210" t="s">
        <v>2548</v>
      </c>
      <c r="P1210">
        <v>12.9</v>
      </c>
      <c r="Q1210">
        <v>95</v>
      </c>
      <c r="R1210">
        <v>50.6</v>
      </c>
      <c r="S1210">
        <v>8.3000000000000007</v>
      </c>
      <c r="T1210">
        <v>2025</v>
      </c>
      <c r="U1210">
        <v>11</v>
      </c>
      <c r="V1210">
        <v>0</v>
      </c>
      <c r="W1210" t="s">
        <v>47</v>
      </c>
      <c r="X1210" t="s">
        <v>64</v>
      </c>
      <c r="Y1210" t="s">
        <v>98</v>
      </c>
    </row>
    <row r="1211" spans="1:25" x14ac:dyDescent="0.35">
      <c r="A1211" t="s">
        <v>2549</v>
      </c>
      <c r="B1211" t="s">
        <v>196</v>
      </c>
      <c r="C1211" t="s">
        <v>27</v>
      </c>
      <c r="D1211" t="s">
        <v>28</v>
      </c>
      <c r="E1211">
        <v>3</v>
      </c>
      <c r="F1211" t="s">
        <v>69</v>
      </c>
      <c r="G1211">
        <v>213000</v>
      </c>
      <c r="H1211">
        <v>100000</v>
      </c>
      <c r="I1211">
        <v>250000</v>
      </c>
      <c r="J1211" t="s">
        <v>75</v>
      </c>
      <c r="K1211" t="s">
        <v>31</v>
      </c>
      <c r="L1211" t="s">
        <v>53</v>
      </c>
      <c r="M1211" t="s">
        <v>54</v>
      </c>
      <c r="N1211" t="s">
        <v>155</v>
      </c>
      <c r="O1211" t="s">
        <v>2550</v>
      </c>
      <c r="P1211">
        <v>11.5</v>
      </c>
      <c r="Q1211">
        <v>95</v>
      </c>
      <c r="R1211">
        <v>58.8</v>
      </c>
      <c r="S1211">
        <v>6</v>
      </c>
      <c r="T1211">
        <v>2026</v>
      </c>
      <c r="U1211">
        <v>3</v>
      </c>
      <c r="V1211">
        <v>1</v>
      </c>
      <c r="W1211" t="s">
        <v>47</v>
      </c>
      <c r="X1211" t="s">
        <v>64</v>
      </c>
      <c r="Y1211" t="s">
        <v>38</v>
      </c>
    </row>
    <row r="1212" spans="1:25" x14ac:dyDescent="0.35">
      <c r="A1212" t="s">
        <v>2551</v>
      </c>
      <c r="B1212" t="s">
        <v>168</v>
      </c>
      <c r="C1212" t="s">
        <v>169</v>
      </c>
      <c r="D1212" t="s">
        <v>28</v>
      </c>
      <c r="E1212">
        <v>8</v>
      </c>
      <c r="F1212" t="s">
        <v>128</v>
      </c>
      <c r="G1212">
        <v>188000</v>
      </c>
      <c r="H1212">
        <v>157000</v>
      </c>
      <c r="I1212">
        <v>218000</v>
      </c>
      <c r="J1212" t="s">
        <v>42</v>
      </c>
      <c r="K1212" t="s">
        <v>43</v>
      </c>
      <c r="L1212" t="s">
        <v>44</v>
      </c>
      <c r="M1212" t="s">
        <v>33</v>
      </c>
      <c r="N1212" t="s">
        <v>110</v>
      </c>
      <c r="O1212" t="s">
        <v>2552</v>
      </c>
      <c r="P1212">
        <v>5</v>
      </c>
      <c r="Q1212">
        <v>90</v>
      </c>
      <c r="R1212">
        <v>23.3</v>
      </c>
      <c r="S1212">
        <v>9.1999999999999993</v>
      </c>
      <c r="T1212">
        <v>2026</v>
      </c>
      <c r="U1212">
        <v>3</v>
      </c>
      <c r="V1212">
        <v>1</v>
      </c>
      <c r="W1212" t="s">
        <v>47</v>
      </c>
      <c r="X1212" t="s">
        <v>64</v>
      </c>
      <c r="Y1212" t="s">
        <v>48</v>
      </c>
    </row>
    <row r="1213" spans="1:25" x14ac:dyDescent="0.35">
      <c r="A1213" t="s">
        <v>2553</v>
      </c>
      <c r="B1213" t="s">
        <v>203</v>
      </c>
      <c r="C1213" t="s">
        <v>169</v>
      </c>
      <c r="D1213" t="s">
        <v>28</v>
      </c>
      <c r="E1213">
        <v>7</v>
      </c>
      <c r="F1213" t="s">
        <v>29</v>
      </c>
      <c r="G1213">
        <v>138000</v>
      </c>
      <c r="H1213">
        <v>138000</v>
      </c>
      <c r="I1213">
        <v>195000</v>
      </c>
      <c r="J1213" t="s">
        <v>108</v>
      </c>
      <c r="K1213" t="s">
        <v>109</v>
      </c>
      <c r="L1213" t="s">
        <v>32</v>
      </c>
      <c r="M1213" t="s">
        <v>82</v>
      </c>
      <c r="N1213" t="s">
        <v>83</v>
      </c>
      <c r="O1213" t="s">
        <v>2554</v>
      </c>
      <c r="P1213">
        <v>4.2</v>
      </c>
      <c r="Q1213">
        <v>92</v>
      </c>
      <c r="R1213">
        <v>49.4</v>
      </c>
      <c r="S1213">
        <v>9.4</v>
      </c>
      <c r="T1213">
        <v>2026</v>
      </c>
      <c r="U1213">
        <v>1</v>
      </c>
      <c r="V1213">
        <v>1</v>
      </c>
      <c r="W1213" t="s">
        <v>36</v>
      </c>
      <c r="X1213" t="s">
        <v>64</v>
      </c>
      <c r="Y1213" t="s">
        <v>95</v>
      </c>
    </row>
    <row r="1214" spans="1:25" x14ac:dyDescent="0.35">
      <c r="A1214" t="s">
        <v>2555</v>
      </c>
      <c r="B1214" t="s">
        <v>196</v>
      </c>
      <c r="C1214" t="s">
        <v>27</v>
      </c>
      <c r="D1214" t="s">
        <v>74</v>
      </c>
      <c r="E1214">
        <v>2</v>
      </c>
      <c r="F1214" t="s">
        <v>128</v>
      </c>
      <c r="G1214">
        <v>100000</v>
      </c>
      <c r="H1214">
        <v>100000</v>
      </c>
      <c r="I1214">
        <v>250000</v>
      </c>
      <c r="J1214" t="s">
        <v>92</v>
      </c>
      <c r="K1214" t="s">
        <v>93</v>
      </c>
      <c r="L1214" t="s">
        <v>32</v>
      </c>
      <c r="M1214" t="s">
        <v>61</v>
      </c>
      <c r="N1214" t="s">
        <v>119</v>
      </c>
      <c r="O1214" t="s">
        <v>2556</v>
      </c>
      <c r="P1214">
        <v>12.8</v>
      </c>
      <c r="Q1214">
        <v>95</v>
      </c>
      <c r="R1214">
        <v>54.9</v>
      </c>
      <c r="S1214">
        <v>9.5</v>
      </c>
      <c r="T1214">
        <v>2025</v>
      </c>
      <c r="U1214">
        <v>11</v>
      </c>
      <c r="V1214">
        <v>0</v>
      </c>
      <c r="W1214" t="s">
        <v>36</v>
      </c>
      <c r="X1214" t="s">
        <v>64</v>
      </c>
      <c r="Y1214" t="s">
        <v>98</v>
      </c>
    </row>
    <row r="1215" spans="1:25" x14ac:dyDescent="0.35">
      <c r="A1215" t="s">
        <v>2557</v>
      </c>
      <c r="B1215" t="s">
        <v>179</v>
      </c>
      <c r="C1215" t="s">
        <v>180</v>
      </c>
      <c r="D1215" t="s">
        <v>28</v>
      </c>
      <c r="E1215">
        <v>7</v>
      </c>
      <c r="F1215" t="s">
        <v>29</v>
      </c>
      <c r="G1215">
        <v>134000</v>
      </c>
      <c r="H1215">
        <v>110000</v>
      </c>
      <c r="I1215">
        <v>210000</v>
      </c>
      <c r="J1215" t="s">
        <v>122</v>
      </c>
      <c r="K1215" t="s">
        <v>123</v>
      </c>
      <c r="L1215" t="s">
        <v>53</v>
      </c>
      <c r="M1215" t="s">
        <v>61</v>
      </c>
      <c r="N1215" t="s">
        <v>76</v>
      </c>
      <c r="O1215" t="s">
        <v>2558</v>
      </c>
      <c r="P1215">
        <v>13.2</v>
      </c>
      <c r="Q1215">
        <v>72</v>
      </c>
      <c r="R1215">
        <v>12.1</v>
      </c>
      <c r="S1215">
        <v>7.9</v>
      </c>
      <c r="T1215">
        <v>2026</v>
      </c>
      <c r="U1215">
        <v>2</v>
      </c>
      <c r="V1215">
        <v>1</v>
      </c>
      <c r="W1215" t="s">
        <v>47</v>
      </c>
      <c r="X1215" t="s">
        <v>64</v>
      </c>
      <c r="Y1215" t="s">
        <v>95</v>
      </c>
    </row>
    <row r="1216" spans="1:25" x14ac:dyDescent="0.35">
      <c r="A1216" t="s">
        <v>2559</v>
      </c>
      <c r="B1216" t="s">
        <v>86</v>
      </c>
      <c r="C1216" t="s">
        <v>27</v>
      </c>
      <c r="D1216" t="s">
        <v>81</v>
      </c>
      <c r="E1216">
        <v>5</v>
      </c>
      <c r="F1216" t="s">
        <v>51</v>
      </c>
      <c r="G1216">
        <v>213000</v>
      </c>
      <c r="H1216">
        <v>180000</v>
      </c>
      <c r="I1216">
        <v>312000</v>
      </c>
      <c r="J1216" t="s">
        <v>52</v>
      </c>
      <c r="K1216" t="s">
        <v>31</v>
      </c>
      <c r="L1216" t="s">
        <v>53</v>
      </c>
      <c r="M1216" t="s">
        <v>82</v>
      </c>
      <c r="N1216" t="s">
        <v>165</v>
      </c>
      <c r="O1216" t="s">
        <v>2560</v>
      </c>
      <c r="P1216">
        <v>9.5</v>
      </c>
      <c r="Q1216">
        <v>96</v>
      </c>
      <c r="R1216">
        <v>32.799999999999997</v>
      </c>
      <c r="S1216">
        <v>8.6</v>
      </c>
      <c r="T1216">
        <v>2025</v>
      </c>
      <c r="U1216">
        <v>5</v>
      </c>
      <c r="V1216">
        <v>0</v>
      </c>
      <c r="W1216" t="s">
        <v>47</v>
      </c>
      <c r="X1216" t="s">
        <v>64</v>
      </c>
      <c r="Y1216" t="s">
        <v>38</v>
      </c>
    </row>
    <row r="1217" spans="1:25" x14ac:dyDescent="0.35">
      <c r="A1217" t="s">
        <v>2561</v>
      </c>
      <c r="B1217" t="s">
        <v>40</v>
      </c>
      <c r="C1217" t="s">
        <v>27</v>
      </c>
      <c r="D1217" t="s">
        <v>68</v>
      </c>
      <c r="E1217">
        <v>2</v>
      </c>
      <c r="F1217" t="s">
        <v>69</v>
      </c>
      <c r="G1217">
        <v>233000</v>
      </c>
      <c r="H1217">
        <v>90000</v>
      </c>
      <c r="I1217">
        <v>200000</v>
      </c>
      <c r="J1217" t="s">
        <v>60</v>
      </c>
      <c r="K1217" t="s">
        <v>60</v>
      </c>
      <c r="L1217" t="s">
        <v>53</v>
      </c>
      <c r="M1217" t="s">
        <v>54</v>
      </c>
      <c r="N1217" t="s">
        <v>83</v>
      </c>
      <c r="O1217" t="s">
        <v>2562</v>
      </c>
      <c r="P1217">
        <v>9.4</v>
      </c>
      <c r="Q1217">
        <v>82</v>
      </c>
      <c r="R1217">
        <v>8.5</v>
      </c>
      <c r="S1217">
        <v>6.4</v>
      </c>
      <c r="T1217">
        <v>2026</v>
      </c>
      <c r="U1217">
        <v>3</v>
      </c>
      <c r="V1217">
        <v>1</v>
      </c>
      <c r="W1217" t="s">
        <v>47</v>
      </c>
      <c r="X1217" t="s">
        <v>37</v>
      </c>
      <c r="Y1217" t="s">
        <v>38</v>
      </c>
    </row>
    <row r="1218" spans="1:25" x14ac:dyDescent="0.35">
      <c r="A1218" t="s">
        <v>2563</v>
      </c>
      <c r="B1218" t="s">
        <v>196</v>
      </c>
      <c r="C1218" t="s">
        <v>27</v>
      </c>
      <c r="D1218" t="s">
        <v>81</v>
      </c>
      <c r="E1218">
        <v>3</v>
      </c>
      <c r="F1218" t="s">
        <v>69</v>
      </c>
      <c r="G1218">
        <v>113000</v>
      </c>
      <c r="H1218">
        <v>100000</v>
      </c>
      <c r="I1218">
        <v>250000</v>
      </c>
      <c r="J1218" t="s">
        <v>137</v>
      </c>
      <c r="K1218" t="s">
        <v>138</v>
      </c>
      <c r="L1218" t="s">
        <v>53</v>
      </c>
      <c r="M1218" t="s">
        <v>82</v>
      </c>
      <c r="N1218" t="s">
        <v>131</v>
      </c>
      <c r="O1218" t="s">
        <v>2564</v>
      </c>
      <c r="P1218">
        <v>11.2</v>
      </c>
      <c r="Q1218">
        <v>95</v>
      </c>
      <c r="R1218">
        <v>40.200000000000003</v>
      </c>
      <c r="S1218">
        <v>9.6999999999999993</v>
      </c>
      <c r="T1218">
        <v>2026</v>
      </c>
      <c r="U1218">
        <v>2</v>
      </c>
      <c r="V1218">
        <v>0</v>
      </c>
      <c r="W1218" t="s">
        <v>47</v>
      </c>
      <c r="X1218" t="s">
        <v>64</v>
      </c>
      <c r="Y1218" t="s">
        <v>95</v>
      </c>
    </row>
    <row r="1219" spans="1:25" x14ac:dyDescent="0.35">
      <c r="A1219" t="s">
        <v>2565</v>
      </c>
      <c r="B1219" t="s">
        <v>58</v>
      </c>
      <c r="C1219" t="s">
        <v>59</v>
      </c>
      <c r="D1219" t="s">
        <v>68</v>
      </c>
      <c r="E1219">
        <v>5</v>
      </c>
      <c r="F1219" t="s">
        <v>51</v>
      </c>
      <c r="G1219">
        <v>172000</v>
      </c>
      <c r="H1219">
        <v>130000</v>
      </c>
      <c r="I1219">
        <v>220000</v>
      </c>
      <c r="J1219" t="s">
        <v>137</v>
      </c>
      <c r="K1219" t="s">
        <v>138</v>
      </c>
      <c r="L1219" t="s">
        <v>53</v>
      </c>
      <c r="M1219" t="s">
        <v>82</v>
      </c>
      <c r="N1219" t="s">
        <v>110</v>
      </c>
      <c r="O1219" t="s">
        <v>2566</v>
      </c>
      <c r="P1219">
        <v>13.8</v>
      </c>
      <c r="Q1219">
        <v>88</v>
      </c>
      <c r="R1219">
        <v>22.7</v>
      </c>
      <c r="S1219">
        <v>9.1999999999999993</v>
      </c>
      <c r="T1219">
        <v>2025</v>
      </c>
      <c r="U1219">
        <v>7</v>
      </c>
      <c r="V1219">
        <v>1</v>
      </c>
      <c r="W1219" t="s">
        <v>47</v>
      </c>
      <c r="X1219" t="s">
        <v>64</v>
      </c>
      <c r="Y1219" t="s">
        <v>48</v>
      </c>
    </row>
    <row r="1220" spans="1:25" x14ac:dyDescent="0.35">
      <c r="A1220" t="s">
        <v>2567</v>
      </c>
      <c r="B1220" t="s">
        <v>26</v>
      </c>
      <c r="C1220" t="s">
        <v>27</v>
      </c>
      <c r="D1220" t="s">
        <v>74</v>
      </c>
      <c r="E1220">
        <v>6</v>
      </c>
      <c r="F1220" t="s">
        <v>69</v>
      </c>
      <c r="G1220">
        <v>155000</v>
      </c>
      <c r="H1220">
        <v>155000</v>
      </c>
      <c r="I1220">
        <v>290000</v>
      </c>
      <c r="J1220" t="s">
        <v>191</v>
      </c>
      <c r="K1220" t="s">
        <v>31</v>
      </c>
      <c r="L1220" t="s">
        <v>53</v>
      </c>
      <c r="M1220" t="s">
        <v>82</v>
      </c>
      <c r="N1220" t="s">
        <v>76</v>
      </c>
      <c r="O1220" t="s">
        <v>2568</v>
      </c>
      <c r="P1220">
        <v>9.8000000000000007</v>
      </c>
      <c r="Q1220">
        <v>96</v>
      </c>
      <c r="R1220">
        <v>84</v>
      </c>
      <c r="S1220">
        <v>8.8000000000000007</v>
      </c>
      <c r="T1220">
        <v>2026</v>
      </c>
      <c r="U1220">
        <v>3</v>
      </c>
      <c r="V1220">
        <v>0</v>
      </c>
      <c r="W1220" t="s">
        <v>47</v>
      </c>
      <c r="X1220" t="s">
        <v>37</v>
      </c>
      <c r="Y1220" t="s">
        <v>48</v>
      </c>
    </row>
    <row r="1221" spans="1:25" x14ac:dyDescent="0.35">
      <c r="A1221" t="s">
        <v>2569</v>
      </c>
      <c r="B1221" t="s">
        <v>100</v>
      </c>
      <c r="C1221" t="s">
        <v>101</v>
      </c>
      <c r="D1221" t="s">
        <v>28</v>
      </c>
      <c r="E1221">
        <v>7</v>
      </c>
      <c r="F1221" t="s">
        <v>128</v>
      </c>
      <c r="G1221">
        <v>180000</v>
      </c>
      <c r="H1221">
        <v>180000</v>
      </c>
      <c r="I1221">
        <v>320000</v>
      </c>
      <c r="J1221" t="s">
        <v>92</v>
      </c>
      <c r="K1221" t="s">
        <v>93</v>
      </c>
      <c r="L1221" t="s">
        <v>53</v>
      </c>
      <c r="M1221" t="s">
        <v>61</v>
      </c>
      <c r="N1221" t="s">
        <v>131</v>
      </c>
      <c r="O1221" t="s">
        <v>2570</v>
      </c>
      <c r="P1221">
        <v>10.9</v>
      </c>
      <c r="Q1221">
        <v>84</v>
      </c>
      <c r="R1221">
        <v>17.3</v>
      </c>
      <c r="S1221">
        <v>8.1</v>
      </c>
      <c r="T1221">
        <v>2026</v>
      </c>
      <c r="U1221">
        <v>3</v>
      </c>
      <c r="V1221">
        <v>1</v>
      </c>
      <c r="W1221" t="s">
        <v>47</v>
      </c>
      <c r="X1221" t="s">
        <v>64</v>
      </c>
      <c r="Y1221" t="s">
        <v>48</v>
      </c>
    </row>
    <row r="1222" spans="1:25" x14ac:dyDescent="0.35">
      <c r="A1222" t="s">
        <v>2571</v>
      </c>
      <c r="B1222" t="s">
        <v>146</v>
      </c>
      <c r="C1222" t="s">
        <v>27</v>
      </c>
      <c r="D1222" t="s">
        <v>28</v>
      </c>
      <c r="E1222">
        <v>6</v>
      </c>
      <c r="F1222" t="s">
        <v>69</v>
      </c>
      <c r="G1222">
        <v>343000</v>
      </c>
      <c r="H1222">
        <v>160000</v>
      </c>
      <c r="I1222">
        <v>300000</v>
      </c>
      <c r="J1222" t="s">
        <v>174</v>
      </c>
      <c r="K1222" t="s">
        <v>31</v>
      </c>
      <c r="L1222" t="s">
        <v>32</v>
      </c>
      <c r="M1222" t="s">
        <v>82</v>
      </c>
      <c r="N1222" t="s">
        <v>62</v>
      </c>
      <c r="O1222" t="s">
        <v>2572</v>
      </c>
      <c r="P1222">
        <v>14.5</v>
      </c>
      <c r="Q1222">
        <v>90</v>
      </c>
      <c r="R1222">
        <v>18.2</v>
      </c>
      <c r="S1222">
        <v>6.4</v>
      </c>
      <c r="T1222">
        <v>2026</v>
      </c>
      <c r="U1222">
        <v>3</v>
      </c>
      <c r="V1222">
        <v>1</v>
      </c>
      <c r="W1222" t="s">
        <v>36</v>
      </c>
      <c r="X1222" t="s">
        <v>64</v>
      </c>
      <c r="Y1222" t="s">
        <v>56</v>
      </c>
    </row>
    <row r="1223" spans="1:25" x14ac:dyDescent="0.35">
      <c r="A1223" t="s">
        <v>2573</v>
      </c>
      <c r="B1223" t="s">
        <v>168</v>
      </c>
      <c r="C1223" t="s">
        <v>169</v>
      </c>
      <c r="D1223" t="s">
        <v>68</v>
      </c>
      <c r="E1223">
        <v>9</v>
      </c>
      <c r="F1223" t="s">
        <v>29</v>
      </c>
      <c r="G1223">
        <v>225000</v>
      </c>
      <c r="H1223">
        <v>157000</v>
      </c>
      <c r="I1223">
        <v>218000</v>
      </c>
      <c r="J1223" t="s">
        <v>42</v>
      </c>
      <c r="K1223" t="s">
        <v>43</v>
      </c>
      <c r="L1223" t="s">
        <v>44</v>
      </c>
      <c r="M1223" t="s">
        <v>61</v>
      </c>
      <c r="N1223" t="s">
        <v>71</v>
      </c>
      <c r="O1223" t="s">
        <v>2574</v>
      </c>
      <c r="P1223">
        <v>4.5</v>
      </c>
      <c r="Q1223">
        <v>90</v>
      </c>
      <c r="R1223">
        <v>8.5</v>
      </c>
      <c r="S1223">
        <v>9.3000000000000007</v>
      </c>
      <c r="T1223">
        <v>2026</v>
      </c>
      <c r="U1223">
        <v>3</v>
      </c>
      <c r="V1223">
        <v>1</v>
      </c>
      <c r="W1223" t="s">
        <v>47</v>
      </c>
      <c r="X1223" t="s">
        <v>64</v>
      </c>
      <c r="Y1223" t="s">
        <v>38</v>
      </c>
    </row>
    <row r="1224" spans="1:25" x14ac:dyDescent="0.35">
      <c r="A1224" t="s">
        <v>2575</v>
      </c>
      <c r="B1224" t="s">
        <v>40</v>
      </c>
      <c r="C1224" t="s">
        <v>27</v>
      </c>
      <c r="D1224" t="s">
        <v>74</v>
      </c>
      <c r="E1224">
        <v>2</v>
      </c>
      <c r="F1224" t="s">
        <v>41</v>
      </c>
      <c r="G1224">
        <v>108000</v>
      </c>
      <c r="H1224">
        <v>90000</v>
      </c>
      <c r="I1224">
        <v>200000</v>
      </c>
      <c r="J1224" t="s">
        <v>70</v>
      </c>
      <c r="K1224" t="s">
        <v>31</v>
      </c>
      <c r="L1224" t="s">
        <v>53</v>
      </c>
      <c r="M1224" t="s">
        <v>33</v>
      </c>
      <c r="N1224" t="s">
        <v>110</v>
      </c>
      <c r="O1224" t="s">
        <v>2576</v>
      </c>
      <c r="P1224">
        <v>9.1</v>
      </c>
      <c r="Q1224">
        <v>82</v>
      </c>
      <c r="R1224">
        <v>10.1</v>
      </c>
      <c r="S1224">
        <v>9.8000000000000007</v>
      </c>
      <c r="T1224">
        <v>2025</v>
      </c>
      <c r="U1224">
        <v>8</v>
      </c>
      <c r="V1224">
        <v>0</v>
      </c>
      <c r="W1224" t="s">
        <v>47</v>
      </c>
      <c r="X1224" t="s">
        <v>37</v>
      </c>
      <c r="Y1224" t="s">
        <v>95</v>
      </c>
    </row>
    <row r="1225" spans="1:25" x14ac:dyDescent="0.35">
      <c r="A1225" t="s">
        <v>2577</v>
      </c>
      <c r="B1225" t="s">
        <v>146</v>
      </c>
      <c r="C1225" t="s">
        <v>27</v>
      </c>
      <c r="D1225" t="s">
        <v>74</v>
      </c>
      <c r="E1225">
        <v>8</v>
      </c>
      <c r="F1225" t="s">
        <v>51</v>
      </c>
      <c r="G1225">
        <v>160000</v>
      </c>
      <c r="H1225">
        <v>160000</v>
      </c>
      <c r="I1225">
        <v>300000</v>
      </c>
      <c r="J1225" t="s">
        <v>92</v>
      </c>
      <c r="K1225" t="s">
        <v>93</v>
      </c>
      <c r="L1225" t="s">
        <v>44</v>
      </c>
      <c r="M1225" t="s">
        <v>45</v>
      </c>
      <c r="N1225" t="s">
        <v>119</v>
      </c>
      <c r="O1225" t="s">
        <v>2578</v>
      </c>
      <c r="P1225">
        <v>14.1</v>
      </c>
      <c r="Q1225">
        <v>90</v>
      </c>
      <c r="R1225">
        <v>12.2</v>
      </c>
      <c r="S1225">
        <v>7.7</v>
      </c>
      <c r="T1225">
        <v>2026</v>
      </c>
      <c r="U1225">
        <v>1</v>
      </c>
      <c r="V1225">
        <v>0</v>
      </c>
      <c r="W1225" t="s">
        <v>47</v>
      </c>
      <c r="X1225" t="s">
        <v>64</v>
      </c>
      <c r="Y1225" t="s">
        <v>48</v>
      </c>
    </row>
    <row r="1226" spans="1:25" x14ac:dyDescent="0.35">
      <c r="A1226" t="s">
        <v>2579</v>
      </c>
      <c r="B1226" t="s">
        <v>196</v>
      </c>
      <c r="C1226" t="s">
        <v>27</v>
      </c>
      <c r="D1226" t="s">
        <v>68</v>
      </c>
      <c r="E1226">
        <v>8</v>
      </c>
      <c r="F1226" t="s">
        <v>128</v>
      </c>
      <c r="G1226">
        <v>222000</v>
      </c>
      <c r="H1226">
        <v>100000</v>
      </c>
      <c r="I1226">
        <v>250000</v>
      </c>
      <c r="J1226" t="s">
        <v>102</v>
      </c>
      <c r="K1226" t="s">
        <v>103</v>
      </c>
      <c r="L1226" t="s">
        <v>53</v>
      </c>
      <c r="M1226" t="s">
        <v>82</v>
      </c>
      <c r="N1226" t="s">
        <v>34</v>
      </c>
      <c r="O1226" t="s">
        <v>2580</v>
      </c>
      <c r="P1226">
        <v>17.3</v>
      </c>
      <c r="Q1226">
        <v>95</v>
      </c>
      <c r="R1226">
        <v>42.3</v>
      </c>
      <c r="S1226">
        <v>9.1</v>
      </c>
      <c r="T1226">
        <v>2026</v>
      </c>
      <c r="U1226">
        <v>1</v>
      </c>
      <c r="V1226">
        <v>1</v>
      </c>
      <c r="W1226" t="s">
        <v>47</v>
      </c>
      <c r="X1226" t="s">
        <v>64</v>
      </c>
      <c r="Y1226" t="s">
        <v>38</v>
      </c>
    </row>
    <row r="1227" spans="1:25" x14ac:dyDescent="0.35">
      <c r="A1227" t="s">
        <v>2581</v>
      </c>
      <c r="B1227" t="s">
        <v>86</v>
      </c>
      <c r="C1227" t="s">
        <v>27</v>
      </c>
      <c r="D1227" t="s">
        <v>28</v>
      </c>
      <c r="E1227">
        <v>10</v>
      </c>
      <c r="F1227" t="s">
        <v>69</v>
      </c>
      <c r="G1227">
        <v>258000</v>
      </c>
      <c r="H1227">
        <v>180000</v>
      </c>
      <c r="I1227">
        <v>312000</v>
      </c>
      <c r="J1227" t="s">
        <v>30</v>
      </c>
      <c r="K1227" t="s">
        <v>31</v>
      </c>
      <c r="L1227" t="s">
        <v>44</v>
      </c>
      <c r="M1227" t="s">
        <v>82</v>
      </c>
      <c r="N1227" t="s">
        <v>110</v>
      </c>
      <c r="O1227" t="s">
        <v>2582</v>
      </c>
      <c r="P1227">
        <v>8.6</v>
      </c>
      <c r="Q1227">
        <v>96</v>
      </c>
      <c r="R1227">
        <v>19.5</v>
      </c>
      <c r="S1227">
        <v>6.9</v>
      </c>
      <c r="T1227">
        <v>2025</v>
      </c>
      <c r="U1227">
        <v>7</v>
      </c>
      <c r="V1227">
        <v>1</v>
      </c>
      <c r="W1227" t="s">
        <v>47</v>
      </c>
      <c r="X1227" t="s">
        <v>64</v>
      </c>
      <c r="Y1227" t="s">
        <v>38</v>
      </c>
    </row>
    <row r="1228" spans="1:25" x14ac:dyDescent="0.35">
      <c r="A1228" t="s">
        <v>2583</v>
      </c>
      <c r="B1228" t="s">
        <v>79</v>
      </c>
      <c r="C1228" t="s">
        <v>80</v>
      </c>
      <c r="D1228" t="s">
        <v>81</v>
      </c>
      <c r="E1228">
        <v>4</v>
      </c>
      <c r="F1228" t="s">
        <v>128</v>
      </c>
      <c r="G1228">
        <v>140000</v>
      </c>
      <c r="H1228">
        <v>140000</v>
      </c>
      <c r="I1228">
        <v>260000</v>
      </c>
      <c r="J1228" t="s">
        <v>113</v>
      </c>
      <c r="K1228" t="s">
        <v>114</v>
      </c>
      <c r="L1228" t="s">
        <v>32</v>
      </c>
      <c r="M1228" t="s">
        <v>33</v>
      </c>
      <c r="N1228" t="s">
        <v>155</v>
      </c>
      <c r="O1228" t="s">
        <v>2584</v>
      </c>
      <c r="P1228">
        <v>8.4</v>
      </c>
      <c r="Q1228">
        <v>80</v>
      </c>
      <c r="R1228">
        <v>21</v>
      </c>
      <c r="S1228">
        <v>6.4</v>
      </c>
      <c r="T1228">
        <v>2026</v>
      </c>
      <c r="U1228">
        <v>2</v>
      </c>
      <c r="V1228">
        <v>0</v>
      </c>
      <c r="W1228" t="s">
        <v>36</v>
      </c>
      <c r="X1228" t="s">
        <v>64</v>
      </c>
      <c r="Y1228" t="s">
        <v>95</v>
      </c>
    </row>
    <row r="1229" spans="1:25" x14ac:dyDescent="0.35">
      <c r="A1229" t="s">
        <v>2585</v>
      </c>
      <c r="B1229" t="s">
        <v>50</v>
      </c>
      <c r="C1229" t="s">
        <v>27</v>
      </c>
      <c r="D1229" t="s">
        <v>74</v>
      </c>
      <c r="E1229">
        <v>5</v>
      </c>
      <c r="F1229" t="s">
        <v>69</v>
      </c>
      <c r="G1229">
        <v>160000</v>
      </c>
      <c r="H1229">
        <v>160000</v>
      </c>
      <c r="I1229">
        <v>300000</v>
      </c>
      <c r="J1229" t="s">
        <v>129</v>
      </c>
      <c r="K1229" t="s">
        <v>130</v>
      </c>
      <c r="L1229" t="s">
        <v>53</v>
      </c>
      <c r="M1229" t="s">
        <v>45</v>
      </c>
      <c r="N1229" t="s">
        <v>88</v>
      </c>
      <c r="O1229" t="s">
        <v>2586</v>
      </c>
      <c r="P1229">
        <v>6.1</v>
      </c>
      <c r="Q1229">
        <v>98</v>
      </c>
      <c r="R1229">
        <v>22.8</v>
      </c>
      <c r="S1229">
        <v>8</v>
      </c>
      <c r="T1229">
        <v>2025</v>
      </c>
      <c r="U1229">
        <v>9</v>
      </c>
      <c r="V1229">
        <v>0</v>
      </c>
      <c r="W1229" t="s">
        <v>47</v>
      </c>
      <c r="X1229" t="s">
        <v>37</v>
      </c>
      <c r="Y1229" t="s">
        <v>48</v>
      </c>
    </row>
    <row r="1230" spans="1:25" x14ac:dyDescent="0.35">
      <c r="A1230" t="s">
        <v>2587</v>
      </c>
      <c r="B1230" t="s">
        <v>40</v>
      </c>
      <c r="C1230" t="s">
        <v>27</v>
      </c>
      <c r="D1230" t="s">
        <v>68</v>
      </c>
      <c r="E1230">
        <v>5</v>
      </c>
      <c r="F1230" t="s">
        <v>69</v>
      </c>
      <c r="G1230">
        <v>172000</v>
      </c>
      <c r="H1230">
        <v>90000</v>
      </c>
      <c r="I1230">
        <v>200000</v>
      </c>
      <c r="J1230" t="s">
        <v>30</v>
      </c>
      <c r="K1230" t="s">
        <v>31</v>
      </c>
      <c r="L1230" t="s">
        <v>53</v>
      </c>
      <c r="M1230" t="s">
        <v>33</v>
      </c>
      <c r="N1230" t="s">
        <v>62</v>
      </c>
      <c r="O1230" t="s">
        <v>2588</v>
      </c>
      <c r="P1230">
        <v>9.1</v>
      </c>
      <c r="Q1230">
        <v>82</v>
      </c>
      <c r="R1230">
        <v>13.3</v>
      </c>
      <c r="S1230">
        <v>9.6999999999999993</v>
      </c>
      <c r="T1230">
        <v>2025</v>
      </c>
      <c r="U1230">
        <v>4</v>
      </c>
      <c r="V1230">
        <v>1</v>
      </c>
      <c r="W1230" t="s">
        <v>47</v>
      </c>
      <c r="X1230" t="s">
        <v>37</v>
      </c>
      <c r="Y1230" t="s">
        <v>48</v>
      </c>
    </row>
    <row r="1231" spans="1:25" x14ac:dyDescent="0.35">
      <c r="A1231" t="s">
        <v>2589</v>
      </c>
      <c r="B1231" t="s">
        <v>224</v>
      </c>
      <c r="C1231" t="s">
        <v>27</v>
      </c>
      <c r="D1231" t="s">
        <v>74</v>
      </c>
      <c r="E1231">
        <v>8</v>
      </c>
      <c r="F1231" t="s">
        <v>51</v>
      </c>
      <c r="G1231">
        <v>145000</v>
      </c>
      <c r="H1231">
        <v>145000</v>
      </c>
      <c r="I1231">
        <v>280000</v>
      </c>
      <c r="J1231" t="s">
        <v>60</v>
      </c>
      <c r="K1231" t="s">
        <v>60</v>
      </c>
      <c r="L1231" t="s">
        <v>44</v>
      </c>
      <c r="M1231" t="s">
        <v>54</v>
      </c>
      <c r="N1231" t="s">
        <v>119</v>
      </c>
      <c r="O1231" t="s">
        <v>2590</v>
      </c>
      <c r="P1231">
        <v>8.3000000000000007</v>
      </c>
      <c r="Q1231">
        <v>87</v>
      </c>
      <c r="R1231">
        <v>9.1</v>
      </c>
      <c r="S1231">
        <v>6.6</v>
      </c>
      <c r="T1231">
        <v>2026</v>
      </c>
      <c r="U1231">
        <v>1</v>
      </c>
      <c r="V1231">
        <v>0</v>
      </c>
      <c r="W1231" t="s">
        <v>47</v>
      </c>
      <c r="X1231" t="s">
        <v>64</v>
      </c>
      <c r="Y1231" t="s">
        <v>95</v>
      </c>
    </row>
    <row r="1232" spans="1:25" x14ac:dyDescent="0.35">
      <c r="A1232" t="s">
        <v>2591</v>
      </c>
      <c r="B1232" t="s">
        <v>203</v>
      </c>
      <c r="C1232" t="s">
        <v>169</v>
      </c>
      <c r="D1232" t="s">
        <v>28</v>
      </c>
      <c r="E1232">
        <v>7</v>
      </c>
      <c r="F1232" t="s">
        <v>51</v>
      </c>
      <c r="G1232">
        <v>153000</v>
      </c>
      <c r="H1232">
        <v>138000</v>
      </c>
      <c r="I1232">
        <v>195000</v>
      </c>
      <c r="J1232" t="s">
        <v>170</v>
      </c>
      <c r="K1232" t="s">
        <v>171</v>
      </c>
      <c r="L1232" t="s">
        <v>32</v>
      </c>
      <c r="M1232" t="s">
        <v>45</v>
      </c>
      <c r="N1232" t="s">
        <v>62</v>
      </c>
      <c r="O1232" t="s">
        <v>2592</v>
      </c>
      <c r="P1232">
        <v>6.6</v>
      </c>
      <c r="Q1232">
        <v>92</v>
      </c>
      <c r="R1232">
        <v>29.9</v>
      </c>
      <c r="S1232">
        <v>9.4</v>
      </c>
      <c r="T1232">
        <v>2026</v>
      </c>
      <c r="U1232">
        <v>2</v>
      </c>
      <c r="V1232">
        <v>1</v>
      </c>
      <c r="W1232" t="s">
        <v>36</v>
      </c>
      <c r="X1232" t="s">
        <v>64</v>
      </c>
      <c r="Y1232" t="s">
        <v>48</v>
      </c>
    </row>
    <row r="1233" spans="1:25" x14ac:dyDescent="0.35">
      <c r="A1233" t="s">
        <v>2593</v>
      </c>
      <c r="B1233" t="s">
        <v>233</v>
      </c>
      <c r="C1233" t="s">
        <v>180</v>
      </c>
      <c r="D1233" t="s">
        <v>81</v>
      </c>
      <c r="E1233">
        <v>8</v>
      </c>
      <c r="F1233" t="s">
        <v>128</v>
      </c>
      <c r="G1233">
        <v>140000</v>
      </c>
      <c r="H1233">
        <v>100000</v>
      </c>
      <c r="I1233">
        <v>200000</v>
      </c>
      <c r="J1233" t="s">
        <v>137</v>
      </c>
      <c r="K1233" t="s">
        <v>138</v>
      </c>
      <c r="L1233" t="s">
        <v>32</v>
      </c>
      <c r="M1233" t="s">
        <v>45</v>
      </c>
      <c r="N1233" t="s">
        <v>71</v>
      </c>
      <c r="O1233" t="s">
        <v>2594</v>
      </c>
      <c r="P1233">
        <v>13.4</v>
      </c>
      <c r="Q1233">
        <v>68</v>
      </c>
      <c r="R1233">
        <v>25.5</v>
      </c>
      <c r="S1233">
        <v>9.6</v>
      </c>
      <c r="T1233">
        <v>2025</v>
      </c>
      <c r="U1233">
        <v>10</v>
      </c>
      <c r="V1233">
        <v>0</v>
      </c>
      <c r="W1233" t="s">
        <v>36</v>
      </c>
      <c r="X1233" t="s">
        <v>64</v>
      </c>
      <c r="Y1233" t="s">
        <v>95</v>
      </c>
    </row>
    <row r="1234" spans="1:25" x14ac:dyDescent="0.35">
      <c r="A1234" t="s">
        <v>2595</v>
      </c>
      <c r="B1234" t="s">
        <v>179</v>
      </c>
      <c r="C1234" t="s">
        <v>180</v>
      </c>
      <c r="D1234" t="s">
        <v>68</v>
      </c>
      <c r="E1234">
        <v>6</v>
      </c>
      <c r="F1234" t="s">
        <v>29</v>
      </c>
      <c r="G1234">
        <v>212000</v>
      </c>
      <c r="H1234">
        <v>110000</v>
      </c>
      <c r="I1234">
        <v>210000</v>
      </c>
      <c r="J1234" t="s">
        <v>191</v>
      </c>
      <c r="K1234" t="s">
        <v>31</v>
      </c>
      <c r="L1234" t="s">
        <v>32</v>
      </c>
      <c r="M1234" t="s">
        <v>33</v>
      </c>
      <c r="N1234" t="s">
        <v>110</v>
      </c>
      <c r="O1234" t="s">
        <v>2596</v>
      </c>
      <c r="P1234">
        <v>9.3000000000000007</v>
      </c>
      <c r="Q1234">
        <v>72</v>
      </c>
      <c r="R1234">
        <v>23.3</v>
      </c>
      <c r="S1234">
        <v>8.5</v>
      </c>
      <c r="T1234">
        <v>2026</v>
      </c>
      <c r="U1234">
        <v>1</v>
      </c>
      <c r="V1234">
        <v>1</v>
      </c>
      <c r="W1234" t="s">
        <v>36</v>
      </c>
      <c r="X1234" t="s">
        <v>64</v>
      </c>
      <c r="Y1234" t="s">
        <v>38</v>
      </c>
    </row>
    <row r="1235" spans="1:25" x14ac:dyDescent="0.35">
      <c r="A1235" t="s">
        <v>2597</v>
      </c>
      <c r="B1235" t="s">
        <v>196</v>
      </c>
      <c r="C1235" t="s">
        <v>27</v>
      </c>
      <c r="D1235" t="s">
        <v>74</v>
      </c>
      <c r="E1235">
        <v>3</v>
      </c>
      <c r="F1235" t="s">
        <v>69</v>
      </c>
      <c r="G1235">
        <v>100000</v>
      </c>
      <c r="H1235">
        <v>100000</v>
      </c>
      <c r="I1235">
        <v>250000</v>
      </c>
      <c r="J1235" t="s">
        <v>108</v>
      </c>
      <c r="K1235" t="s">
        <v>109</v>
      </c>
      <c r="L1235" t="s">
        <v>44</v>
      </c>
      <c r="M1235" t="s">
        <v>33</v>
      </c>
      <c r="N1235" t="s">
        <v>110</v>
      </c>
      <c r="O1235" t="s">
        <v>2598</v>
      </c>
      <c r="P1235">
        <v>12.9</v>
      </c>
      <c r="Q1235">
        <v>95</v>
      </c>
      <c r="R1235">
        <v>79.900000000000006</v>
      </c>
      <c r="S1235">
        <v>9.6999999999999993</v>
      </c>
      <c r="T1235">
        <v>2025</v>
      </c>
      <c r="U1235">
        <v>11</v>
      </c>
      <c r="V1235">
        <v>0</v>
      </c>
      <c r="W1235" t="s">
        <v>47</v>
      </c>
      <c r="X1235" t="s">
        <v>64</v>
      </c>
      <c r="Y1235" t="s">
        <v>98</v>
      </c>
    </row>
    <row r="1236" spans="1:25" x14ac:dyDescent="0.35">
      <c r="A1236" t="s">
        <v>2599</v>
      </c>
      <c r="B1236" t="s">
        <v>179</v>
      </c>
      <c r="C1236" t="s">
        <v>180</v>
      </c>
      <c r="D1236" t="s">
        <v>74</v>
      </c>
      <c r="E1236">
        <v>10</v>
      </c>
      <c r="F1236" t="s">
        <v>51</v>
      </c>
      <c r="G1236">
        <v>110000</v>
      </c>
      <c r="H1236">
        <v>110000</v>
      </c>
      <c r="I1236">
        <v>210000</v>
      </c>
      <c r="J1236" t="s">
        <v>170</v>
      </c>
      <c r="K1236" t="s">
        <v>171</v>
      </c>
      <c r="L1236" t="s">
        <v>53</v>
      </c>
      <c r="M1236" t="s">
        <v>45</v>
      </c>
      <c r="N1236" t="s">
        <v>83</v>
      </c>
      <c r="O1236" t="s">
        <v>2600</v>
      </c>
      <c r="P1236">
        <v>12</v>
      </c>
      <c r="Q1236">
        <v>72</v>
      </c>
      <c r="R1236">
        <v>16.399999999999999</v>
      </c>
      <c r="S1236">
        <v>7.1</v>
      </c>
      <c r="T1236">
        <v>2026</v>
      </c>
      <c r="U1236">
        <v>3</v>
      </c>
      <c r="V1236">
        <v>0</v>
      </c>
      <c r="W1236" t="s">
        <v>47</v>
      </c>
      <c r="X1236" t="s">
        <v>64</v>
      </c>
      <c r="Y1236" t="s">
        <v>95</v>
      </c>
    </row>
    <row r="1237" spans="1:25" x14ac:dyDescent="0.35">
      <c r="A1237" t="s">
        <v>2601</v>
      </c>
      <c r="B1237" t="s">
        <v>146</v>
      </c>
      <c r="C1237" t="s">
        <v>27</v>
      </c>
      <c r="D1237" t="s">
        <v>81</v>
      </c>
      <c r="E1237">
        <v>5</v>
      </c>
      <c r="F1237" t="s">
        <v>29</v>
      </c>
      <c r="G1237">
        <v>241000</v>
      </c>
      <c r="H1237">
        <v>160000</v>
      </c>
      <c r="I1237">
        <v>300000</v>
      </c>
      <c r="J1237" t="s">
        <v>137</v>
      </c>
      <c r="K1237" t="s">
        <v>138</v>
      </c>
      <c r="L1237" t="s">
        <v>53</v>
      </c>
      <c r="M1237" t="s">
        <v>54</v>
      </c>
      <c r="N1237" t="s">
        <v>131</v>
      </c>
      <c r="O1237" t="s">
        <v>2602</v>
      </c>
      <c r="P1237">
        <v>11.8</v>
      </c>
      <c r="Q1237">
        <v>90</v>
      </c>
      <c r="R1237">
        <v>22.8</v>
      </c>
      <c r="S1237">
        <v>6.7</v>
      </c>
      <c r="T1237">
        <v>2026</v>
      </c>
      <c r="U1237">
        <v>1</v>
      </c>
      <c r="V1237">
        <v>0</v>
      </c>
      <c r="W1237" t="s">
        <v>47</v>
      </c>
      <c r="X1237" t="s">
        <v>64</v>
      </c>
      <c r="Y1237" t="s">
        <v>38</v>
      </c>
    </row>
    <row r="1238" spans="1:25" x14ac:dyDescent="0.35">
      <c r="A1238" t="s">
        <v>2603</v>
      </c>
      <c r="B1238" t="s">
        <v>185</v>
      </c>
      <c r="C1238" t="s">
        <v>186</v>
      </c>
      <c r="D1238" t="s">
        <v>74</v>
      </c>
      <c r="E1238">
        <v>5</v>
      </c>
      <c r="F1238" t="s">
        <v>51</v>
      </c>
      <c r="G1238">
        <v>140000</v>
      </c>
      <c r="H1238">
        <v>140000</v>
      </c>
      <c r="I1238">
        <v>270000</v>
      </c>
      <c r="J1238" t="s">
        <v>75</v>
      </c>
      <c r="K1238" t="s">
        <v>31</v>
      </c>
      <c r="L1238" t="s">
        <v>32</v>
      </c>
      <c r="M1238" t="s">
        <v>61</v>
      </c>
      <c r="N1238" t="s">
        <v>119</v>
      </c>
      <c r="O1238" t="s">
        <v>2604</v>
      </c>
      <c r="P1238">
        <v>8.5</v>
      </c>
      <c r="Q1238">
        <v>85</v>
      </c>
      <c r="R1238">
        <v>7.9</v>
      </c>
      <c r="S1238">
        <v>7.9</v>
      </c>
      <c r="T1238">
        <v>2026</v>
      </c>
      <c r="U1238">
        <v>1</v>
      </c>
      <c r="V1238">
        <v>0</v>
      </c>
      <c r="W1238" t="s">
        <v>36</v>
      </c>
      <c r="X1238" t="s">
        <v>64</v>
      </c>
      <c r="Y1238" t="s">
        <v>95</v>
      </c>
    </row>
    <row r="1239" spans="1:25" x14ac:dyDescent="0.35">
      <c r="A1239" t="s">
        <v>2605</v>
      </c>
      <c r="B1239" t="s">
        <v>86</v>
      </c>
      <c r="C1239" t="s">
        <v>27</v>
      </c>
      <c r="D1239" t="s">
        <v>74</v>
      </c>
      <c r="E1239">
        <v>7</v>
      </c>
      <c r="F1239" t="s">
        <v>41</v>
      </c>
      <c r="G1239">
        <v>180000</v>
      </c>
      <c r="H1239">
        <v>180000</v>
      </c>
      <c r="I1239">
        <v>312000</v>
      </c>
      <c r="J1239" t="s">
        <v>113</v>
      </c>
      <c r="K1239" t="s">
        <v>114</v>
      </c>
      <c r="L1239" t="s">
        <v>53</v>
      </c>
      <c r="M1239" t="s">
        <v>33</v>
      </c>
      <c r="N1239" t="s">
        <v>88</v>
      </c>
      <c r="O1239" t="s">
        <v>2606</v>
      </c>
      <c r="P1239">
        <v>14</v>
      </c>
      <c r="Q1239">
        <v>96</v>
      </c>
      <c r="R1239">
        <v>78</v>
      </c>
      <c r="S1239">
        <v>9.5</v>
      </c>
      <c r="T1239">
        <v>2025</v>
      </c>
      <c r="U1239">
        <v>6</v>
      </c>
      <c r="V1239">
        <v>0</v>
      </c>
      <c r="W1239" t="s">
        <v>47</v>
      </c>
      <c r="X1239" t="s">
        <v>64</v>
      </c>
      <c r="Y1239" t="s">
        <v>48</v>
      </c>
    </row>
    <row r="1240" spans="1:25" x14ac:dyDescent="0.35">
      <c r="A1240" t="s">
        <v>2607</v>
      </c>
      <c r="B1240" t="s">
        <v>149</v>
      </c>
      <c r="C1240" t="s">
        <v>150</v>
      </c>
      <c r="D1240" t="s">
        <v>81</v>
      </c>
      <c r="E1240">
        <v>3</v>
      </c>
      <c r="F1240" t="s">
        <v>128</v>
      </c>
      <c r="G1240">
        <v>233000</v>
      </c>
      <c r="H1240">
        <v>130000</v>
      </c>
      <c r="I1240">
        <v>260000</v>
      </c>
      <c r="J1240" t="s">
        <v>117</v>
      </c>
      <c r="K1240" t="s">
        <v>118</v>
      </c>
      <c r="L1240" t="s">
        <v>53</v>
      </c>
      <c r="M1240" t="s">
        <v>54</v>
      </c>
      <c r="N1240" t="s">
        <v>76</v>
      </c>
      <c r="O1240" t="s">
        <v>2608</v>
      </c>
      <c r="P1240">
        <v>11.9</v>
      </c>
      <c r="Q1240">
        <v>93</v>
      </c>
      <c r="R1240">
        <v>35.700000000000003</v>
      </c>
      <c r="S1240">
        <v>9.1999999999999993</v>
      </c>
      <c r="T1240">
        <v>2026</v>
      </c>
      <c r="U1240">
        <v>1</v>
      </c>
      <c r="V1240">
        <v>0</v>
      </c>
      <c r="W1240" t="s">
        <v>47</v>
      </c>
      <c r="X1240" t="s">
        <v>64</v>
      </c>
      <c r="Y1240" t="s">
        <v>38</v>
      </c>
    </row>
    <row r="1241" spans="1:25" x14ac:dyDescent="0.35">
      <c r="A1241" t="s">
        <v>2609</v>
      </c>
      <c r="B1241" t="s">
        <v>141</v>
      </c>
      <c r="C1241" t="s">
        <v>27</v>
      </c>
      <c r="D1241" t="s">
        <v>81</v>
      </c>
      <c r="E1241">
        <v>5</v>
      </c>
      <c r="F1241" t="s">
        <v>69</v>
      </c>
      <c r="G1241">
        <v>204000</v>
      </c>
      <c r="H1241">
        <v>141000</v>
      </c>
      <c r="I1241">
        <v>270000</v>
      </c>
      <c r="J1241" t="s">
        <v>52</v>
      </c>
      <c r="K1241" t="s">
        <v>31</v>
      </c>
      <c r="L1241" t="s">
        <v>32</v>
      </c>
      <c r="M1241" t="s">
        <v>45</v>
      </c>
      <c r="N1241" t="s">
        <v>110</v>
      </c>
      <c r="O1241" t="s">
        <v>2610</v>
      </c>
      <c r="P1241">
        <v>8.6999999999999993</v>
      </c>
      <c r="Q1241">
        <v>89</v>
      </c>
      <c r="R1241">
        <v>22.2</v>
      </c>
      <c r="S1241">
        <v>8.8000000000000007</v>
      </c>
      <c r="T1241">
        <v>2026</v>
      </c>
      <c r="U1241">
        <v>1</v>
      </c>
      <c r="V1241">
        <v>0</v>
      </c>
      <c r="W1241" t="s">
        <v>36</v>
      </c>
      <c r="X1241" t="s">
        <v>64</v>
      </c>
      <c r="Y1241" t="s">
        <v>38</v>
      </c>
    </row>
    <row r="1242" spans="1:25" x14ac:dyDescent="0.35">
      <c r="A1242" t="s">
        <v>2611</v>
      </c>
      <c r="B1242" t="s">
        <v>163</v>
      </c>
      <c r="C1242" t="s">
        <v>164</v>
      </c>
      <c r="D1242" t="s">
        <v>74</v>
      </c>
      <c r="E1242">
        <v>9</v>
      </c>
      <c r="F1242" t="s">
        <v>128</v>
      </c>
      <c r="G1242">
        <v>125000</v>
      </c>
      <c r="H1242">
        <v>125000</v>
      </c>
      <c r="I1242">
        <v>240000</v>
      </c>
      <c r="J1242" t="s">
        <v>137</v>
      </c>
      <c r="K1242" t="s">
        <v>138</v>
      </c>
      <c r="L1242" t="s">
        <v>44</v>
      </c>
      <c r="M1242" t="s">
        <v>33</v>
      </c>
      <c r="N1242" t="s">
        <v>131</v>
      </c>
      <c r="O1242" t="s">
        <v>2612</v>
      </c>
      <c r="P1242">
        <v>9.1</v>
      </c>
      <c r="Q1242">
        <v>76</v>
      </c>
      <c r="R1242">
        <v>28.9</v>
      </c>
      <c r="S1242">
        <v>6.8</v>
      </c>
      <c r="T1242">
        <v>2025</v>
      </c>
      <c r="U1242">
        <v>11</v>
      </c>
      <c r="V1242">
        <v>0</v>
      </c>
      <c r="W1242" t="s">
        <v>47</v>
      </c>
      <c r="X1242" t="s">
        <v>64</v>
      </c>
      <c r="Y1242" t="s">
        <v>95</v>
      </c>
    </row>
    <row r="1243" spans="1:25" x14ac:dyDescent="0.35">
      <c r="A1243" t="s">
        <v>2613</v>
      </c>
      <c r="B1243" t="s">
        <v>185</v>
      </c>
      <c r="C1243" t="s">
        <v>186</v>
      </c>
      <c r="D1243" t="s">
        <v>28</v>
      </c>
      <c r="E1243">
        <v>4</v>
      </c>
      <c r="F1243" t="s">
        <v>69</v>
      </c>
      <c r="G1243">
        <v>230000</v>
      </c>
      <c r="H1243">
        <v>140000</v>
      </c>
      <c r="I1243">
        <v>270000</v>
      </c>
      <c r="J1243" t="s">
        <v>70</v>
      </c>
      <c r="K1243" t="s">
        <v>31</v>
      </c>
      <c r="L1243" t="s">
        <v>44</v>
      </c>
      <c r="M1243" t="s">
        <v>61</v>
      </c>
      <c r="N1243" t="s">
        <v>34</v>
      </c>
      <c r="O1243" t="s">
        <v>2614</v>
      </c>
      <c r="P1243">
        <v>13.2</v>
      </c>
      <c r="Q1243">
        <v>85</v>
      </c>
      <c r="R1243">
        <v>23.2</v>
      </c>
      <c r="S1243">
        <v>9.1</v>
      </c>
      <c r="T1243">
        <v>2025</v>
      </c>
      <c r="U1243">
        <v>9</v>
      </c>
      <c r="V1243">
        <v>1</v>
      </c>
      <c r="W1243" t="s">
        <v>47</v>
      </c>
      <c r="X1243" t="s">
        <v>64</v>
      </c>
      <c r="Y1243" t="s">
        <v>38</v>
      </c>
    </row>
    <row r="1244" spans="1:25" x14ac:dyDescent="0.35">
      <c r="A1244" t="s">
        <v>2615</v>
      </c>
      <c r="B1244" t="s">
        <v>127</v>
      </c>
      <c r="C1244" t="s">
        <v>27</v>
      </c>
      <c r="D1244" t="s">
        <v>81</v>
      </c>
      <c r="E1244">
        <v>7</v>
      </c>
      <c r="F1244" t="s">
        <v>128</v>
      </c>
      <c r="G1244">
        <v>293000</v>
      </c>
      <c r="H1244">
        <v>120000</v>
      </c>
      <c r="I1244">
        <v>280000</v>
      </c>
      <c r="J1244" t="s">
        <v>75</v>
      </c>
      <c r="K1244" t="s">
        <v>31</v>
      </c>
      <c r="L1244" t="s">
        <v>53</v>
      </c>
      <c r="M1244" t="s">
        <v>54</v>
      </c>
      <c r="N1244" t="s">
        <v>110</v>
      </c>
      <c r="O1244" t="s">
        <v>2616</v>
      </c>
      <c r="P1244">
        <v>14.3</v>
      </c>
      <c r="Q1244">
        <v>97</v>
      </c>
      <c r="R1244">
        <v>45.5</v>
      </c>
      <c r="S1244">
        <v>6.3</v>
      </c>
      <c r="T1244">
        <v>2026</v>
      </c>
      <c r="U1244">
        <v>2</v>
      </c>
      <c r="V1244">
        <v>0</v>
      </c>
      <c r="W1244" t="s">
        <v>47</v>
      </c>
      <c r="X1244" t="s">
        <v>64</v>
      </c>
      <c r="Y1244" t="s">
        <v>38</v>
      </c>
    </row>
    <row r="1245" spans="1:25" x14ac:dyDescent="0.35">
      <c r="A1245" t="s">
        <v>2617</v>
      </c>
      <c r="B1245" t="s">
        <v>609</v>
      </c>
      <c r="C1245" t="s">
        <v>124</v>
      </c>
      <c r="D1245" t="s">
        <v>74</v>
      </c>
      <c r="E1245">
        <v>10</v>
      </c>
      <c r="F1245" t="s">
        <v>29</v>
      </c>
      <c r="G1245">
        <v>115000</v>
      </c>
      <c r="H1245">
        <v>115000</v>
      </c>
      <c r="I1245">
        <v>280000</v>
      </c>
      <c r="J1245" t="s">
        <v>102</v>
      </c>
      <c r="K1245" t="s">
        <v>103</v>
      </c>
      <c r="L1245" t="s">
        <v>53</v>
      </c>
      <c r="M1245" t="s">
        <v>33</v>
      </c>
      <c r="N1245" t="s">
        <v>62</v>
      </c>
      <c r="O1245" t="s">
        <v>2618</v>
      </c>
      <c r="P1245">
        <v>17.100000000000001</v>
      </c>
      <c r="Q1245">
        <v>88</v>
      </c>
      <c r="R1245">
        <v>10.5</v>
      </c>
      <c r="S1245">
        <v>9.8000000000000007</v>
      </c>
      <c r="T1245">
        <v>2026</v>
      </c>
      <c r="U1245">
        <v>1</v>
      </c>
      <c r="V1245">
        <v>0</v>
      </c>
      <c r="W1245" t="s">
        <v>47</v>
      </c>
      <c r="X1245" t="s">
        <v>64</v>
      </c>
      <c r="Y1245" t="s">
        <v>95</v>
      </c>
    </row>
    <row r="1246" spans="1:25" x14ac:dyDescent="0.35">
      <c r="A1246" t="s">
        <v>2619</v>
      </c>
      <c r="B1246" t="s">
        <v>127</v>
      </c>
      <c r="C1246" t="s">
        <v>27</v>
      </c>
      <c r="D1246" t="s">
        <v>81</v>
      </c>
      <c r="E1246">
        <v>9</v>
      </c>
      <c r="F1246" t="s">
        <v>29</v>
      </c>
      <c r="G1246">
        <v>203000</v>
      </c>
      <c r="H1246">
        <v>120000</v>
      </c>
      <c r="I1246">
        <v>280000</v>
      </c>
      <c r="J1246" t="s">
        <v>60</v>
      </c>
      <c r="K1246" t="s">
        <v>60</v>
      </c>
      <c r="L1246" t="s">
        <v>53</v>
      </c>
      <c r="M1246" t="s">
        <v>54</v>
      </c>
      <c r="N1246" t="s">
        <v>165</v>
      </c>
      <c r="O1246" t="s">
        <v>2620</v>
      </c>
      <c r="P1246">
        <v>15.5</v>
      </c>
      <c r="Q1246">
        <v>97</v>
      </c>
      <c r="R1246">
        <v>25.2</v>
      </c>
      <c r="S1246">
        <v>7.6</v>
      </c>
      <c r="T1246">
        <v>2025</v>
      </c>
      <c r="U1246">
        <v>7</v>
      </c>
      <c r="V1246">
        <v>0</v>
      </c>
      <c r="W1246" t="s">
        <v>47</v>
      </c>
      <c r="X1246" t="s">
        <v>64</v>
      </c>
      <c r="Y1246" t="s">
        <v>38</v>
      </c>
    </row>
    <row r="1247" spans="1:25" x14ac:dyDescent="0.35">
      <c r="A1247" t="s">
        <v>2621</v>
      </c>
      <c r="B1247" t="s">
        <v>134</v>
      </c>
      <c r="C1247" t="s">
        <v>27</v>
      </c>
      <c r="D1247" t="s">
        <v>74</v>
      </c>
      <c r="E1247">
        <v>5</v>
      </c>
      <c r="F1247" t="s">
        <v>69</v>
      </c>
      <c r="G1247">
        <v>150000</v>
      </c>
      <c r="H1247">
        <v>150000</v>
      </c>
      <c r="I1247">
        <v>295000</v>
      </c>
      <c r="J1247" t="s">
        <v>60</v>
      </c>
      <c r="K1247" t="s">
        <v>60</v>
      </c>
      <c r="L1247" t="s">
        <v>53</v>
      </c>
      <c r="M1247" t="s">
        <v>33</v>
      </c>
      <c r="N1247" t="s">
        <v>76</v>
      </c>
      <c r="O1247" t="s">
        <v>2622</v>
      </c>
      <c r="P1247">
        <v>12.3</v>
      </c>
      <c r="Q1247">
        <v>95</v>
      </c>
      <c r="R1247">
        <v>53.4</v>
      </c>
      <c r="S1247">
        <v>8.5</v>
      </c>
      <c r="T1247">
        <v>2025</v>
      </c>
      <c r="U1247">
        <v>2</v>
      </c>
      <c r="V1247">
        <v>0</v>
      </c>
      <c r="W1247" t="s">
        <v>47</v>
      </c>
      <c r="X1247" t="s">
        <v>37</v>
      </c>
      <c r="Y1247" t="s">
        <v>95</v>
      </c>
    </row>
    <row r="1248" spans="1:25" x14ac:dyDescent="0.35">
      <c r="A1248" t="s">
        <v>2623</v>
      </c>
      <c r="B1248" t="s">
        <v>134</v>
      </c>
      <c r="C1248" t="s">
        <v>27</v>
      </c>
      <c r="D1248" t="s">
        <v>68</v>
      </c>
      <c r="E1248">
        <v>3</v>
      </c>
      <c r="F1248" t="s">
        <v>69</v>
      </c>
      <c r="G1248">
        <v>202000</v>
      </c>
      <c r="H1248">
        <v>150000</v>
      </c>
      <c r="I1248">
        <v>295000</v>
      </c>
      <c r="J1248" t="s">
        <v>137</v>
      </c>
      <c r="K1248" t="s">
        <v>138</v>
      </c>
      <c r="L1248" t="s">
        <v>44</v>
      </c>
      <c r="M1248" t="s">
        <v>61</v>
      </c>
      <c r="N1248" t="s">
        <v>88</v>
      </c>
      <c r="O1248" t="s">
        <v>2624</v>
      </c>
      <c r="P1248">
        <v>8.9</v>
      </c>
      <c r="Q1248">
        <v>95</v>
      </c>
      <c r="R1248">
        <v>43.8</v>
      </c>
      <c r="S1248">
        <v>9.1</v>
      </c>
      <c r="T1248">
        <v>2025</v>
      </c>
      <c r="U1248">
        <v>9</v>
      </c>
      <c r="V1248">
        <v>1</v>
      </c>
      <c r="W1248" t="s">
        <v>47</v>
      </c>
      <c r="X1248" t="s">
        <v>37</v>
      </c>
      <c r="Y1248" t="s">
        <v>38</v>
      </c>
    </row>
    <row r="1249" spans="1:25" x14ac:dyDescent="0.35">
      <c r="A1249" t="s">
        <v>2625</v>
      </c>
      <c r="B1249" t="s">
        <v>26</v>
      </c>
      <c r="C1249" t="s">
        <v>27</v>
      </c>
      <c r="D1249" t="s">
        <v>74</v>
      </c>
      <c r="E1249">
        <v>6</v>
      </c>
      <c r="F1249" t="s">
        <v>69</v>
      </c>
      <c r="G1249">
        <v>155000</v>
      </c>
      <c r="H1249">
        <v>155000</v>
      </c>
      <c r="I1249">
        <v>290000</v>
      </c>
      <c r="J1249" t="s">
        <v>108</v>
      </c>
      <c r="K1249" t="s">
        <v>109</v>
      </c>
      <c r="L1249" t="s">
        <v>44</v>
      </c>
      <c r="M1249" t="s">
        <v>54</v>
      </c>
      <c r="N1249" t="s">
        <v>88</v>
      </c>
      <c r="O1249" t="s">
        <v>2626</v>
      </c>
      <c r="P1249">
        <v>12.3</v>
      </c>
      <c r="Q1249">
        <v>96</v>
      </c>
      <c r="R1249">
        <v>86.1</v>
      </c>
      <c r="S1249">
        <v>9.1999999999999993</v>
      </c>
      <c r="T1249">
        <v>2025</v>
      </c>
      <c r="U1249">
        <v>1</v>
      </c>
      <c r="V1249">
        <v>0</v>
      </c>
      <c r="W1249" t="s">
        <v>47</v>
      </c>
      <c r="X1249" t="s">
        <v>37</v>
      </c>
      <c r="Y1249" t="s">
        <v>48</v>
      </c>
    </row>
    <row r="1250" spans="1:25" x14ac:dyDescent="0.35">
      <c r="A1250" t="s">
        <v>2627</v>
      </c>
      <c r="B1250" t="s">
        <v>163</v>
      </c>
      <c r="C1250" t="s">
        <v>164</v>
      </c>
      <c r="D1250" t="s">
        <v>28</v>
      </c>
      <c r="E1250">
        <v>3</v>
      </c>
      <c r="F1250" t="s">
        <v>51</v>
      </c>
      <c r="G1250">
        <v>237000</v>
      </c>
      <c r="H1250">
        <v>125000</v>
      </c>
      <c r="I1250">
        <v>240000</v>
      </c>
      <c r="J1250" t="s">
        <v>70</v>
      </c>
      <c r="K1250" t="s">
        <v>31</v>
      </c>
      <c r="L1250" t="s">
        <v>44</v>
      </c>
      <c r="M1250" t="s">
        <v>54</v>
      </c>
      <c r="N1250" t="s">
        <v>83</v>
      </c>
      <c r="O1250" t="s">
        <v>2628</v>
      </c>
      <c r="P1250">
        <v>13.8</v>
      </c>
      <c r="Q1250">
        <v>76</v>
      </c>
      <c r="R1250">
        <v>19.3</v>
      </c>
      <c r="S1250">
        <v>9.6</v>
      </c>
      <c r="T1250">
        <v>2025</v>
      </c>
      <c r="U1250">
        <v>6</v>
      </c>
      <c r="V1250">
        <v>1</v>
      </c>
      <c r="W1250" t="s">
        <v>47</v>
      </c>
      <c r="X1250" t="s">
        <v>64</v>
      </c>
      <c r="Y1250" t="s">
        <v>38</v>
      </c>
    </row>
    <row r="1251" spans="1:25" x14ac:dyDescent="0.35">
      <c r="A1251" t="s">
        <v>2629</v>
      </c>
      <c r="B1251" t="s">
        <v>50</v>
      </c>
      <c r="C1251" t="s">
        <v>27</v>
      </c>
      <c r="D1251" t="s">
        <v>68</v>
      </c>
      <c r="E1251">
        <v>8</v>
      </c>
      <c r="F1251" t="s">
        <v>41</v>
      </c>
      <c r="G1251">
        <v>250000</v>
      </c>
      <c r="H1251">
        <v>160000</v>
      </c>
      <c r="I1251">
        <v>300000</v>
      </c>
      <c r="J1251" t="s">
        <v>60</v>
      </c>
      <c r="K1251" t="s">
        <v>60</v>
      </c>
      <c r="L1251" t="s">
        <v>44</v>
      </c>
      <c r="M1251" t="s">
        <v>33</v>
      </c>
      <c r="N1251" t="s">
        <v>124</v>
      </c>
      <c r="O1251" t="s">
        <v>2630</v>
      </c>
      <c r="P1251">
        <v>4.8</v>
      </c>
      <c r="Q1251">
        <v>98</v>
      </c>
      <c r="R1251">
        <v>58.4</v>
      </c>
      <c r="S1251">
        <v>8.4</v>
      </c>
      <c r="T1251">
        <v>2026</v>
      </c>
      <c r="U1251">
        <v>2</v>
      </c>
      <c r="V1251">
        <v>1</v>
      </c>
      <c r="W1251" t="s">
        <v>47</v>
      </c>
      <c r="X1251" t="s">
        <v>37</v>
      </c>
      <c r="Y1251" t="s">
        <v>38</v>
      </c>
    </row>
    <row r="1252" spans="1:25" x14ac:dyDescent="0.35">
      <c r="A1252" t="s">
        <v>2631</v>
      </c>
      <c r="B1252" t="s">
        <v>163</v>
      </c>
      <c r="C1252" t="s">
        <v>164</v>
      </c>
      <c r="D1252" t="s">
        <v>68</v>
      </c>
      <c r="E1252">
        <v>3</v>
      </c>
      <c r="F1252" t="s">
        <v>41</v>
      </c>
      <c r="G1252">
        <v>265000</v>
      </c>
      <c r="H1252">
        <v>125000</v>
      </c>
      <c r="I1252">
        <v>240000</v>
      </c>
      <c r="J1252" t="s">
        <v>47</v>
      </c>
      <c r="K1252" t="s">
        <v>87</v>
      </c>
      <c r="L1252" t="s">
        <v>44</v>
      </c>
      <c r="M1252" t="s">
        <v>82</v>
      </c>
      <c r="N1252" t="s">
        <v>83</v>
      </c>
      <c r="O1252" t="s">
        <v>2632</v>
      </c>
      <c r="P1252">
        <v>8.6</v>
      </c>
      <c r="Q1252">
        <v>76</v>
      </c>
      <c r="R1252">
        <v>17.7</v>
      </c>
      <c r="S1252">
        <v>9.1999999999999993</v>
      </c>
      <c r="T1252">
        <v>2025</v>
      </c>
      <c r="U1252">
        <v>5</v>
      </c>
      <c r="V1252">
        <v>1</v>
      </c>
      <c r="W1252" t="s">
        <v>47</v>
      </c>
      <c r="X1252" t="s">
        <v>64</v>
      </c>
      <c r="Y1252" t="s">
        <v>38</v>
      </c>
    </row>
    <row r="1253" spans="1:25" x14ac:dyDescent="0.35">
      <c r="A1253" t="s">
        <v>2633</v>
      </c>
      <c r="B1253" t="s">
        <v>609</v>
      </c>
      <c r="C1253" t="s">
        <v>124</v>
      </c>
      <c r="D1253" t="s">
        <v>68</v>
      </c>
      <c r="E1253">
        <v>6</v>
      </c>
      <c r="F1253" t="s">
        <v>51</v>
      </c>
      <c r="G1253">
        <v>115000</v>
      </c>
      <c r="H1253">
        <v>115000</v>
      </c>
      <c r="I1253">
        <v>280000</v>
      </c>
      <c r="J1253" t="s">
        <v>92</v>
      </c>
      <c r="K1253" t="s">
        <v>93</v>
      </c>
      <c r="L1253" t="s">
        <v>44</v>
      </c>
      <c r="M1253" t="s">
        <v>33</v>
      </c>
      <c r="N1253" t="s">
        <v>119</v>
      </c>
      <c r="O1253" t="s">
        <v>2634</v>
      </c>
      <c r="P1253">
        <v>11.8</v>
      </c>
      <c r="Q1253">
        <v>88</v>
      </c>
      <c r="R1253">
        <v>27.2</v>
      </c>
      <c r="S1253">
        <v>6.1</v>
      </c>
      <c r="T1253">
        <v>2026</v>
      </c>
      <c r="U1253">
        <v>3</v>
      </c>
      <c r="V1253">
        <v>1</v>
      </c>
      <c r="W1253" t="s">
        <v>47</v>
      </c>
      <c r="X1253" t="s">
        <v>64</v>
      </c>
      <c r="Y1253" t="s">
        <v>95</v>
      </c>
    </row>
    <row r="1254" spans="1:25" x14ac:dyDescent="0.35">
      <c r="A1254" t="s">
        <v>2635</v>
      </c>
      <c r="B1254" t="s">
        <v>141</v>
      </c>
      <c r="C1254" t="s">
        <v>27</v>
      </c>
      <c r="D1254" t="s">
        <v>28</v>
      </c>
      <c r="E1254">
        <v>9</v>
      </c>
      <c r="F1254" t="s">
        <v>29</v>
      </c>
      <c r="G1254">
        <v>324000</v>
      </c>
      <c r="H1254">
        <v>141000</v>
      </c>
      <c r="I1254">
        <v>270000</v>
      </c>
      <c r="J1254" t="s">
        <v>174</v>
      </c>
      <c r="K1254" t="s">
        <v>31</v>
      </c>
      <c r="L1254" t="s">
        <v>44</v>
      </c>
      <c r="M1254" t="s">
        <v>61</v>
      </c>
      <c r="N1254" t="s">
        <v>124</v>
      </c>
      <c r="O1254" t="s">
        <v>2636</v>
      </c>
      <c r="P1254">
        <v>10</v>
      </c>
      <c r="Q1254">
        <v>89</v>
      </c>
      <c r="R1254">
        <v>22.4</v>
      </c>
      <c r="S1254">
        <v>7.2</v>
      </c>
      <c r="T1254">
        <v>2026</v>
      </c>
      <c r="U1254">
        <v>3</v>
      </c>
      <c r="V1254">
        <v>1</v>
      </c>
      <c r="W1254" t="s">
        <v>47</v>
      </c>
      <c r="X1254" t="s">
        <v>64</v>
      </c>
      <c r="Y1254" t="s">
        <v>56</v>
      </c>
    </row>
    <row r="1255" spans="1:25" x14ac:dyDescent="0.35">
      <c r="A1255" t="s">
        <v>2637</v>
      </c>
      <c r="B1255" t="s">
        <v>86</v>
      </c>
      <c r="C1255" t="s">
        <v>27</v>
      </c>
      <c r="D1255" t="s">
        <v>68</v>
      </c>
      <c r="E1255">
        <v>11</v>
      </c>
      <c r="F1255" t="s">
        <v>51</v>
      </c>
      <c r="G1255">
        <v>228000</v>
      </c>
      <c r="H1255">
        <v>180000</v>
      </c>
      <c r="I1255">
        <v>312000</v>
      </c>
      <c r="J1255" t="s">
        <v>142</v>
      </c>
      <c r="K1255" t="s">
        <v>143</v>
      </c>
      <c r="L1255" t="s">
        <v>32</v>
      </c>
      <c r="M1255" t="s">
        <v>82</v>
      </c>
      <c r="N1255" t="s">
        <v>83</v>
      </c>
      <c r="O1255" t="s">
        <v>2638</v>
      </c>
      <c r="P1255">
        <v>11.3</v>
      </c>
      <c r="Q1255">
        <v>96</v>
      </c>
      <c r="R1255">
        <v>19.8</v>
      </c>
      <c r="S1255">
        <v>7.4</v>
      </c>
      <c r="T1255">
        <v>2026</v>
      </c>
      <c r="U1255">
        <v>3</v>
      </c>
      <c r="V1255">
        <v>1</v>
      </c>
      <c r="W1255" t="s">
        <v>36</v>
      </c>
      <c r="X1255" t="s">
        <v>64</v>
      </c>
      <c r="Y1255" t="s">
        <v>38</v>
      </c>
    </row>
    <row r="1256" spans="1:25" x14ac:dyDescent="0.35">
      <c r="A1256" t="s">
        <v>2639</v>
      </c>
      <c r="B1256" t="s">
        <v>163</v>
      </c>
      <c r="C1256" t="s">
        <v>164</v>
      </c>
      <c r="D1256" t="s">
        <v>81</v>
      </c>
      <c r="E1256">
        <v>7</v>
      </c>
      <c r="F1256" t="s">
        <v>128</v>
      </c>
      <c r="G1256">
        <v>155000</v>
      </c>
      <c r="H1256">
        <v>125000</v>
      </c>
      <c r="I1256">
        <v>240000</v>
      </c>
      <c r="J1256" t="s">
        <v>122</v>
      </c>
      <c r="K1256" t="s">
        <v>123</v>
      </c>
      <c r="L1256" t="s">
        <v>32</v>
      </c>
      <c r="M1256" t="s">
        <v>82</v>
      </c>
      <c r="N1256" t="s">
        <v>88</v>
      </c>
      <c r="O1256" t="s">
        <v>2640</v>
      </c>
      <c r="P1256">
        <v>17.8</v>
      </c>
      <c r="Q1256">
        <v>76</v>
      </c>
      <c r="R1256">
        <v>25.7</v>
      </c>
      <c r="S1256">
        <v>8</v>
      </c>
      <c r="T1256">
        <v>2025</v>
      </c>
      <c r="U1256">
        <v>1</v>
      </c>
      <c r="V1256">
        <v>0</v>
      </c>
      <c r="W1256" t="s">
        <v>36</v>
      </c>
      <c r="X1256" t="s">
        <v>64</v>
      </c>
      <c r="Y1256" t="s">
        <v>48</v>
      </c>
    </row>
    <row r="1257" spans="1:25" x14ac:dyDescent="0.35">
      <c r="A1257" t="s">
        <v>2641</v>
      </c>
      <c r="B1257" t="s">
        <v>146</v>
      </c>
      <c r="C1257" t="s">
        <v>27</v>
      </c>
      <c r="D1257" t="s">
        <v>28</v>
      </c>
      <c r="E1257">
        <v>7</v>
      </c>
      <c r="F1257" t="s">
        <v>51</v>
      </c>
      <c r="G1257">
        <v>239000</v>
      </c>
      <c r="H1257">
        <v>160000</v>
      </c>
      <c r="I1257">
        <v>300000</v>
      </c>
      <c r="J1257" t="s">
        <v>170</v>
      </c>
      <c r="K1257" t="s">
        <v>171</v>
      </c>
      <c r="L1257" t="s">
        <v>44</v>
      </c>
      <c r="M1257" t="s">
        <v>45</v>
      </c>
      <c r="N1257" t="s">
        <v>124</v>
      </c>
      <c r="O1257" t="s">
        <v>2642</v>
      </c>
      <c r="P1257">
        <v>14</v>
      </c>
      <c r="Q1257">
        <v>90</v>
      </c>
      <c r="R1257">
        <v>13.4</v>
      </c>
      <c r="S1257">
        <v>8</v>
      </c>
      <c r="T1257">
        <v>2025</v>
      </c>
      <c r="U1257">
        <v>12</v>
      </c>
      <c r="V1257">
        <v>1</v>
      </c>
      <c r="W1257" t="s">
        <v>47</v>
      </c>
      <c r="X1257" t="s">
        <v>64</v>
      </c>
      <c r="Y1257" t="s">
        <v>38</v>
      </c>
    </row>
    <row r="1258" spans="1:25" x14ac:dyDescent="0.35">
      <c r="A1258" t="s">
        <v>2643</v>
      </c>
      <c r="B1258" t="s">
        <v>149</v>
      </c>
      <c r="C1258" t="s">
        <v>150</v>
      </c>
      <c r="D1258" t="s">
        <v>28</v>
      </c>
      <c r="E1258">
        <v>7</v>
      </c>
      <c r="F1258" t="s">
        <v>41</v>
      </c>
      <c r="G1258">
        <v>152000</v>
      </c>
      <c r="H1258">
        <v>130000</v>
      </c>
      <c r="I1258">
        <v>260000</v>
      </c>
      <c r="J1258" t="s">
        <v>113</v>
      </c>
      <c r="K1258" t="s">
        <v>114</v>
      </c>
      <c r="L1258" t="s">
        <v>53</v>
      </c>
      <c r="M1258" t="s">
        <v>33</v>
      </c>
      <c r="N1258" t="s">
        <v>131</v>
      </c>
      <c r="O1258" t="s">
        <v>2644</v>
      </c>
      <c r="P1258">
        <v>15.6</v>
      </c>
      <c r="Q1258">
        <v>93</v>
      </c>
      <c r="R1258">
        <v>70.400000000000006</v>
      </c>
      <c r="S1258">
        <v>8.1999999999999993</v>
      </c>
      <c r="T1258">
        <v>2026</v>
      </c>
      <c r="U1258">
        <v>2</v>
      </c>
      <c r="V1258">
        <v>1</v>
      </c>
      <c r="W1258" t="s">
        <v>47</v>
      </c>
      <c r="X1258" t="s">
        <v>64</v>
      </c>
      <c r="Y1258" t="s">
        <v>48</v>
      </c>
    </row>
    <row r="1259" spans="1:25" x14ac:dyDescent="0.35">
      <c r="A1259" t="s">
        <v>2645</v>
      </c>
      <c r="B1259" t="s">
        <v>91</v>
      </c>
      <c r="C1259" t="s">
        <v>27</v>
      </c>
      <c r="D1259" t="s">
        <v>28</v>
      </c>
      <c r="E1259">
        <v>8</v>
      </c>
      <c r="F1259" t="s">
        <v>128</v>
      </c>
      <c r="G1259">
        <v>284000</v>
      </c>
      <c r="H1259">
        <v>145000</v>
      </c>
      <c r="I1259">
        <v>290000</v>
      </c>
      <c r="J1259" t="s">
        <v>47</v>
      </c>
      <c r="K1259" t="s">
        <v>87</v>
      </c>
      <c r="L1259" t="s">
        <v>44</v>
      </c>
      <c r="M1259" t="s">
        <v>61</v>
      </c>
      <c r="N1259" t="s">
        <v>131</v>
      </c>
      <c r="O1259" t="s">
        <v>2646</v>
      </c>
      <c r="P1259">
        <v>9.9</v>
      </c>
      <c r="Q1259">
        <v>91</v>
      </c>
      <c r="R1259">
        <v>23</v>
      </c>
      <c r="S1259">
        <v>6.1</v>
      </c>
      <c r="T1259">
        <v>2025</v>
      </c>
      <c r="U1259">
        <v>12</v>
      </c>
      <c r="V1259">
        <v>1</v>
      </c>
      <c r="W1259" t="s">
        <v>47</v>
      </c>
      <c r="X1259" t="s">
        <v>64</v>
      </c>
      <c r="Y1259" t="s">
        <v>38</v>
      </c>
    </row>
    <row r="1260" spans="1:25" x14ac:dyDescent="0.35">
      <c r="A1260" t="s">
        <v>2647</v>
      </c>
      <c r="B1260" t="s">
        <v>26</v>
      </c>
      <c r="C1260" t="s">
        <v>27</v>
      </c>
      <c r="D1260" t="s">
        <v>28</v>
      </c>
      <c r="E1260">
        <v>6</v>
      </c>
      <c r="F1260" t="s">
        <v>41</v>
      </c>
      <c r="G1260">
        <v>348000</v>
      </c>
      <c r="H1260">
        <v>155000</v>
      </c>
      <c r="I1260">
        <v>290000</v>
      </c>
      <c r="J1260" t="s">
        <v>174</v>
      </c>
      <c r="K1260" t="s">
        <v>31</v>
      </c>
      <c r="L1260" t="s">
        <v>53</v>
      </c>
      <c r="M1260" t="s">
        <v>82</v>
      </c>
      <c r="N1260" t="s">
        <v>131</v>
      </c>
      <c r="O1260" t="s">
        <v>2648</v>
      </c>
      <c r="P1260">
        <v>14</v>
      </c>
      <c r="Q1260">
        <v>96</v>
      </c>
      <c r="R1260">
        <v>71.3</v>
      </c>
      <c r="S1260">
        <v>8.6</v>
      </c>
      <c r="T1260">
        <v>2026</v>
      </c>
      <c r="U1260">
        <v>1</v>
      </c>
      <c r="V1260">
        <v>1</v>
      </c>
      <c r="W1260" t="s">
        <v>47</v>
      </c>
      <c r="X1260" t="s">
        <v>37</v>
      </c>
      <c r="Y1260" t="s">
        <v>56</v>
      </c>
    </row>
    <row r="1261" spans="1:25" x14ac:dyDescent="0.35">
      <c r="A1261" t="s">
        <v>2649</v>
      </c>
      <c r="B1261" t="s">
        <v>233</v>
      </c>
      <c r="C1261" t="s">
        <v>180</v>
      </c>
      <c r="D1261" t="s">
        <v>28</v>
      </c>
      <c r="E1261">
        <v>4</v>
      </c>
      <c r="F1261" t="s">
        <v>29</v>
      </c>
      <c r="G1261">
        <v>234000</v>
      </c>
      <c r="H1261">
        <v>100000</v>
      </c>
      <c r="I1261">
        <v>200000</v>
      </c>
      <c r="J1261" t="s">
        <v>47</v>
      </c>
      <c r="K1261" t="s">
        <v>87</v>
      </c>
      <c r="L1261" t="s">
        <v>53</v>
      </c>
      <c r="M1261" t="s">
        <v>54</v>
      </c>
      <c r="N1261" t="s">
        <v>110</v>
      </c>
      <c r="O1261" t="s">
        <v>2650</v>
      </c>
      <c r="P1261">
        <v>9.6999999999999993</v>
      </c>
      <c r="Q1261">
        <v>68</v>
      </c>
      <c r="R1261">
        <v>13.9</v>
      </c>
      <c r="S1261">
        <v>9.4</v>
      </c>
      <c r="T1261">
        <v>2026</v>
      </c>
      <c r="U1261">
        <v>1</v>
      </c>
      <c r="V1261">
        <v>1</v>
      </c>
      <c r="W1261" t="s">
        <v>47</v>
      </c>
      <c r="X1261" t="s">
        <v>64</v>
      </c>
      <c r="Y1261" t="s">
        <v>38</v>
      </c>
    </row>
    <row r="1262" spans="1:25" x14ac:dyDescent="0.35">
      <c r="A1262" t="s">
        <v>2651</v>
      </c>
      <c r="B1262" t="s">
        <v>163</v>
      </c>
      <c r="C1262" t="s">
        <v>164</v>
      </c>
      <c r="D1262" t="s">
        <v>81</v>
      </c>
      <c r="E1262">
        <v>3</v>
      </c>
      <c r="F1262" t="s">
        <v>128</v>
      </c>
      <c r="G1262">
        <v>154000</v>
      </c>
      <c r="H1262">
        <v>125000</v>
      </c>
      <c r="I1262">
        <v>240000</v>
      </c>
      <c r="J1262" t="s">
        <v>122</v>
      </c>
      <c r="K1262" t="s">
        <v>123</v>
      </c>
      <c r="L1262" t="s">
        <v>44</v>
      </c>
      <c r="M1262" t="s">
        <v>45</v>
      </c>
      <c r="N1262" t="s">
        <v>34</v>
      </c>
      <c r="O1262" t="s">
        <v>2652</v>
      </c>
      <c r="P1262">
        <v>15.6</v>
      </c>
      <c r="Q1262">
        <v>76</v>
      </c>
      <c r="R1262">
        <v>29.4</v>
      </c>
      <c r="S1262">
        <v>9</v>
      </c>
      <c r="T1262">
        <v>2026</v>
      </c>
      <c r="U1262">
        <v>3</v>
      </c>
      <c r="V1262">
        <v>0</v>
      </c>
      <c r="W1262" t="s">
        <v>47</v>
      </c>
      <c r="X1262" t="s">
        <v>64</v>
      </c>
      <c r="Y1262" t="s">
        <v>48</v>
      </c>
    </row>
    <row r="1263" spans="1:25" x14ac:dyDescent="0.35">
      <c r="A1263" t="s">
        <v>2653</v>
      </c>
      <c r="B1263" t="s">
        <v>86</v>
      </c>
      <c r="C1263" t="s">
        <v>27</v>
      </c>
      <c r="D1263" t="s">
        <v>28</v>
      </c>
      <c r="E1263">
        <v>9</v>
      </c>
      <c r="F1263" t="s">
        <v>41</v>
      </c>
      <c r="G1263">
        <v>180000</v>
      </c>
      <c r="H1263">
        <v>180000</v>
      </c>
      <c r="I1263">
        <v>312000</v>
      </c>
      <c r="J1263" t="s">
        <v>92</v>
      </c>
      <c r="K1263" t="s">
        <v>93</v>
      </c>
      <c r="L1263" t="s">
        <v>32</v>
      </c>
      <c r="M1263" t="s">
        <v>61</v>
      </c>
      <c r="N1263" t="s">
        <v>88</v>
      </c>
      <c r="O1263" t="s">
        <v>2654</v>
      </c>
      <c r="P1263">
        <v>16.5</v>
      </c>
      <c r="Q1263">
        <v>96</v>
      </c>
      <c r="R1263">
        <v>45.3</v>
      </c>
      <c r="S1263">
        <v>6.8</v>
      </c>
      <c r="T1263">
        <v>2026</v>
      </c>
      <c r="U1263">
        <v>2</v>
      </c>
      <c r="V1263">
        <v>1</v>
      </c>
      <c r="W1263" t="s">
        <v>36</v>
      </c>
      <c r="X1263" t="s">
        <v>64</v>
      </c>
      <c r="Y1263" t="s">
        <v>48</v>
      </c>
    </row>
    <row r="1264" spans="1:25" x14ac:dyDescent="0.35">
      <c r="A1264" t="s">
        <v>2655</v>
      </c>
      <c r="B1264" t="s">
        <v>203</v>
      </c>
      <c r="C1264" t="s">
        <v>169</v>
      </c>
      <c r="D1264" t="s">
        <v>28</v>
      </c>
      <c r="E1264">
        <v>5</v>
      </c>
      <c r="F1264" t="s">
        <v>69</v>
      </c>
      <c r="G1264">
        <v>148000</v>
      </c>
      <c r="H1264">
        <v>138000</v>
      </c>
      <c r="I1264">
        <v>195000</v>
      </c>
      <c r="J1264" t="s">
        <v>191</v>
      </c>
      <c r="K1264" t="s">
        <v>31</v>
      </c>
      <c r="L1264" t="s">
        <v>44</v>
      </c>
      <c r="M1264" t="s">
        <v>33</v>
      </c>
      <c r="N1264" t="s">
        <v>110</v>
      </c>
      <c r="O1264" t="s">
        <v>2656</v>
      </c>
      <c r="P1264">
        <v>6.6</v>
      </c>
      <c r="Q1264">
        <v>92</v>
      </c>
      <c r="R1264">
        <v>72.2</v>
      </c>
      <c r="S1264">
        <v>7.7</v>
      </c>
      <c r="T1264">
        <v>2025</v>
      </c>
      <c r="U1264">
        <v>10</v>
      </c>
      <c r="V1264">
        <v>1</v>
      </c>
      <c r="W1264" t="s">
        <v>47</v>
      </c>
      <c r="X1264" t="s">
        <v>64</v>
      </c>
      <c r="Y1264" t="s">
        <v>95</v>
      </c>
    </row>
    <row r="1265" spans="1:25" x14ac:dyDescent="0.35">
      <c r="A1265" t="s">
        <v>2657</v>
      </c>
      <c r="B1265" t="s">
        <v>158</v>
      </c>
      <c r="C1265" t="s">
        <v>27</v>
      </c>
      <c r="D1265" t="s">
        <v>81</v>
      </c>
      <c r="E1265">
        <v>5</v>
      </c>
      <c r="F1265" t="s">
        <v>41</v>
      </c>
      <c r="G1265">
        <v>256000</v>
      </c>
      <c r="H1265">
        <v>145000</v>
      </c>
      <c r="I1265">
        <v>280000</v>
      </c>
      <c r="J1265" t="s">
        <v>296</v>
      </c>
      <c r="K1265" t="s">
        <v>31</v>
      </c>
      <c r="L1265" t="s">
        <v>44</v>
      </c>
      <c r="M1265" t="s">
        <v>45</v>
      </c>
      <c r="N1265" t="s">
        <v>110</v>
      </c>
      <c r="O1265" t="s">
        <v>2658</v>
      </c>
      <c r="P1265">
        <v>8</v>
      </c>
      <c r="Q1265">
        <v>94</v>
      </c>
      <c r="R1265">
        <v>67.599999999999994</v>
      </c>
      <c r="S1265">
        <v>9.1</v>
      </c>
      <c r="T1265">
        <v>2026</v>
      </c>
      <c r="U1265">
        <v>1</v>
      </c>
      <c r="V1265">
        <v>0</v>
      </c>
      <c r="W1265" t="s">
        <v>47</v>
      </c>
      <c r="X1265" t="s">
        <v>37</v>
      </c>
      <c r="Y1265" t="s">
        <v>38</v>
      </c>
    </row>
    <row r="1266" spans="1:25" x14ac:dyDescent="0.35">
      <c r="A1266" t="s">
        <v>2659</v>
      </c>
      <c r="B1266" t="s">
        <v>146</v>
      </c>
      <c r="C1266" t="s">
        <v>27</v>
      </c>
      <c r="D1266" t="s">
        <v>81</v>
      </c>
      <c r="E1266">
        <v>9</v>
      </c>
      <c r="F1266" t="s">
        <v>41</v>
      </c>
      <c r="G1266">
        <v>207000</v>
      </c>
      <c r="H1266">
        <v>160000</v>
      </c>
      <c r="I1266">
        <v>300000</v>
      </c>
      <c r="J1266" t="s">
        <v>122</v>
      </c>
      <c r="K1266" t="s">
        <v>123</v>
      </c>
      <c r="L1266" t="s">
        <v>44</v>
      </c>
      <c r="M1266" t="s">
        <v>45</v>
      </c>
      <c r="N1266" t="s">
        <v>155</v>
      </c>
      <c r="O1266" t="s">
        <v>2660</v>
      </c>
      <c r="P1266">
        <v>17.399999999999999</v>
      </c>
      <c r="Q1266">
        <v>90</v>
      </c>
      <c r="R1266">
        <v>21.4</v>
      </c>
      <c r="S1266">
        <v>8.5</v>
      </c>
      <c r="T1266">
        <v>2025</v>
      </c>
      <c r="U1266">
        <v>6</v>
      </c>
      <c r="V1266">
        <v>0</v>
      </c>
      <c r="W1266" t="s">
        <v>47</v>
      </c>
      <c r="X1266" t="s">
        <v>64</v>
      </c>
      <c r="Y1266" t="s">
        <v>38</v>
      </c>
    </row>
    <row r="1267" spans="1:25" x14ac:dyDescent="0.35">
      <c r="A1267" t="s">
        <v>2661</v>
      </c>
      <c r="B1267" t="s">
        <v>158</v>
      </c>
      <c r="C1267" t="s">
        <v>27</v>
      </c>
      <c r="D1267" t="s">
        <v>28</v>
      </c>
      <c r="E1267">
        <v>7</v>
      </c>
      <c r="F1267" t="s">
        <v>128</v>
      </c>
      <c r="G1267">
        <v>237000</v>
      </c>
      <c r="H1267">
        <v>145000</v>
      </c>
      <c r="I1267">
        <v>280000</v>
      </c>
      <c r="J1267" t="s">
        <v>42</v>
      </c>
      <c r="K1267" t="s">
        <v>43</v>
      </c>
      <c r="L1267" t="s">
        <v>44</v>
      </c>
      <c r="M1267" t="s">
        <v>45</v>
      </c>
      <c r="N1267" t="s">
        <v>131</v>
      </c>
      <c r="O1267" t="s">
        <v>2662</v>
      </c>
      <c r="P1267">
        <v>8.4</v>
      </c>
      <c r="Q1267">
        <v>94</v>
      </c>
      <c r="R1267">
        <v>47.2</v>
      </c>
      <c r="S1267">
        <v>7.8</v>
      </c>
      <c r="T1267">
        <v>2026</v>
      </c>
      <c r="U1267">
        <v>1</v>
      </c>
      <c r="V1267">
        <v>1</v>
      </c>
      <c r="W1267" t="s">
        <v>47</v>
      </c>
      <c r="X1267" t="s">
        <v>37</v>
      </c>
      <c r="Y1267" t="s">
        <v>38</v>
      </c>
    </row>
    <row r="1268" spans="1:25" x14ac:dyDescent="0.35">
      <c r="A1268" t="s">
        <v>2663</v>
      </c>
      <c r="B1268" t="s">
        <v>203</v>
      </c>
      <c r="C1268" t="s">
        <v>169</v>
      </c>
      <c r="D1268" t="s">
        <v>74</v>
      </c>
      <c r="E1268">
        <v>3</v>
      </c>
      <c r="F1268" t="s">
        <v>128</v>
      </c>
      <c r="G1268">
        <v>138000</v>
      </c>
      <c r="H1268">
        <v>138000</v>
      </c>
      <c r="I1268">
        <v>195000</v>
      </c>
      <c r="J1268" t="s">
        <v>113</v>
      </c>
      <c r="K1268" t="s">
        <v>114</v>
      </c>
      <c r="L1268" t="s">
        <v>44</v>
      </c>
      <c r="M1268" t="s">
        <v>82</v>
      </c>
      <c r="N1268" t="s">
        <v>165</v>
      </c>
      <c r="O1268" t="s">
        <v>2664</v>
      </c>
      <c r="P1268">
        <v>9.4</v>
      </c>
      <c r="Q1268">
        <v>92</v>
      </c>
      <c r="R1268">
        <v>21.2</v>
      </c>
      <c r="S1268">
        <v>6.1</v>
      </c>
      <c r="T1268">
        <v>2026</v>
      </c>
      <c r="U1268">
        <v>1</v>
      </c>
      <c r="V1268">
        <v>0</v>
      </c>
      <c r="W1268" t="s">
        <v>47</v>
      </c>
      <c r="X1268" t="s">
        <v>64</v>
      </c>
      <c r="Y1268" t="s">
        <v>95</v>
      </c>
    </row>
    <row r="1269" spans="1:25" x14ac:dyDescent="0.35">
      <c r="A1269" t="s">
        <v>2665</v>
      </c>
      <c r="B1269" t="s">
        <v>146</v>
      </c>
      <c r="C1269" t="s">
        <v>27</v>
      </c>
      <c r="D1269" t="s">
        <v>68</v>
      </c>
      <c r="E1269">
        <v>3</v>
      </c>
      <c r="F1269" t="s">
        <v>41</v>
      </c>
      <c r="G1269">
        <v>160000</v>
      </c>
      <c r="H1269">
        <v>160000</v>
      </c>
      <c r="I1269">
        <v>300000</v>
      </c>
      <c r="J1269" t="s">
        <v>92</v>
      </c>
      <c r="K1269" t="s">
        <v>93</v>
      </c>
      <c r="L1269" t="s">
        <v>53</v>
      </c>
      <c r="M1269" t="s">
        <v>45</v>
      </c>
      <c r="N1269" t="s">
        <v>83</v>
      </c>
      <c r="O1269" t="s">
        <v>2666</v>
      </c>
      <c r="P1269">
        <v>17.100000000000001</v>
      </c>
      <c r="Q1269">
        <v>90</v>
      </c>
      <c r="R1269">
        <v>10.3</v>
      </c>
      <c r="S1269">
        <v>6.6</v>
      </c>
      <c r="T1269">
        <v>2025</v>
      </c>
      <c r="U1269">
        <v>7</v>
      </c>
      <c r="V1269">
        <v>1</v>
      </c>
      <c r="W1269" t="s">
        <v>47</v>
      </c>
      <c r="X1269" t="s">
        <v>64</v>
      </c>
      <c r="Y1269" t="s">
        <v>48</v>
      </c>
    </row>
    <row r="1270" spans="1:25" x14ac:dyDescent="0.35">
      <c r="A1270" t="s">
        <v>2667</v>
      </c>
      <c r="B1270" t="s">
        <v>168</v>
      </c>
      <c r="C1270" t="s">
        <v>169</v>
      </c>
      <c r="D1270" t="s">
        <v>74</v>
      </c>
      <c r="E1270">
        <v>7</v>
      </c>
      <c r="F1270" t="s">
        <v>51</v>
      </c>
      <c r="G1270">
        <v>157000</v>
      </c>
      <c r="H1270">
        <v>157000</v>
      </c>
      <c r="I1270">
        <v>218000</v>
      </c>
      <c r="J1270" t="s">
        <v>108</v>
      </c>
      <c r="K1270" t="s">
        <v>109</v>
      </c>
      <c r="L1270" t="s">
        <v>44</v>
      </c>
      <c r="M1270" t="s">
        <v>33</v>
      </c>
      <c r="N1270" t="s">
        <v>71</v>
      </c>
      <c r="O1270" t="s">
        <v>2668</v>
      </c>
      <c r="P1270">
        <v>6</v>
      </c>
      <c r="Q1270">
        <v>90</v>
      </c>
      <c r="R1270">
        <v>17.100000000000001</v>
      </c>
      <c r="S1270">
        <v>8.9</v>
      </c>
      <c r="T1270">
        <v>2025</v>
      </c>
      <c r="U1270">
        <v>10</v>
      </c>
      <c r="V1270">
        <v>0</v>
      </c>
      <c r="W1270" t="s">
        <v>47</v>
      </c>
      <c r="X1270" t="s">
        <v>64</v>
      </c>
      <c r="Y1270" t="s">
        <v>48</v>
      </c>
    </row>
    <row r="1271" spans="1:25" x14ac:dyDescent="0.35">
      <c r="A1271" t="s">
        <v>2669</v>
      </c>
      <c r="B1271" t="s">
        <v>79</v>
      </c>
      <c r="C1271" t="s">
        <v>80</v>
      </c>
      <c r="D1271" t="s">
        <v>74</v>
      </c>
      <c r="E1271">
        <v>8</v>
      </c>
      <c r="F1271" t="s">
        <v>69</v>
      </c>
      <c r="G1271">
        <v>140000</v>
      </c>
      <c r="H1271">
        <v>140000</v>
      </c>
      <c r="I1271">
        <v>260000</v>
      </c>
      <c r="J1271" t="s">
        <v>170</v>
      </c>
      <c r="K1271" t="s">
        <v>171</v>
      </c>
      <c r="L1271" t="s">
        <v>32</v>
      </c>
      <c r="M1271" t="s">
        <v>45</v>
      </c>
      <c r="N1271" t="s">
        <v>62</v>
      </c>
      <c r="O1271" t="s">
        <v>2670</v>
      </c>
      <c r="P1271">
        <v>17.899999999999999</v>
      </c>
      <c r="Q1271">
        <v>80</v>
      </c>
      <c r="R1271">
        <v>5.0999999999999996</v>
      </c>
      <c r="S1271">
        <v>8.9</v>
      </c>
      <c r="T1271">
        <v>2025</v>
      </c>
      <c r="U1271">
        <v>9</v>
      </c>
      <c r="V1271">
        <v>0</v>
      </c>
      <c r="W1271" t="s">
        <v>36</v>
      </c>
      <c r="X1271" t="s">
        <v>64</v>
      </c>
      <c r="Y1271" t="s">
        <v>95</v>
      </c>
    </row>
    <row r="1272" spans="1:25" x14ac:dyDescent="0.35">
      <c r="A1272" t="s">
        <v>2671</v>
      </c>
      <c r="B1272" t="s">
        <v>91</v>
      </c>
      <c r="C1272" t="s">
        <v>27</v>
      </c>
      <c r="D1272" t="s">
        <v>74</v>
      </c>
      <c r="E1272">
        <v>7</v>
      </c>
      <c r="F1272" t="s">
        <v>29</v>
      </c>
      <c r="G1272">
        <v>148000</v>
      </c>
      <c r="H1272">
        <v>145000</v>
      </c>
      <c r="I1272">
        <v>290000</v>
      </c>
      <c r="J1272" t="s">
        <v>102</v>
      </c>
      <c r="K1272" t="s">
        <v>103</v>
      </c>
      <c r="L1272" t="s">
        <v>44</v>
      </c>
      <c r="M1272" t="s">
        <v>45</v>
      </c>
      <c r="N1272" t="s">
        <v>71</v>
      </c>
      <c r="O1272" t="s">
        <v>2672</v>
      </c>
      <c r="P1272">
        <v>3.3</v>
      </c>
      <c r="Q1272">
        <v>91</v>
      </c>
      <c r="R1272">
        <v>15.6</v>
      </c>
      <c r="S1272">
        <v>9</v>
      </c>
      <c r="T1272">
        <v>2026</v>
      </c>
      <c r="U1272">
        <v>2</v>
      </c>
      <c r="V1272">
        <v>0</v>
      </c>
      <c r="W1272" t="s">
        <v>47</v>
      </c>
      <c r="X1272" t="s">
        <v>64</v>
      </c>
      <c r="Y1272" t="s">
        <v>95</v>
      </c>
    </row>
    <row r="1273" spans="1:25" x14ac:dyDescent="0.35">
      <c r="A1273" t="s">
        <v>2673</v>
      </c>
      <c r="B1273" t="s">
        <v>40</v>
      </c>
      <c r="C1273" t="s">
        <v>27</v>
      </c>
      <c r="D1273" t="s">
        <v>28</v>
      </c>
      <c r="E1273">
        <v>2</v>
      </c>
      <c r="F1273" t="s">
        <v>41</v>
      </c>
      <c r="G1273">
        <v>160000</v>
      </c>
      <c r="H1273">
        <v>90000</v>
      </c>
      <c r="I1273">
        <v>200000</v>
      </c>
      <c r="J1273" t="s">
        <v>170</v>
      </c>
      <c r="K1273" t="s">
        <v>171</v>
      </c>
      <c r="L1273" t="s">
        <v>44</v>
      </c>
      <c r="M1273" t="s">
        <v>82</v>
      </c>
      <c r="N1273" t="s">
        <v>155</v>
      </c>
      <c r="O1273" t="s">
        <v>2674</v>
      </c>
      <c r="P1273">
        <v>6.1</v>
      </c>
      <c r="Q1273">
        <v>82</v>
      </c>
      <c r="R1273">
        <v>6.8</v>
      </c>
      <c r="S1273">
        <v>9.3000000000000007</v>
      </c>
      <c r="T1273">
        <v>2025</v>
      </c>
      <c r="U1273">
        <v>4</v>
      </c>
      <c r="V1273">
        <v>1</v>
      </c>
      <c r="W1273" t="s">
        <v>47</v>
      </c>
      <c r="X1273" t="s">
        <v>37</v>
      </c>
      <c r="Y1273" t="s">
        <v>48</v>
      </c>
    </row>
    <row r="1274" spans="1:25" x14ac:dyDescent="0.35">
      <c r="A1274" t="s">
        <v>2675</v>
      </c>
      <c r="B1274" t="s">
        <v>91</v>
      </c>
      <c r="C1274" t="s">
        <v>27</v>
      </c>
      <c r="D1274" t="s">
        <v>74</v>
      </c>
      <c r="E1274">
        <v>5</v>
      </c>
      <c r="F1274" t="s">
        <v>41</v>
      </c>
      <c r="G1274">
        <v>145000</v>
      </c>
      <c r="H1274">
        <v>145000</v>
      </c>
      <c r="I1274">
        <v>290000</v>
      </c>
      <c r="J1274" t="s">
        <v>142</v>
      </c>
      <c r="K1274" t="s">
        <v>143</v>
      </c>
      <c r="L1274" t="s">
        <v>32</v>
      </c>
      <c r="M1274" t="s">
        <v>45</v>
      </c>
      <c r="N1274" t="s">
        <v>71</v>
      </c>
      <c r="O1274" t="s">
        <v>2676</v>
      </c>
      <c r="P1274">
        <v>8.4</v>
      </c>
      <c r="Q1274">
        <v>91</v>
      </c>
      <c r="R1274">
        <v>69</v>
      </c>
      <c r="S1274">
        <v>8.6</v>
      </c>
      <c r="T1274">
        <v>2025</v>
      </c>
      <c r="U1274">
        <v>11</v>
      </c>
      <c r="V1274">
        <v>0</v>
      </c>
      <c r="W1274" t="s">
        <v>36</v>
      </c>
      <c r="X1274" t="s">
        <v>64</v>
      </c>
      <c r="Y1274" t="s">
        <v>95</v>
      </c>
    </row>
    <row r="1275" spans="1:25" x14ac:dyDescent="0.35">
      <c r="A1275" t="s">
        <v>2677</v>
      </c>
      <c r="B1275" t="s">
        <v>50</v>
      </c>
      <c r="C1275" t="s">
        <v>27</v>
      </c>
      <c r="D1275" t="s">
        <v>68</v>
      </c>
      <c r="E1275">
        <v>2</v>
      </c>
      <c r="F1275" t="s">
        <v>29</v>
      </c>
      <c r="G1275">
        <v>249000</v>
      </c>
      <c r="H1275">
        <v>160000</v>
      </c>
      <c r="I1275">
        <v>300000</v>
      </c>
      <c r="J1275" t="s">
        <v>117</v>
      </c>
      <c r="K1275" t="s">
        <v>118</v>
      </c>
      <c r="L1275" t="s">
        <v>32</v>
      </c>
      <c r="M1275" t="s">
        <v>33</v>
      </c>
      <c r="N1275" t="s">
        <v>165</v>
      </c>
      <c r="O1275" t="s">
        <v>2678</v>
      </c>
      <c r="P1275">
        <v>8.1999999999999993</v>
      </c>
      <c r="Q1275">
        <v>98</v>
      </c>
      <c r="R1275">
        <v>58.3</v>
      </c>
      <c r="S1275">
        <v>7.2</v>
      </c>
      <c r="T1275">
        <v>2026</v>
      </c>
      <c r="U1275">
        <v>2</v>
      </c>
      <c r="V1275">
        <v>1</v>
      </c>
      <c r="W1275" t="s">
        <v>36</v>
      </c>
      <c r="X1275" t="s">
        <v>37</v>
      </c>
      <c r="Y1275" t="s">
        <v>38</v>
      </c>
    </row>
    <row r="1276" spans="1:25" x14ac:dyDescent="0.35">
      <c r="A1276" t="s">
        <v>2679</v>
      </c>
      <c r="B1276" t="s">
        <v>609</v>
      </c>
      <c r="C1276" t="s">
        <v>124</v>
      </c>
      <c r="D1276" t="s">
        <v>74</v>
      </c>
      <c r="E1276">
        <v>8</v>
      </c>
      <c r="F1276" t="s">
        <v>128</v>
      </c>
      <c r="G1276">
        <v>142000</v>
      </c>
      <c r="H1276">
        <v>115000</v>
      </c>
      <c r="I1276">
        <v>280000</v>
      </c>
      <c r="J1276" t="s">
        <v>296</v>
      </c>
      <c r="K1276" t="s">
        <v>31</v>
      </c>
      <c r="L1276" t="s">
        <v>44</v>
      </c>
      <c r="M1276" t="s">
        <v>33</v>
      </c>
      <c r="N1276" t="s">
        <v>71</v>
      </c>
      <c r="O1276" t="s">
        <v>2680</v>
      </c>
      <c r="P1276">
        <v>11.7</v>
      </c>
      <c r="Q1276">
        <v>88</v>
      </c>
      <c r="R1276">
        <v>24.9</v>
      </c>
      <c r="S1276">
        <v>9</v>
      </c>
      <c r="T1276">
        <v>2026</v>
      </c>
      <c r="U1276">
        <v>3</v>
      </c>
      <c r="V1276">
        <v>0</v>
      </c>
      <c r="W1276" t="s">
        <v>47</v>
      </c>
      <c r="X1276" t="s">
        <v>64</v>
      </c>
      <c r="Y1276" t="s">
        <v>95</v>
      </c>
    </row>
    <row r="1277" spans="1:25" x14ac:dyDescent="0.35">
      <c r="A1277" t="s">
        <v>2681</v>
      </c>
      <c r="B1277" t="s">
        <v>66</v>
      </c>
      <c r="C1277" t="s">
        <v>67</v>
      </c>
      <c r="D1277" t="s">
        <v>81</v>
      </c>
      <c r="E1277">
        <v>6</v>
      </c>
      <c r="F1277" t="s">
        <v>69</v>
      </c>
      <c r="G1277">
        <v>144000</v>
      </c>
      <c r="H1277">
        <v>140000</v>
      </c>
      <c r="I1277">
        <v>260000</v>
      </c>
      <c r="J1277" t="s">
        <v>30</v>
      </c>
      <c r="K1277" t="s">
        <v>31</v>
      </c>
      <c r="L1277" t="s">
        <v>53</v>
      </c>
      <c r="M1277" t="s">
        <v>61</v>
      </c>
      <c r="N1277" t="s">
        <v>110</v>
      </c>
      <c r="O1277" t="s">
        <v>2682</v>
      </c>
      <c r="P1277">
        <v>12.2</v>
      </c>
      <c r="Q1277">
        <v>85</v>
      </c>
      <c r="R1277">
        <v>16.8</v>
      </c>
      <c r="S1277">
        <v>8.3000000000000007</v>
      </c>
      <c r="T1277">
        <v>2025</v>
      </c>
      <c r="U1277">
        <v>7</v>
      </c>
      <c r="V1277">
        <v>0</v>
      </c>
      <c r="W1277" t="s">
        <v>47</v>
      </c>
      <c r="X1277" t="s">
        <v>64</v>
      </c>
      <c r="Y1277" t="s">
        <v>95</v>
      </c>
    </row>
    <row r="1278" spans="1:25" x14ac:dyDescent="0.35">
      <c r="A1278" t="s">
        <v>2683</v>
      </c>
      <c r="B1278" t="s">
        <v>203</v>
      </c>
      <c r="C1278" t="s">
        <v>169</v>
      </c>
      <c r="D1278" t="s">
        <v>68</v>
      </c>
      <c r="E1278">
        <v>3</v>
      </c>
      <c r="F1278" t="s">
        <v>69</v>
      </c>
      <c r="G1278">
        <v>138000</v>
      </c>
      <c r="H1278">
        <v>138000</v>
      </c>
      <c r="I1278">
        <v>195000</v>
      </c>
      <c r="J1278" t="s">
        <v>108</v>
      </c>
      <c r="K1278" t="s">
        <v>109</v>
      </c>
      <c r="L1278" t="s">
        <v>53</v>
      </c>
      <c r="M1278" t="s">
        <v>61</v>
      </c>
      <c r="N1278" t="s">
        <v>131</v>
      </c>
      <c r="O1278" t="s">
        <v>2684</v>
      </c>
      <c r="P1278">
        <v>8.4</v>
      </c>
      <c r="Q1278">
        <v>92</v>
      </c>
      <c r="R1278">
        <v>42.9</v>
      </c>
      <c r="S1278">
        <v>9</v>
      </c>
      <c r="T1278">
        <v>2026</v>
      </c>
      <c r="U1278">
        <v>1</v>
      </c>
      <c r="V1278">
        <v>1</v>
      </c>
      <c r="W1278" t="s">
        <v>47</v>
      </c>
      <c r="X1278" t="s">
        <v>64</v>
      </c>
      <c r="Y1278" t="s">
        <v>95</v>
      </c>
    </row>
    <row r="1279" spans="1:25" x14ac:dyDescent="0.35">
      <c r="A1279" t="s">
        <v>2685</v>
      </c>
      <c r="B1279" t="s">
        <v>58</v>
      </c>
      <c r="C1279" t="s">
        <v>59</v>
      </c>
      <c r="D1279" t="s">
        <v>81</v>
      </c>
      <c r="E1279">
        <v>6</v>
      </c>
      <c r="F1279" t="s">
        <v>69</v>
      </c>
      <c r="G1279">
        <v>130000</v>
      </c>
      <c r="H1279">
        <v>130000</v>
      </c>
      <c r="I1279">
        <v>220000</v>
      </c>
      <c r="J1279" t="s">
        <v>60</v>
      </c>
      <c r="K1279" t="s">
        <v>60</v>
      </c>
      <c r="L1279" t="s">
        <v>44</v>
      </c>
      <c r="M1279" t="s">
        <v>45</v>
      </c>
      <c r="N1279" t="s">
        <v>110</v>
      </c>
      <c r="O1279" t="s">
        <v>2686</v>
      </c>
      <c r="P1279">
        <v>11.9</v>
      </c>
      <c r="Q1279">
        <v>88</v>
      </c>
      <c r="R1279">
        <v>14.5</v>
      </c>
      <c r="S1279">
        <v>7.9</v>
      </c>
      <c r="T1279">
        <v>2025</v>
      </c>
      <c r="U1279">
        <v>4</v>
      </c>
      <c r="V1279">
        <v>0</v>
      </c>
      <c r="W1279" t="s">
        <v>47</v>
      </c>
      <c r="X1279" t="s">
        <v>64</v>
      </c>
      <c r="Y1279" t="s">
        <v>95</v>
      </c>
    </row>
    <row r="1280" spans="1:25" x14ac:dyDescent="0.35">
      <c r="A1280" t="s">
        <v>2687</v>
      </c>
      <c r="B1280" t="s">
        <v>196</v>
      </c>
      <c r="C1280" t="s">
        <v>27</v>
      </c>
      <c r="D1280" t="s">
        <v>74</v>
      </c>
      <c r="E1280">
        <v>2</v>
      </c>
      <c r="F1280" t="s">
        <v>69</v>
      </c>
      <c r="G1280">
        <v>100000</v>
      </c>
      <c r="H1280">
        <v>100000</v>
      </c>
      <c r="I1280">
        <v>250000</v>
      </c>
      <c r="J1280" t="s">
        <v>129</v>
      </c>
      <c r="K1280" t="s">
        <v>130</v>
      </c>
      <c r="L1280" t="s">
        <v>32</v>
      </c>
      <c r="M1280" t="s">
        <v>33</v>
      </c>
      <c r="N1280" t="s">
        <v>155</v>
      </c>
      <c r="O1280" t="s">
        <v>2688</v>
      </c>
      <c r="P1280">
        <v>14</v>
      </c>
      <c r="Q1280">
        <v>95</v>
      </c>
      <c r="R1280">
        <v>87.3</v>
      </c>
      <c r="S1280">
        <v>8.8000000000000007</v>
      </c>
      <c r="T1280">
        <v>2025</v>
      </c>
      <c r="U1280">
        <v>7</v>
      </c>
      <c r="V1280">
        <v>0</v>
      </c>
      <c r="W1280" t="s">
        <v>36</v>
      </c>
      <c r="X1280" t="s">
        <v>64</v>
      </c>
      <c r="Y1280" t="s">
        <v>98</v>
      </c>
    </row>
    <row r="1281" spans="1:25" x14ac:dyDescent="0.35">
      <c r="A1281" t="s">
        <v>2689</v>
      </c>
      <c r="B1281" t="s">
        <v>224</v>
      </c>
      <c r="C1281" t="s">
        <v>27</v>
      </c>
      <c r="D1281" t="s">
        <v>28</v>
      </c>
      <c r="E1281">
        <v>9</v>
      </c>
      <c r="F1281" t="s">
        <v>69</v>
      </c>
      <c r="G1281">
        <v>176000</v>
      </c>
      <c r="H1281">
        <v>145000</v>
      </c>
      <c r="I1281">
        <v>280000</v>
      </c>
      <c r="J1281" t="s">
        <v>47</v>
      </c>
      <c r="K1281" t="s">
        <v>87</v>
      </c>
      <c r="L1281" t="s">
        <v>32</v>
      </c>
      <c r="M1281" t="s">
        <v>33</v>
      </c>
      <c r="N1281" t="s">
        <v>155</v>
      </c>
      <c r="O1281" t="s">
        <v>2690</v>
      </c>
      <c r="P1281">
        <v>7.8</v>
      </c>
      <c r="Q1281">
        <v>87</v>
      </c>
      <c r="R1281">
        <v>28</v>
      </c>
      <c r="S1281">
        <v>6.9</v>
      </c>
      <c r="T1281">
        <v>2026</v>
      </c>
      <c r="U1281">
        <v>3</v>
      </c>
      <c r="V1281">
        <v>1</v>
      </c>
      <c r="W1281" t="s">
        <v>36</v>
      </c>
      <c r="X1281" t="s">
        <v>64</v>
      </c>
      <c r="Y1281" t="s">
        <v>48</v>
      </c>
    </row>
    <row r="1282" spans="1:25" x14ac:dyDescent="0.35">
      <c r="A1282" t="s">
        <v>2691</v>
      </c>
      <c r="B1282" t="s">
        <v>86</v>
      </c>
      <c r="C1282" t="s">
        <v>27</v>
      </c>
      <c r="D1282" t="s">
        <v>81</v>
      </c>
      <c r="E1282">
        <v>6</v>
      </c>
      <c r="F1282" t="s">
        <v>29</v>
      </c>
      <c r="G1282">
        <v>309000</v>
      </c>
      <c r="H1282">
        <v>180000</v>
      </c>
      <c r="I1282">
        <v>312000</v>
      </c>
      <c r="J1282" t="s">
        <v>60</v>
      </c>
      <c r="K1282" t="s">
        <v>60</v>
      </c>
      <c r="L1282" t="s">
        <v>53</v>
      </c>
      <c r="M1282" t="s">
        <v>54</v>
      </c>
      <c r="N1282" t="s">
        <v>62</v>
      </c>
      <c r="O1282" t="s">
        <v>2692</v>
      </c>
      <c r="P1282">
        <v>8.5</v>
      </c>
      <c r="Q1282">
        <v>96</v>
      </c>
      <c r="R1282">
        <v>69.2</v>
      </c>
      <c r="S1282">
        <v>8.6</v>
      </c>
      <c r="T1282">
        <v>2026</v>
      </c>
      <c r="U1282">
        <v>1</v>
      </c>
      <c r="V1282">
        <v>0</v>
      </c>
      <c r="W1282" t="s">
        <v>47</v>
      </c>
      <c r="X1282" t="s">
        <v>64</v>
      </c>
      <c r="Y1282" t="s">
        <v>56</v>
      </c>
    </row>
    <row r="1283" spans="1:25" x14ac:dyDescent="0.35">
      <c r="A1283" t="s">
        <v>2693</v>
      </c>
      <c r="B1283" t="s">
        <v>163</v>
      </c>
      <c r="C1283" t="s">
        <v>164</v>
      </c>
      <c r="D1283" t="s">
        <v>81</v>
      </c>
      <c r="E1283">
        <v>10</v>
      </c>
      <c r="F1283" t="s">
        <v>51</v>
      </c>
      <c r="G1283">
        <v>125000</v>
      </c>
      <c r="H1283">
        <v>125000</v>
      </c>
      <c r="I1283">
        <v>240000</v>
      </c>
      <c r="J1283" t="s">
        <v>170</v>
      </c>
      <c r="K1283" t="s">
        <v>171</v>
      </c>
      <c r="L1283" t="s">
        <v>44</v>
      </c>
      <c r="M1283" t="s">
        <v>61</v>
      </c>
      <c r="N1283" t="s">
        <v>34</v>
      </c>
      <c r="O1283" t="s">
        <v>2694</v>
      </c>
      <c r="P1283">
        <v>13.8</v>
      </c>
      <c r="Q1283">
        <v>76</v>
      </c>
      <c r="R1283">
        <v>29.7</v>
      </c>
      <c r="S1283">
        <v>7.5</v>
      </c>
      <c r="T1283">
        <v>2025</v>
      </c>
      <c r="U1283">
        <v>8</v>
      </c>
      <c r="V1283">
        <v>0</v>
      </c>
      <c r="W1283" t="s">
        <v>47</v>
      </c>
      <c r="X1283" t="s">
        <v>64</v>
      </c>
      <c r="Y1283" t="s">
        <v>95</v>
      </c>
    </row>
    <row r="1284" spans="1:25" x14ac:dyDescent="0.35">
      <c r="A1284" t="s">
        <v>2695</v>
      </c>
      <c r="B1284" t="s">
        <v>66</v>
      </c>
      <c r="C1284" t="s">
        <v>67</v>
      </c>
      <c r="D1284" t="s">
        <v>28</v>
      </c>
      <c r="E1284">
        <v>6</v>
      </c>
      <c r="F1284" t="s">
        <v>51</v>
      </c>
      <c r="G1284">
        <v>252000</v>
      </c>
      <c r="H1284">
        <v>140000</v>
      </c>
      <c r="I1284">
        <v>260000</v>
      </c>
      <c r="J1284" t="s">
        <v>170</v>
      </c>
      <c r="K1284" t="s">
        <v>171</v>
      </c>
      <c r="L1284" t="s">
        <v>44</v>
      </c>
      <c r="M1284" t="s">
        <v>54</v>
      </c>
      <c r="N1284" t="s">
        <v>34</v>
      </c>
      <c r="O1284" t="s">
        <v>2696</v>
      </c>
      <c r="P1284">
        <v>9.1</v>
      </c>
      <c r="Q1284">
        <v>85</v>
      </c>
      <c r="R1284">
        <v>18.7</v>
      </c>
      <c r="S1284">
        <v>7.6</v>
      </c>
      <c r="T1284">
        <v>2025</v>
      </c>
      <c r="U1284">
        <v>7</v>
      </c>
      <c r="V1284">
        <v>1</v>
      </c>
      <c r="W1284" t="s">
        <v>47</v>
      </c>
      <c r="X1284" t="s">
        <v>64</v>
      </c>
      <c r="Y1284" t="s">
        <v>38</v>
      </c>
    </row>
    <row r="1285" spans="1:25" x14ac:dyDescent="0.35">
      <c r="A1285" t="s">
        <v>2697</v>
      </c>
      <c r="B1285" t="s">
        <v>58</v>
      </c>
      <c r="C1285" t="s">
        <v>59</v>
      </c>
      <c r="D1285" t="s">
        <v>74</v>
      </c>
      <c r="E1285">
        <v>5</v>
      </c>
      <c r="F1285" t="s">
        <v>41</v>
      </c>
      <c r="G1285">
        <v>130000</v>
      </c>
      <c r="H1285">
        <v>130000</v>
      </c>
      <c r="I1285">
        <v>220000</v>
      </c>
      <c r="J1285" t="s">
        <v>117</v>
      </c>
      <c r="K1285" t="s">
        <v>118</v>
      </c>
      <c r="L1285" t="s">
        <v>32</v>
      </c>
      <c r="M1285" t="s">
        <v>33</v>
      </c>
      <c r="N1285" t="s">
        <v>76</v>
      </c>
      <c r="O1285" t="s">
        <v>2698</v>
      </c>
      <c r="P1285">
        <v>8.9</v>
      </c>
      <c r="Q1285">
        <v>88</v>
      </c>
      <c r="R1285">
        <v>19.899999999999999</v>
      </c>
      <c r="S1285">
        <v>9.6999999999999993</v>
      </c>
      <c r="T1285">
        <v>2025</v>
      </c>
      <c r="U1285">
        <v>6</v>
      </c>
      <c r="V1285">
        <v>0</v>
      </c>
      <c r="W1285" t="s">
        <v>36</v>
      </c>
      <c r="X1285" t="s">
        <v>64</v>
      </c>
      <c r="Y1285" t="s">
        <v>95</v>
      </c>
    </row>
    <row r="1286" spans="1:25" x14ac:dyDescent="0.35">
      <c r="A1286" t="s">
        <v>2699</v>
      </c>
      <c r="B1286" t="s">
        <v>100</v>
      </c>
      <c r="C1286" t="s">
        <v>101</v>
      </c>
      <c r="D1286" t="s">
        <v>74</v>
      </c>
      <c r="E1286">
        <v>15</v>
      </c>
      <c r="F1286" t="s">
        <v>69</v>
      </c>
      <c r="G1286">
        <v>180000</v>
      </c>
      <c r="H1286">
        <v>180000</v>
      </c>
      <c r="I1286">
        <v>320000</v>
      </c>
      <c r="J1286" t="s">
        <v>75</v>
      </c>
      <c r="K1286" t="s">
        <v>31</v>
      </c>
      <c r="L1286" t="s">
        <v>32</v>
      </c>
      <c r="M1286" t="s">
        <v>45</v>
      </c>
      <c r="N1286" t="s">
        <v>124</v>
      </c>
      <c r="O1286" t="s">
        <v>2700</v>
      </c>
      <c r="P1286">
        <v>15.6</v>
      </c>
      <c r="Q1286">
        <v>84</v>
      </c>
      <c r="R1286">
        <v>21.1</v>
      </c>
      <c r="S1286">
        <v>6</v>
      </c>
      <c r="T1286">
        <v>2025</v>
      </c>
      <c r="U1286">
        <v>8</v>
      </c>
      <c r="V1286">
        <v>0</v>
      </c>
      <c r="W1286" t="s">
        <v>36</v>
      </c>
      <c r="X1286" t="s">
        <v>64</v>
      </c>
      <c r="Y1286" t="s">
        <v>48</v>
      </c>
    </row>
    <row r="1287" spans="1:25" x14ac:dyDescent="0.35">
      <c r="A1287" t="s">
        <v>2701</v>
      </c>
      <c r="B1287" t="s">
        <v>58</v>
      </c>
      <c r="C1287" t="s">
        <v>59</v>
      </c>
      <c r="D1287" t="s">
        <v>74</v>
      </c>
      <c r="E1287">
        <v>7</v>
      </c>
      <c r="F1287" t="s">
        <v>69</v>
      </c>
      <c r="G1287">
        <v>130000</v>
      </c>
      <c r="H1287">
        <v>130000</v>
      </c>
      <c r="I1287">
        <v>220000</v>
      </c>
      <c r="J1287" t="s">
        <v>70</v>
      </c>
      <c r="K1287" t="s">
        <v>31</v>
      </c>
      <c r="L1287" t="s">
        <v>44</v>
      </c>
      <c r="M1287" t="s">
        <v>61</v>
      </c>
      <c r="N1287" t="s">
        <v>83</v>
      </c>
      <c r="O1287" t="s">
        <v>2702</v>
      </c>
      <c r="P1287">
        <v>8.4</v>
      </c>
      <c r="Q1287">
        <v>88</v>
      </c>
      <c r="R1287">
        <v>26.2</v>
      </c>
      <c r="S1287">
        <v>7.2</v>
      </c>
      <c r="T1287">
        <v>2026</v>
      </c>
      <c r="U1287">
        <v>1</v>
      </c>
      <c r="V1287">
        <v>0</v>
      </c>
      <c r="W1287" t="s">
        <v>47</v>
      </c>
      <c r="X1287" t="s">
        <v>64</v>
      </c>
      <c r="Y1287" t="s">
        <v>95</v>
      </c>
    </row>
    <row r="1288" spans="1:25" x14ac:dyDescent="0.35">
      <c r="A1288" t="s">
        <v>2703</v>
      </c>
      <c r="B1288" t="s">
        <v>91</v>
      </c>
      <c r="C1288" t="s">
        <v>27</v>
      </c>
      <c r="D1288" t="s">
        <v>28</v>
      </c>
      <c r="E1288">
        <v>8</v>
      </c>
      <c r="F1288" t="s">
        <v>128</v>
      </c>
      <c r="G1288">
        <v>267000</v>
      </c>
      <c r="H1288">
        <v>145000</v>
      </c>
      <c r="I1288">
        <v>290000</v>
      </c>
      <c r="J1288" t="s">
        <v>47</v>
      </c>
      <c r="K1288" t="s">
        <v>87</v>
      </c>
      <c r="L1288" t="s">
        <v>44</v>
      </c>
      <c r="M1288" t="s">
        <v>61</v>
      </c>
      <c r="N1288" t="s">
        <v>131</v>
      </c>
      <c r="O1288" t="s">
        <v>2704</v>
      </c>
      <c r="P1288">
        <v>4.9000000000000004</v>
      </c>
      <c r="Q1288">
        <v>91</v>
      </c>
      <c r="R1288">
        <v>68.5</v>
      </c>
      <c r="S1288">
        <v>8.3000000000000007</v>
      </c>
      <c r="T1288">
        <v>2025</v>
      </c>
      <c r="U1288">
        <v>6</v>
      </c>
      <c r="V1288">
        <v>1</v>
      </c>
      <c r="W1288" t="s">
        <v>47</v>
      </c>
      <c r="X1288" t="s">
        <v>64</v>
      </c>
      <c r="Y1288" t="s">
        <v>38</v>
      </c>
    </row>
    <row r="1289" spans="1:25" x14ac:dyDescent="0.35">
      <c r="A1289" t="s">
        <v>2705</v>
      </c>
      <c r="B1289" t="s">
        <v>233</v>
      </c>
      <c r="C1289" t="s">
        <v>180</v>
      </c>
      <c r="D1289" t="s">
        <v>68</v>
      </c>
      <c r="E1289">
        <v>5</v>
      </c>
      <c r="F1289" t="s">
        <v>128</v>
      </c>
      <c r="G1289">
        <v>153000</v>
      </c>
      <c r="H1289">
        <v>100000</v>
      </c>
      <c r="I1289">
        <v>200000</v>
      </c>
      <c r="J1289" t="s">
        <v>113</v>
      </c>
      <c r="K1289" t="s">
        <v>114</v>
      </c>
      <c r="L1289" t="s">
        <v>53</v>
      </c>
      <c r="M1289" t="s">
        <v>33</v>
      </c>
      <c r="N1289" t="s">
        <v>34</v>
      </c>
      <c r="O1289" t="s">
        <v>2706</v>
      </c>
      <c r="P1289">
        <v>17.899999999999999</v>
      </c>
      <c r="Q1289">
        <v>68</v>
      </c>
      <c r="R1289">
        <v>22.7</v>
      </c>
      <c r="S1289">
        <v>7.5</v>
      </c>
      <c r="T1289">
        <v>2025</v>
      </c>
      <c r="U1289">
        <v>12</v>
      </c>
      <c r="V1289">
        <v>1</v>
      </c>
      <c r="W1289" t="s">
        <v>47</v>
      </c>
      <c r="X1289" t="s">
        <v>64</v>
      </c>
      <c r="Y1289" t="s">
        <v>48</v>
      </c>
    </row>
    <row r="1290" spans="1:25" x14ac:dyDescent="0.35">
      <c r="A1290" t="s">
        <v>2707</v>
      </c>
      <c r="B1290" t="s">
        <v>163</v>
      </c>
      <c r="C1290" t="s">
        <v>164</v>
      </c>
      <c r="D1290" t="s">
        <v>28</v>
      </c>
      <c r="E1290">
        <v>6</v>
      </c>
      <c r="F1290" t="s">
        <v>128</v>
      </c>
      <c r="G1290">
        <v>175000</v>
      </c>
      <c r="H1290">
        <v>125000</v>
      </c>
      <c r="I1290">
        <v>240000</v>
      </c>
      <c r="J1290" t="s">
        <v>137</v>
      </c>
      <c r="K1290" t="s">
        <v>138</v>
      </c>
      <c r="L1290" t="s">
        <v>32</v>
      </c>
      <c r="M1290" t="s">
        <v>61</v>
      </c>
      <c r="N1290" t="s">
        <v>165</v>
      </c>
      <c r="O1290" t="s">
        <v>2708</v>
      </c>
      <c r="P1290">
        <v>16.899999999999999</v>
      </c>
      <c r="Q1290">
        <v>76</v>
      </c>
      <c r="R1290">
        <v>25</v>
      </c>
      <c r="S1290">
        <v>8.3000000000000007</v>
      </c>
      <c r="T1290">
        <v>2026</v>
      </c>
      <c r="U1290">
        <v>3</v>
      </c>
      <c r="V1290">
        <v>1</v>
      </c>
      <c r="W1290" t="s">
        <v>36</v>
      </c>
      <c r="X1290" t="s">
        <v>64</v>
      </c>
      <c r="Y1290" t="s">
        <v>48</v>
      </c>
    </row>
    <row r="1291" spans="1:25" x14ac:dyDescent="0.35">
      <c r="A1291" t="s">
        <v>2709</v>
      </c>
      <c r="B1291" t="s">
        <v>66</v>
      </c>
      <c r="C1291" t="s">
        <v>67</v>
      </c>
      <c r="D1291" t="s">
        <v>68</v>
      </c>
      <c r="E1291">
        <v>10</v>
      </c>
      <c r="F1291" t="s">
        <v>128</v>
      </c>
      <c r="G1291">
        <v>140000</v>
      </c>
      <c r="H1291">
        <v>140000</v>
      </c>
      <c r="I1291">
        <v>260000</v>
      </c>
      <c r="J1291" t="s">
        <v>108</v>
      </c>
      <c r="K1291" t="s">
        <v>109</v>
      </c>
      <c r="L1291" t="s">
        <v>44</v>
      </c>
      <c r="M1291" t="s">
        <v>33</v>
      </c>
      <c r="N1291" t="s">
        <v>88</v>
      </c>
      <c r="O1291" t="s">
        <v>2710</v>
      </c>
      <c r="P1291">
        <v>15.8</v>
      </c>
      <c r="Q1291">
        <v>85</v>
      </c>
      <c r="R1291">
        <v>9.6999999999999993</v>
      </c>
      <c r="S1291">
        <v>8.5</v>
      </c>
      <c r="T1291">
        <v>2026</v>
      </c>
      <c r="U1291">
        <v>1</v>
      </c>
      <c r="V1291">
        <v>1</v>
      </c>
      <c r="W1291" t="s">
        <v>47</v>
      </c>
      <c r="X1291" t="s">
        <v>64</v>
      </c>
      <c r="Y1291" t="s">
        <v>95</v>
      </c>
    </row>
    <row r="1292" spans="1:25" x14ac:dyDescent="0.35">
      <c r="A1292" t="s">
        <v>2711</v>
      </c>
      <c r="B1292" t="s">
        <v>40</v>
      </c>
      <c r="C1292" t="s">
        <v>27</v>
      </c>
      <c r="D1292" t="s">
        <v>74</v>
      </c>
      <c r="E1292">
        <v>2</v>
      </c>
      <c r="F1292" t="s">
        <v>41</v>
      </c>
      <c r="G1292">
        <v>127000</v>
      </c>
      <c r="H1292">
        <v>90000</v>
      </c>
      <c r="I1292">
        <v>200000</v>
      </c>
      <c r="J1292" t="s">
        <v>137</v>
      </c>
      <c r="K1292" t="s">
        <v>138</v>
      </c>
      <c r="L1292" t="s">
        <v>32</v>
      </c>
      <c r="M1292" t="s">
        <v>54</v>
      </c>
      <c r="N1292" t="s">
        <v>119</v>
      </c>
      <c r="O1292" t="s">
        <v>2712</v>
      </c>
      <c r="P1292">
        <v>5.0999999999999996</v>
      </c>
      <c r="Q1292">
        <v>82</v>
      </c>
      <c r="R1292">
        <v>5.3</v>
      </c>
      <c r="S1292">
        <v>9.5</v>
      </c>
      <c r="T1292">
        <v>2025</v>
      </c>
      <c r="U1292">
        <v>11</v>
      </c>
      <c r="V1292">
        <v>0</v>
      </c>
      <c r="W1292" t="s">
        <v>36</v>
      </c>
      <c r="X1292" t="s">
        <v>37</v>
      </c>
      <c r="Y1292" t="s">
        <v>95</v>
      </c>
    </row>
    <row r="1293" spans="1:25" x14ac:dyDescent="0.35">
      <c r="A1293" t="s">
        <v>2713</v>
      </c>
      <c r="B1293" t="s">
        <v>609</v>
      </c>
      <c r="C1293" t="s">
        <v>124</v>
      </c>
      <c r="D1293" t="s">
        <v>74</v>
      </c>
      <c r="E1293">
        <v>7</v>
      </c>
      <c r="F1293" t="s">
        <v>51</v>
      </c>
      <c r="G1293">
        <v>115000</v>
      </c>
      <c r="H1293">
        <v>115000</v>
      </c>
      <c r="I1293">
        <v>280000</v>
      </c>
      <c r="J1293" t="s">
        <v>75</v>
      </c>
      <c r="K1293" t="s">
        <v>31</v>
      </c>
      <c r="L1293" t="s">
        <v>53</v>
      </c>
      <c r="M1293" t="s">
        <v>82</v>
      </c>
      <c r="N1293" t="s">
        <v>110</v>
      </c>
      <c r="O1293" t="s">
        <v>2714</v>
      </c>
      <c r="P1293">
        <v>8.9</v>
      </c>
      <c r="Q1293">
        <v>88</v>
      </c>
      <c r="R1293">
        <v>18.600000000000001</v>
      </c>
      <c r="S1293">
        <v>8.5</v>
      </c>
      <c r="T1293">
        <v>2025</v>
      </c>
      <c r="U1293">
        <v>5</v>
      </c>
      <c r="V1293">
        <v>0</v>
      </c>
      <c r="W1293" t="s">
        <v>47</v>
      </c>
      <c r="X1293" t="s">
        <v>64</v>
      </c>
      <c r="Y1293" t="s">
        <v>95</v>
      </c>
    </row>
    <row r="1294" spans="1:25" x14ac:dyDescent="0.35">
      <c r="A1294" t="s">
        <v>2715</v>
      </c>
      <c r="B1294" t="s">
        <v>609</v>
      </c>
      <c r="C1294" t="s">
        <v>124</v>
      </c>
      <c r="D1294" t="s">
        <v>28</v>
      </c>
      <c r="E1294">
        <v>4</v>
      </c>
      <c r="F1294" t="s">
        <v>29</v>
      </c>
      <c r="G1294">
        <v>258000</v>
      </c>
      <c r="H1294">
        <v>115000</v>
      </c>
      <c r="I1294">
        <v>280000</v>
      </c>
      <c r="J1294" t="s">
        <v>129</v>
      </c>
      <c r="K1294" t="s">
        <v>130</v>
      </c>
      <c r="L1294" t="s">
        <v>44</v>
      </c>
      <c r="M1294" t="s">
        <v>54</v>
      </c>
      <c r="N1294" t="s">
        <v>110</v>
      </c>
      <c r="O1294" t="s">
        <v>2716</v>
      </c>
      <c r="P1294">
        <v>11.5</v>
      </c>
      <c r="Q1294">
        <v>88</v>
      </c>
      <c r="R1294">
        <v>27.4</v>
      </c>
      <c r="S1294">
        <v>6.3</v>
      </c>
      <c r="T1294">
        <v>2026</v>
      </c>
      <c r="U1294">
        <v>3</v>
      </c>
      <c r="V1294">
        <v>1</v>
      </c>
      <c r="W1294" t="s">
        <v>47</v>
      </c>
      <c r="X1294" t="s">
        <v>64</v>
      </c>
      <c r="Y1294" t="s">
        <v>38</v>
      </c>
    </row>
    <row r="1295" spans="1:25" x14ac:dyDescent="0.35">
      <c r="A1295" t="s">
        <v>2717</v>
      </c>
      <c r="B1295" t="s">
        <v>40</v>
      </c>
      <c r="C1295" t="s">
        <v>27</v>
      </c>
      <c r="D1295" t="s">
        <v>68</v>
      </c>
      <c r="E1295">
        <v>5</v>
      </c>
      <c r="F1295" t="s">
        <v>128</v>
      </c>
      <c r="G1295">
        <v>240000</v>
      </c>
      <c r="H1295">
        <v>90000</v>
      </c>
      <c r="I1295">
        <v>200000</v>
      </c>
      <c r="J1295" t="s">
        <v>52</v>
      </c>
      <c r="K1295" t="s">
        <v>31</v>
      </c>
      <c r="L1295" t="s">
        <v>32</v>
      </c>
      <c r="M1295" t="s">
        <v>82</v>
      </c>
      <c r="N1295" t="s">
        <v>88</v>
      </c>
      <c r="O1295" t="s">
        <v>2718</v>
      </c>
      <c r="P1295">
        <v>5.2</v>
      </c>
      <c r="Q1295">
        <v>82</v>
      </c>
      <c r="R1295">
        <v>20.9</v>
      </c>
      <c r="S1295">
        <v>7.1</v>
      </c>
      <c r="T1295">
        <v>2025</v>
      </c>
      <c r="U1295">
        <v>2</v>
      </c>
      <c r="V1295">
        <v>1</v>
      </c>
      <c r="W1295" t="s">
        <v>36</v>
      </c>
      <c r="X1295" t="s">
        <v>37</v>
      </c>
      <c r="Y1295" t="s">
        <v>38</v>
      </c>
    </row>
    <row r="1296" spans="1:25" x14ac:dyDescent="0.35">
      <c r="A1296" t="s">
        <v>2719</v>
      </c>
      <c r="B1296" t="s">
        <v>146</v>
      </c>
      <c r="C1296" t="s">
        <v>27</v>
      </c>
      <c r="D1296" t="s">
        <v>81</v>
      </c>
      <c r="E1296">
        <v>8</v>
      </c>
      <c r="F1296" t="s">
        <v>69</v>
      </c>
      <c r="G1296">
        <v>160000</v>
      </c>
      <c r="H1296">
        <v>160000</v>
      </c>
      <c r="I1296">
        <v>300000</v>
      </c>
      <c r="J1296" t="s">
        <v>108</v>
      </c>
      <c r="K1296" t="s">
        <v>109</v>
      </c>
      <c r="L1296" t="s">
        <v>53</v>
      </c>
      <c r="M1296" t="s">
        <v>33</v>
      </c>
      <c r="N1296" t="s">
        <v>131</v>
      </c>
      <c r="O1296" t="s">
        <v>2720</v>
      </c>
      <c r="P1296">
        <v>13.9</v>
      </c>
      <c r="Q1296">
        <v>90</v>
      </c>
      <c r="R1296">
        <v>9.4</v>
      </c>
      <c r="S1296">
        <v>8.4</v>
      </c>
      <c r="T1296">
        <v>2025</v>
      </c>
      <c r="U1296">
        <v>8</v>
      </c>
      <c r="V1296">
        <v>0</v>
      </c>
      <c r="W1296" t="s">
        <v>47</v>
      </c>
      <c r="X1296" t="s">
        <v>64</v>
      </c>
      <c r="Y1296" t="s">
        <v>48</v>
      </c>
    </row>
    <row r="1297" spans="1:25" x14ac:dyDescent="0.35">
      <c r="A1297" t="s">
        <v>2721</v>
      </c>
      <c r="B1297" t="s">
        <v>50</v>
      </c>
      <c r="C1297" t="s">
        <v>27</v>
      </c>
      <c r="D1297" t="s">
        <v>68</v>
      </c>
      <c r="E1297">
        <v>3</v>
      </c>
      <c r="F1297" t="s">
        <v>51</v>
      </c>
      <c r="G1297">
        <v>239000</v>
      </c>
      <c r="H1297">
        <v>160000</v>
      </c>
      <c r="I1297">
        <v>300000</v>
      </c>
      <c r="J1297" t="s">
        <v>137</v>
      </c>
      <c r="K1297" t="s">
        <v>138</v>
      </c>
      <c r="L1297" t="s">
        <v>53</v>
      </c>
      <c r="M1297" t="s">
        <v>45</v>
      </c>
      <c r="N1297" t="s">
        <v>119</v>
      </c>
      <c r="O1297" t="s">
        <v>2722</v>
      </c>
      <c r="P1297">
        <v>8.5</v>
      </c>
      <c r="Q1297">
        <v>98</v>
      </c>
      <c r="R1297">
        <v>29</v>
      </c>
      <c r="S1297">
        <v>8.6</v>
      </c>
      <c r="T1297">
        <v>2026</v>
      </c>
      <c r="U1297">
        <v>1</v>
      </c>
      <c r="V1297">
        <v>1</v>
      </c>
      <c r="W1297" t="s">
        <v>47</v>
      </c>
      <c r="X1297" t="s">
        <v>37</v>
      </c>
      <c r="Y1297" t="s">
        <v>38</v>
      </c>
    </row>
    <row r="1298" spans="1:25" x14ac:dyDescent="0.35">
      <c r="A1298" t="s">
        <v>2723</v>
      </c>
      <c r="B1298" t="s">
        <v>149</v>
      </c>
      <c r="C1298" t="s">
        <v>150</v>
      </c>
      <c r="D1298" t="s">
        <v>81</v>
      </c>
      <c r="E1298">
        <v>6</v>
      </c>
      <c r="F1298" t="s">
        <v>128</v>
      </c>
      <c r="G1298">
        <v>182000</v>
      </c>
      <c r="H1298">
        <v>130000</v>
      </c>
      <c r="I1298">
        <v>260000</v>
      </c>
      <c r="J1298" t="s">
        <v>191</v>
      </c>
      <c r="K1298" t="s">
        <v>31</v>
      </c>
      <c r="L1298" t="s">
        <v>44</v>
      </c>
      <c r="M1298" t="s">
        <v>82</v>
      </c>
      <c r="N1298" t="s">
        <v>110</v>
      </c>
      <c r="O1298" t="s">
        <v>2724</v>
      </c>
      <c r="P1298">
        <v>13.4</v>
      </c>
      <c r="Q1298">
        <v>93</v>
      </c>
      <c r="R1298">
        <v>31.8</v>
      </c>
      <c r="S1298">
        <v>6.9</v>
      </c>
      <c r="T1298">
        <v>2025</v>
      </c>
      <c r="U1298">
        <v>6</v>
      </c>
      <c r="V1298">
        <v>0</v>
      </c>
      <c r="W1298" t="s">
        <v>47</v>
      </c>
      <c r="X1298" t="s">
        <v>64</v>
      </c>
      <c r="Y1298" t="s">
        <v>48</v>
      </c>
    </row>
    <row r="1299" spans="1:25" x14ac:dyDescent="0.35">
      <c r="A1299" t="s">
        <v>2725</v>
      </c>
      <c r="B1299" t="s">
        <v>203</v>
      </c>
      <c r="C1299" t="s">
        <v>169</v>
      </c>
      <c r="D1299" t="s">
        <v>68</v>
      </c>
      <c r="E1299">
        <v>2</v>
      </c>
      <c r="F1299" t="s">
        <v>51</v>
      </c>
      <c r="G1299">
        <v>182000</v>
      </c>
      <c r="H1299">
        <v>138000</v>
      </c>
      <c r="I1299">
        <v>195000</v>
      </c>
      <c r="J1299" t="s">
        <v>117</v>
      </c>
      <c r="K1299" t="s">
        <v>118</v>
      </c>
      <c r="L1299" t="s">
        <v>44</v>
      </c>
      <c r="M1299" t="s">
        <v>45</v>
      </c>
      <c r="N1299" t="s">
        <v>155</v>
      </c>
      <c r="O1299" t="s">
        <v>2726</v>
      </c>
      <c r="P1299">
        <v>3.1</v>
      </c>
      <c r="Q1299">
        <v>92</v>
      </c>
      <c r="R1299">
        <v>34.6</v>
      </c>
      <c r="S1299">
        <v>7.3</v>
      </c>
      <c r="T1299">
        <v>2026</v>
      </c>
      <c r="U1299">
        <v>3</v>
      </c>
      <c r="V1299">
        <v>1</v>
      </c>
      <c r="W1299" t="s">
        <v>47</v>
      </c>
      <c r="X1299" t="s">
        <v>64</v>
      </c>
      <c r="Y1299" t="s">
        <v>48</v>
      </c>
    </row>
    <row r="1300" spans="1:25" x14ac:dyDescent="0.35">
      <c r="A1300" t="s">
        <v>2727</v>
      </c>
      <c r="B1300" t="s">
        <v>58</v>
      </c>
      <c r="C1300" t="s">
        <v>59</v>
      </c>
      <c r="D1300" t="s">
        <v>28</v>
      </c>
      <c r="E1300">
        <v>5</v>
      </c>
      <c r="F1300" t="s">
        <v>51</v>
      </c>
      <c r="G1300">
        <v>213000</v>
      </c>
      <c r="H1300">
        <v>130000</v>
      </c>
      <c r="I1300">
        <v>220000</v>
      </c>
      <c r="J1300" t="s">
        <v>75</v>
      </c>
      <c r="K1300" t="s">
        <v>31</v>
      </c>
      <c r="L1300" t="s">
        <v>44</v>
      </c>
      <c r="M1300" t="s">
        <v>54</v>
      </c>
      <c r="N1300" t="s">
        <v>71</v>
      </c>
      <c r="O1300" t="s">
        <v>2728</v>
      </c>
      <c r="P1300">
        <v>9</v>
      </c>
      <c r="Q1300">
        <v>88</v>
      </c>
      <c r="R1300">
        <v>26.5</v>
      </c>
      <c r="S1300">
        <v>7.5</v>
      </c>
      <c r="T1300">
        <v>2025</v>
      </c>
      <c r="U1300">
        <v>8</v>
      </c>
      <c r="V1300">
        <v>1</v>
      </c>
      <c r="W1300" t="s">
        <v>47</v>
      </c>
      <c r="X1300" t="s">
        <v>64</v>
      </c>
      <c r="Y1300" t="s">
        <v>38</v>
      </c>
    </row>
    <row r="1301" spans="1:25" x14ac:dyDescent="0.35">
      <c r="A1301" t="s">
        <v>2729</v>
      </c>
      <c r="B1301" t="s">
        <v>203</v>
      </c>
      <c r="C1301" t="s">
        <v>169</v>
      </c>
      <c r="D1301" t="s">
        <v>81</v>
      </c>
      <c r="E1301">
        <v>6</v>
      </c>
      <c r="F1301" t="s">
        <v>41</v>
      </c>
      <c r="G1301">
        <v>140000</v>
      </c>
      <c r="H1301">
        <v>138000</v>
      </c>
      <c r="I1301">
        <v>195000</v>
      </c>
      <c r="J1301" t="s">
        <v>102</v>
      </c>
      <c r="K1301" t="s">
        <v>103</v>
      </c>
      <c r="L1301" t="s">
        <v>44</v>
      </c>
      <c r="M1301" t="s">
        <v>54</v>
      </c>
      <c r="N1301" t="s">
        <v>119</v>
      </c>
      <c r="O1301" t="s">
        <v>2730</v>
      </c>
      <c r="P1301">
        <v>9.6999999999999993</v>
      </c>
      <c r="Q1301">
        <v>92</v>
      </c>
      <c r="R1301">
        <v>46.4</v>
      </c>
      <c r="S1301">
        <v>8.1999999999999993</v>
      </c>
      <c r="T1301">
        <v>2026</v>
      </c>
      <c r="U1301">
        <v>2</v>
      </c>
      <c r="V1301">
        <v>0</v>
      </c>
      <c r="W1301" t="s">
        <v>47</v>
      </c>
      <c r="X1301" t="s">
        <v>64</v>
      </c>
      <c r="Y1301" t="s">
        <v>95</v>
      </c>
    </row>
    <row r="1302" spans="1:25" x14ac:dyDescent="0.35">
      <c r="A1302" t="s">
        <v>2731</v>
      </c>
      <c r="B1302" t="s">
        <v>100</v>
      </c>
      <c r="C1302" t="s">
        <v>101</v>
      </c>
      <c r="D1302" t="s">
        <v>74</v>
      </c>
      <c r="E1302">
        <v>6</v>
      </c>
      <c r="F1302" t="s">
        <v>69</v>
      </c>
      <c r="G1302">
        <v>246000</v>
      </c>
      <c r="H1302">
        <v>180000</v>
      </c>
      <c r="I1302">
        <v>320000</v>
      </c>
      <c r="J1302" t="s">
        <v>174</v>
      </c>
      <c r="K1302" t="s">
        <v>31</v>
      </c>
      <c r="L1302" t="s">
        <v>53</v>
      </c>
      <c r="M1302" t="s">
        <v>45</v>
      </c>
      <c r="N1302" t="s">
        <v>71</v>
      </c>
      <c r="O1302" t="s">
        <v>2732</v>
      </c>
      <c r="P1302">
        <v>10.6</v>
      </c>
      <c r="Q1302">
        <v>84</v>
      </c>
      <c r="R1302">
        <v>28.8</v>
      </c>
      <c r="S1302">
        <v>8.6999999999999993</v>
      </c>
      <c r="T1302">
        <v>2026</v>
      </c>
      <c r="U1302">
        <v>1</v>
      </c>
      <c r="V1302">
        <v>0</v>
      </c>
      <c r="W1302" t="s">
        <v>47</v>
      </c>
      <c r="X1302" t="s">
        <v>64</v>
      </c>
      <c r="Y1302" t="s">
        <v>38</v>
      </c>
    </row>
    <row r="1303" spans="1:25" x14ac:dyDescent="0.35">
      <c r="A1303" t="s">
        <v>2733</v>
      </c>
      <c r="B1303" t="s">
        <v>66</v>
      </c>
      <c r="C1303" t="s">
        <v>67</v>
      </c>
      <c r="D1303" t="s">
        <v>28</v>
      </c>
      <c r="E1303">
        <v>6</v>
      </c>
      <c r="F1303" t="s">
        <v>69</v>
      </c>
      <c r="G1303">
        <v>190000</v>
      </c>
      <c r="H1303">
        <v>140000</v>
      </c>
      <c r="I1303">
        <v>260000</v>
      </c>
      <c r="J1303" t="s">
        <v>137</v>
      </c>
      <c r="K1303" t="s">
        <v>138</v>
      </c>
      <c r="L1303" t="s">
        <v>32</v>
      </c>
      <c r="M1303" t="s">
        <v>45</v>
      </c>
      <c r="N1303" t="s">
        <v>119</v>
      </c>
      <c r="O1303" t="s">
        <v>2734</v>
      </c>
      <c r="P1303">
        <v>12.9</v>
      </c>
      <c r="Q1303">
        <v>85</v>
      </c>
      <c r="R1303">
        <v>12.3</v>
      </c>
      <c r="S1303">
        <v>8.1</v>
      </c>
      <c r="T1303">
        <v>2026</v>
      </c>
      <c r="U1303">
        <v>1</v>
      </c>
      <c r="V1303">
        <v>1</v>
      </c>
      <c r="W1303" t="s">
        <v>36</v>
      </c>
      <c r="X1303" t="s">
        <v>64</v>
      </c>
      <c r="Y1303" t="s">
        <v>48</v>
      </c>
    </row>
    <row r="1304" spans="1:25" x14ac:dyDescent="0.35">
      <c r="A1304" t="s">
        <v>2735</v>
      </c>
      <c r="B1304" t="s">
        <v>141</v>
      </c>
      <c r="C1304" t="s">
        <v>27</v>
      </c>
      <c r="D1304" t="s">
        <v>28</v>
      </c>
      <c r="E1304">
        <v>9</v>
      </c>
      <c r="F1304" t="s">
        <v>51</v>
      </c>
      <c r="G1304">
        <v>161000</v>
      </c>
      <c r="H1304">
        <v>141000</v>
      </c>
      <c r="I1304">
        <v>270000</v>
      </c>
      <c r="J1304" t="s">
        <v>129</v>
      </c>
      <c r="K1304" t="s">
        <v>130</v>
      </c>
      <c r="L1304" t="s">
        <v>44</v>
      </c>
      <c r="M1304" t="s">
        <v>61</v>
      </c>
      <c r="N1304" t="s">
        <v>88</v>
      </c>
      <c r="O1304" t="s">
        <v>2736</v>
      </c>
      <c r="P1304">
        <v>3.3</v>
      </c>
      <c r="Q1304">
        <v>89</v>
      </c>
      <c r="R1304">
        <v>25.6</v>
      </c>
      <c r="S1304">
        <v>8.8000000000000007</v>
      </c>
      <c r="T1304">
        <v>2025</v>
      </c>
      <c r="U1304">
        <v>3</v>
      </c>
      <c r="V1304">
        <v>1</v>
      </c>
      <c r="W1304" t="s">
        <v>47</v>
      </c>
      <c r="X1304" t="s">
        <v>64</v>
      </c>
      <c r="Y1304" t="s">
        <v>48</v>
      </c>
    </row>
    <row r="1305" spans="1:25" x14ac:dyDescent="0.35">
      <c r="A1305" t="s">
        <v>2737</v>
      </c>
      <c r="B1305" t="s">
        <v>163</v>
      </c>
      <c r="C1305" t="s">
        <v>164</v>
      </c>
      <c r="D1305" t="s">
        <v>68</v>
      </c>
      <c r="E1305">
        <v>8</v>
      </c>
      <c r="F1305" t="s">
        <v>51</v>
      </c>
      <c r="G1305">
        <v>155000</v>
      </c>
      <c r="H1305">
        <v>125000</v>
      </c>
      <c r="I1305">
        <v>240000</v>
      </c>
      <c r="J1305" t="s">
        <v>122</v>
      </c>
      <c r="K1305" t="s">
        <v>123</v>
      </c>
      <c r="L1305" t="s">
        <v>53</v>
      </c>
      <c r="M1305" t="s">
        <v>33</v>
      </c>
      <c r="N1305" t="s">
        <v>124</v>
      </c>
      <c r="O1305" t="s">
        <v>2738</v>
      </c>
      <c r="P1305">
        <v>12.3</v>
      </c>
      <c r="Q1305">
        <v>76</v>
      </c>
      <c r="R1305">
        <v>9.3000000000000007</v>
      </c>
      <c r="S1305">
        <v>7.4</v>
      </c>
      <c r="T1305">
        <v>2026</v>
      </c>
      <c r="U1305">
        <v>3</v>
      </c>
      <c r="V1305">
        <v>1</v>
      </c>
      <c r="W1305" t="s">
        <v>47</v>
      </c>
      <c r="X1305" t="s">
        <v>64</v>
      </c>
      <c r="Y1305" t="s">
        <v>48</v>
      </c>
    </row>
    <row r="1306" spans="1:25" x14ac:dyDescent="0.35">
      <c r="A1306" t="s">
        <v>2739</v>
      </c>
      <c r="B1306" t="s">
        <v>86</v>
      </c>
      <c r="C1306" t="s">
        <v>27</v>
      </c>
      <c r="D1306" t="s">
        <v>28</v>
      </c>
      <c r="E1306">
        <v>11</v>
      </c>
      <c r="F1306" t="s">
        <v>51</v>
      </c>
      <c r="G1306">
        <v>180000</v>
      </c>
      <c r="H1306">
        <v>180000</v>
      </c>
      <c r="I1306">
        <v>312000</v>
      </c>
      <c r="J1306" t="s">
        <v>122</v>
      </c>
      <c r="K1306" t="s">
        <v>123</v>
      </c>
      <c r="L1306" t="s">
        <v>32</v>
      </c>
      <c r="M1306" t="s">
        <v>61</v>
      </c>
      <c r="N1306" t="s">
        <v>71</v>
      </c>
      <c r="O1306" t="s">
        <v>2740</v>
      </c>
      <c r="P1306">
        <v>16.399999999999999</v>
      </c>
      <c r="Q1306">
        <v>96</v>
      </c>
      <c r="R1306">
        <v>16.600000000000001</v>
      </c>
      <c r="S1306">
        <v>6.3</v>
      </c>
      <c r="T1306">
        <v>2026</v>
      </c>
      <c r="U1306">
        <v>2</v>
      </c>
      <c r="V1306">
        <v>1</v>
      </c>
      <c r="W1306" t="s">
        <v>36</v>
      </c>
      <c r="X1306" t="s">
        <v>64</v>
      </c>
      <c r="Y1306" t="s">
        <v>48</v>
      </c>
    </row>
    <row r="1307" spans="1:25" x14ac:dyDescent="0.35">
      <c r="A1307" t="s">
        <v>2741</v>
      </c>
      <c r="B1307" t="s">
        <v>163</v>
      </c>
      <c r="C1307" t="s">
        <v>164</v>
      </c>
      <c r="D1307" t="s">
        <v>28</v>
      </c>
      <c r="E1307">
        <v>6</v>
      </c>
      <c r="F1307" t="s">
        <v>41</v>
      </c>
      <c r="G1307">
        <v>125000</v>
      </c>
      <c r="H1307">
        <v>125000</v>
      </c>
      <c r="I1307">
        <v>240000</v>
      </c>
      <c r="J1307" t="s">
        <v>92</v>
      </c>
      <c r="K1307" t="s">
        <v>93</v>
      </c>
      <c r="L1307" t="s">
        <v>44</v>
      </c>
      <c r="M1307" t="s">
        <v>45</v>
      </c>
      <c r="N1307" t="s">
        <v>88</v>
      </c>
      <c r="O1307" t="s">
        <v>2742</v>
      </c>
      <c r="P1307">
        <v>11.8</v>
      </c>
      <c r="Q1307">
        <v>76</v>
      </c>
      <c r="R1307">
        <v>16.899999999999999</v>
      </c>
      <c r="S1307">
        <v>9.4</v>
      </c>
      <c r="T1307">
        <v>2025</v>
      </c>
      <c r="U1307">
        <v>7</v>
      </c>
      <c r="V1307">
        <v>1</v>
      </c>
      <c r="W1307" t="s">
        <v>47</v>
      </c>
      <c r="X1307" t="s">
        <v>64</v>
      </c>
      <c r="Y1307" t="s">
        <v>95</v>
      </c>
    </row>
    <row r="1308" spans="1:25" x14ac:dyDescent="0.35">
      <c r="A1308" t="s">
        <v>2743</v>
      </c>
      <c r="B1308" t="s">
        <v>168</v>
      </c>
      <c r="C1308" t="s">
        <v>169</v>
      </c>
      <c r="D1308" t="s">
        <v>68</v>
      </c>
      <c r="E1308">
        <v>9</v>
      </c>
      <c r="F1308" t="s">
        <v>29</v>
      </c>
      <c r="G1308">
        <v>261600</v>
      </c>
      <c r="H1308">
        <v>157000</v>
      </c>
      <c r="I1308">
        <v>218000</v>
      </c>
      <c r="J1308" t="s">
        <v>296</v>
      </c>
      <c r="K1308" t="s">
        <v>31</v>
      </c>
      <c r="L1308" t="s">
        <v>32</v>
      </c>
      <c r="M1308" t="s">
        <v>61</v>
      </c>
      <c r="N1308" t="s">
        <v>71</v>
      </c>
      <c r="O1308" t="s">
        <v>2744</v>
      </c>
      <c r="P1308">
        <v>3.5</v>
      </c>
      <c r="Q1308">
        <v>90</v>
      </c>
      <c r="R1308">
        <v>29.1</v>
      </c>
      <c r="S1308">
        <v>6.7</v>
      </c>
      <c r="T1308">
        <v>2025</v>
      </c>
      <c r="U1308">
        <v>11</v>
      </c>
      <c r="V1308">
        <v>1</v>
      </c>
      <c r="W1308" t="s">
        <v>36</v>
      </c>
      <c r="X1308" t="s">
        <v>64</v>
      </c>
      <c r="Y1308" t="s">
        <v>38</v>
      </c>
    </row>
    <row r="1309" spans="1:25" x14ac:dyDescent="0.35">
      <c r="A1309" t="s">
        <v>2745</v>
      </c>
      <c r="B1309" t="s">
        <v>40</v>
      </c>
      <c r="C1309" t="s">
        <v>27</v>
      </c>
      <c r="D1309" t="s">
        <v>74</v>
      </c>
      <c r="E1309">
        <v>1</v>
      </c>
      <c r="F1309" t="s">
        <v>69</v>
      </c>
      <c r="G1309">
        <v>129000</v>
      </c>
      <c r="H1309">
        <v>90000</v>
      </c>
      <c r="I1309">
        <v>200000</v>
      </c>
      <c r="J1309" t="s">
        <v>52</v>
      </c>
      <c r="K1309" t="s">
        <v>31</v>
      </c>
      <c r="L1309" t="s">
        <v>44</v>
      </c>
      <c r="M1309" t="s">
        <v>45</v>
      </c>
      <c r="N1309" t="s">
        <v>131</v>
      </c>
      <c r="O1309" t="s">
        <v>2746</v>
      </c>
      <c r="P1309">
        <v>9.6</v>
      </c>
      <c r="Q1309">
        <v>82</v>
      </c>
      <c r="R1309">
        <v>16.100000000000001</v>
      </c>
      <c r="S1309">
        <v>7.2</v>
      </c>
      <c r="T1309">
        <v>2025</v>
      </c>
      <c r="U1309">
        <v>10</v>
      </c>
      <c r="V1309">
        <v>0</v>
      </c>
      <c r="W1309" t="s">
        <v>47</v>
      </c>
      <c r="X1309" t="s">
        <v>37</v>
      </c>
      <c r="Y1309" t="s">
        <v>95</v>
      </c>
    </row>
    <row r="1310" spans="1:25" x14ac:dyDescent="0.35">
      <c r="A1310" t="s">
        <v>2747</v>
      </c>
      <c r="B1310" t="s">
        <v>163</v>
      </c>
      <c r="C1310" t="s">
        <v>164</v>
      </c>
      <c r="D1310" t="s">
        <v>68</v>
      </c>
      <c r="E1310">
        <v>8</v>
      </c>
      <c r="F1310" t="s">
        <v>128</v>
      </c>
      <c r="G1310">
        <v>125000</v>
      </c>
      <c r="H1310">
        <v>125000</v>
      </c>
      <c r="I1310">
        <v>240000</v>
      </c>
      <c r="J1310" t="s">
        <v>108</v>
      </c>
      <c r="K1310" t="s">
        <v>109</v>
      </c>
      <c r="L1310" t="s">
        <v>53</v>
      </c>
      <c r="M1310" t="s">
        <v>45</v>
      </c>
      <c r="N1310" t="s">
        <v>83</v>
      </c>
      <c r="O1310" t="s">
        <v>2748</v>
      </c>
      <c r="P1310">
        <v>12.5</v>
      </c>
      <c r="Q1310">
        <v>76</v>
      </c>
      <c r="R1310">
        <v>16.5</v>
      </c>
      <c r="S1310">
        <v>7</v>
      </c>
      <c r="T1310">
        <v>2026</v>
      </c>
      <c r="U1310">
        <v>1</v>
      </c>
      <c r="V1310">
        <v>1</v>
      </c>
      <c r="W1310" t="s">
        <v>47</v>
      </c>
      <c r="X1310" t="s">
        <v>64</v>
      </c>
      <c r="Y1310" t="s">
        <v>95</v>
      </c>
    </row>
    <row r="1311" spans="1:25" x14ac:dyDescent="0.35">
      <c r="A1311" t="s">
        <v>2749</v>
      </c>
      <c r="B1311" t="s">
        <v>233</v>
      </c>
      <c r="C1311" t="s">
        <v>180</v>
      </c>
      <c r="D1311" t="s">
        <v>68</v>
      </c>
      <c r="E1311">
        <v>10</v>
      </c>
      <c r="F1311" t="s">
        <v>69</v>
      </c>
      <c r="G1311">
        <v>175000</v>
      </c>
      <c r="H1311">
        <v>100000</v>
      </c>
      <c r="I1311">
        <v>200000</v>
      </c>
      <c r="J1311" t="s">
        <v>42</v>
      </c>
      <c r="K1311" t="s">
        <v>43</v>
      </c>
      <c r="L1311" t="s">
        <v>32</v>
      </c>
      <c r="M1311" t="s">
        <v>45</v>
      </c>
      <c r="N1311" t="s">
        <v>83</v>
      </c>
      <c r="O1311" t="s">
        <v>2750</v>
      </c>
      <c r="P1311">
        <v>14</v>
      </c>
      <c r="Q1311">
        <v>68</v>
      </c>
      <c r="R1311">
        <v>13.8</v>
      </c>
      <c r="S1311">
        <v>7.1</v>
      </c>
      <c r="T1311">
        <v>2025</v>
      </c>
      <c r="U1311">
        <v>8</v>
      </c>
      <c r="V1311">
        <v>1</v>
      </c>
      <c r="W1311" t="s">
        <v>36</v>
      </c>
      <c r="X1311" t="s">
        <v>64</v>
      </c>
      <c r="Y1311" t="s">
        <v>48</v>
      </c>
    </row>
    <row r="1312" spans="1:25" x14ac:dyDescent="0.35">
      <c r="A1312" t="s">
        <v>2751</v>
      </c>
      <c r="B1312" t="s">
        <v>233</v>
      </c>
      <c r="C1312" t="s">
        <v>180</v>
      </c>
      <c r="D1312" t="s">
        <v>74</v>
      </c>
      <c r="E1312">
        <v>3</v>
      </c>
      <c r="F1312" t="s">
        <v>51</v>
      </c>
      <c r="G1312">
        <v>100000</v>
      </c>
      <c r="H1312">
        <v>100000</v>
      </c>
      <c r="I1312">
        <v>200000</v>
      </c>
      <c r="J1312" t="s">
        <v>70</v>
      </c>
      <c r="K1312" t="s">
        <v>31</v>
      </c>
      <c r="L1312" t="s">
        <v>44</v>
      </c>
      <c r="M1312" t="s">
        <v>61</v>
      </c>
      <c r="N1312" t="s">
        <v>124</v>
      </c>
      <c r="O1312" t="s">
        <v>2752</v>
      </c>
      <c r="P1312">
        <v>10.4</v>
      </c>
      <c r="Q1312">
        <v>68</v>
      </c>
      <c r="R1312">
        <v>12.3</v>
      </c>
      <c r="S1312">
        <v>7</v>
      </c>
      <c r="T1312">
        <v>2025</v>
      </c>
      <c r="U1312">
        <v>6</v>
      </c>
      <c r="V1312">
        <v>0</v>
      </c>
      <c r="W1312" t="s">
        <v>47</v>
      </c>
      <c r="X1312" t="s">
        <v>64</v>
      </c>
      <c r="Y1312" t="s">
        <v>98</v>
      </c>
    </row>
    <row r="1313" spans="1:25" x14ac:dyDescent="0.35">
      <c r="A1313" t="s">
        <v>2753</v>
      </c>
      <c r="B1313" t="s">
        <v>26</v>
      </c>
      <c r="C1313" t="s">
        <v>27</v>
      </c>
      <c r="D1313" t="s">
        <v>81</v>
      </c>
      <c r="E1313">
        <v>3</v>
      </c>
      <c r="F1313" t="s">
        <v>128</v>
      </c>
      <c r="G1313">
        <v>215000</v>
      </c>
      <c r="H1313">
        <v>155000</v>
      </c>
      <c r="I1313">
        <v>290000</v>
      </c>
      <c r="J1313" t="s">
        <v>122</v>
      </c>
      <c r="K1313" t="s">
        <v>123</v>
      </c>
      <c r="L1313" t="s">
        <v>32</v>
      </c>
      <c r="M1313" t="s">
        <v>82</v>
      </c>
      <c r="N1313" t="s">
        <v>88</v>
      </c>
      <c r="O1313" t="s">
        <v>2754</v>
      </c>
      <c r="P1313">
        <v>18</v>
      </c>
      <c r="Q1313">
        <v>96</v>
      </c>
      <c r="R1313">
        <v>68.8</v>
      </c>
      <c r="S1313">
        <v>6.3</v>
      </c>
      <c r="T1313">
        <v>2026</v>
      </c>
      <c r="U1313">
        <v>2</v>
      </c>
      <c r="V1313">
        <v>0</v>
      </c>
      <c r="W1313" t="s">
        <v>36</v>
      </c>
      <c r="X1313" t="s">
        <v>37</v>
      </c>
      <c r="Y1313" t="s">
        <v>38</v>
      </c>
    </row>
    <row r="1314" spans="1:25" x14ac:dyDescent="0.35">
      <c r="A1314" t="s">
        <v>2755</v>
      </c>
      <c r="B1314" t="s">
        <v>153</v>
      </c>
      <c r="C1314" t="s">
        <v>154</v>
      </c>
      <c r="D1314" t="s">
        <v>74</v>
      </c>
      <c r="E1314">
        <v>8</v>
      </c>
      <c r="F1314" t="s">
        <v>41</v>
      </c>
      <c r="G1314">
        <v>96000</v>
      </c>
      <c r="H1314">
        <v>95000</v>
      </c>
      <c r="I1314">
        <v>180000</v>
      </c>
      <c r="J1314" t="s">
        <v>60</v>
      </c>
      <c r="K1314" t="s">
        <v>60</v>
      </c>
      <c r="L1314" t="s">
        <v>53</v>
      </c>
      <c r="M1314" t="s">
        <v>45</v>
      </c>
      <c r="N1314" t="s">
        <v>124</v>
      </c>
      <c r="O1314" t="s">
        <v>2756</v>
      </c>
      <c r="P1314">
        <v>15.9</v>
      </c>
      <c r="Q1314">
        <v>78</v>
      </c>
      <c r="R1314">
        <v>11.9</v>
      </c>
      <c r="S1314">
        <v>7.6</v>
      </c>
      <c r="T1314">
        <v>2025</v>
      </c>
      <c r="U1314">
        <v>5</v>
      </c>
      <c r="V1314">
        <v>0</v>
      </c>
      <c r="W1314" t="s">
        <v>47</v>
      </c>
      <c r="X1314" t="s">
        <v>64</v>
      </c>
      <c r="Y1314" t="s">
        <v>98</v>
      </c>
    </row>
    <row r="1315" spans="1:25" x14ac:dyDescent="0.35">
      <c r="A1315" t="s">
        <v>2757</v>
      </c>
      <c r="B1315" t="s">
        <v>179</v>
      </c>
      <c r="C1315" t="s">
        <v>180</v>
      </c>
      <c r="D1315" t="s">
        <v>74</v>
      </c>
      <c r="E1315">
        <v>10</v>
      </c>
      <c r="F1315" t="s">
        <v>51</v>
      </c>
      <c r="G1315">
        <v>110000</v>
      </c>
      <c r="H1315">
        <v>110000</v>
      </c>
      <c r="I1315">
        <v>210000</v>
      </c>
      <c r="J1315" t="s">
        <v>170</v>
      </c>
      <c r="K1315" t="s">
        <v>171</v>
      </c>
      <c r="L1315" t="s">
        <v>53</v>
      </c>
      <c r="M1315" t="s">
        <v>45</v>
      </c>
      <c r="N1315" t="s">
        <v>131</v>
      </c>
      <c r="O1315" t="s">
        <v>2758</v>
      </c>
      <c r="P1315">
        <v>8.1999999999999993</v>
      </c>
      <c r="Q1315">
        <v>72</v>
      </c>
      <c r="R1315">
        <v>14.3</v>
      </c>
      <c r="S1315">
        <v>6.5</v>
      </c>
      <c r="T1315">
        <v>2026</v>
      </c>
      <c r="U1315">
        <v>3</v>
      </c>
      <c r="V1315">
        <v>0</v>
      </c>
      <c r="W1315" t="s">
        <v>47</v>
      </c>
      <c r="X1315" t="s">
        <v>64</v>
      </c>
      <c r="Y1315" t="s">
        <v>95</v>
      </c>
    </row>
    <row r="1316" spans="1:25" x14ac:dyDescent="0.35">
      <c r="A1316" t="s">
        <v>2759</v>
      </c>
      <c r="B1316" t="s">
        <v>153</v>
      </c>
      <c r="C1316" t="s">
        <v>154</v>
      </c>
      <c r="D1316" t="s">
        <v>74</v>
      </c>
      <c r="E1316">
        <v>7</v>
      </c>
      <c r="F1316" t="s">
        <v>128</v>
      </c>
      <c r="G1316">
        <v>95000</v>
      </c>
      <c r="H1316">
        <v>95000</v>
      </c>
      <c r="I1316">
        <v>180000</v>
      </c>
      <c r="J1316" t="s">
        <v>60</v>
      </c>
      <c r="K1316" t="s">
        <v>60</v>
      </c>
      <c r="L1316" t="s">
        <v>32</v>
      </c>
      <c r="M1316" t="s">
        <v>33</v>
      </c>
      <c r="N1316" t="s">
        <v>124</v>
      </c>
      <c r="O1316" t="s">
        <v>2760</v>
      </c>
      <c r="P1316">
        <v>12.2</v>
      </c>
      <c r="Q1316">
        <v>78</v>
      </c>
      <c r="R1316">
        <v>12.1</v>
      </c>
      <c r="S1316">
        <v>6.1</v>
      </c>
      <c r="T1316">
        <v>2025</v>
      </c>
      <c r="U1316">
        <v>8</v>
      </c>
      <c r="V1316">
        <v>0</v>
      </c>
      <c r="W1316" t="s">
        <v>36</v>
      </c>
      <c r="X1316" t="s">
        <v>64</v>
      </c>
      <c r="Y1316" t="s">
        <v>98</v>
      </c>
    </row>
    <row r="1317" spans="1:25" x14ac:dyDescent="0.35">
      <c r="A1317" t="s">
        <v>2761</v>
      </c>
      <c r="B1317" t="s">
        <v>146</v>
      </c>
      <c r="C1317" t="s">
        <v>27</v>
      </c>
      <c r="D1317" t="s">
        <v>68</v>
      </c>
      <c r="E1317">
        <v>3</v>
      </c>
      <c r="F1317" t="s">
        <v>29</v>
      </c>
      <c r="G1317">
        <v>360000</v>
      </c>
      <c r="H1317">
        <v>160000</v>
      </c>
      <c r="I1317">
        <v>300000</v>
      </c>
      <c r="J1317" t="s">
        <v>42</v>
      </c>
      <c r="K1317" t="s">
        <v>43</v>
      </c>
      <c r="L1317" t="s">
        <v>44</v>
      </c>
      <c r="M1317" t="s">
        <v>54</v>
      </c>
      <c r="N1317" t="s">
        <v>76</v>
      </c>
      <c r="O1317" t="s">
        <v>2762</v>
      </c>
      <c r="P1317">
        <v>11.1</v>
      </c>
      <c r="Q1317">
        <v>90</v>
      </c>
      <c r="R1317">
        <v>12.7</v>
      </c>
      <c r="S1317">
        <v>9.3000000000000007</v>
      </c>
      <c r="T1317">
        <v>2025</v>
      </c>
      <c r="U1317">
        <v>10</v>
      </c>
      <c r="V1317">
        <v>1</v>
      </c>
      <c r="W1317" t="s">
        <v>47</v>
      </c>
      <c r="X1317" t="s">
        <v>64</v>
      </c>
      <c r="Y1317" t="s">
        <v>56</v>
      </c>
    </row>
    <row r="1318" spans="1:25" x14ac:dyDescent="0.35">
      <c r="A1318" t="s">
        <v>2763</v>
      </c>
      <c r="B1318" t="s">
        <v>86</v>
      </c>
      <c r="C1318" t="s">
        <v>27</v>
      </c>
      <c r="D1318" t="s">
        <v>28</v>
      </c>
      <c r="E1318">
        <v>9</v>
      </c>
      <c r="F1318" t="s">
        <v>29</v>
      </c>
      <c r="G1318">
        <v>246000</v>
      </c>
      <c r="H1318">
        <v>180000</v>
      </c>
      <c r="I1318">
        <v>312000</v>
      </c>
      <c r="J1318" t="s">
        <v>142</v>
      </c>
      <c r="K1318" t="s">
        <v>143</v>
      </c>
      <c r="L1318" t="s">
        <v>53</v>
      </c>
      <c r="M1318" t="s">
        <v>45</v>
      </c>
      <c r="N1318" t="s">
        <v>124</v>
      </c>
      <c r="O1318" t="s">
        <v>2764</v>
      </c>
      <c r="P1318">
        <v>9.6999999999999993</v>
      </c>
      <c r="Q1318">
        <v>96</v>
      </c>
      <c r="R1318">
        <v>67.7</v>
      </c>
      <c r="S1318">
        <v>9</v>
      </c>
      <c r="T1318">
        <v>2026</v>
      </c>
      <c r="U1318">
        <v>1</v>
      </c>
      <c r="V1318">
        <v>1</v>
      </c>
      <c r="W1318" t="s">
        <v>47</v>
      </c>
      <c r="X1318" t="s">
        <v>64</v>
      </c>
      <c r="Y1318" t="s">
        <v>38</v>
      </c>
    </row>
    <row r="1319" spans="1:25" x14ac:dyDescent="0.35">
      <c r="A1319" t="s">
        <v>2765</v>
      </c>
      <c r="B1319" t="s">
        <v>58</v>
      </c>
      <c r="C1319" t="s">
        <v>59</v>
      </c>
      <c r="D1319" t="s">
        <v>68</v>
      </c>
      <c r="E1319">
        <v>8</v>
      </c>
      <c r="F1319" t="s">
        <v>69</v>
      </c>
      <c r="G1319">
        <v>264000</v>
      </c>
      <c r="H1319">
        <v>130000</v>
      </c>
      <c r="I1319">
        <v>220000</v>
      </c>
      <c r="J1319" t="s">
        <v>52</v>
      </c>
      <c r="K1319" t="s">
        <v>31</v>
      </c>
      <c r="L1319" t="s">
        <v>32</v>
      </c>
      <c r="M1319" t="s">
        <v>54</v>
      </c>
      <c r="N1319" t="s">
        <v>119</v>
      </c>
      <c r="O1319" t="s">
        <v>2766</v>
      </c>
      <c r="P1319">
        <v>9.4</v>
      </c>
      <c r="Q1319">
        <v>88</v>
      </c>
      <c r="R1319">
        <v>17.899999999999999</v>
      </c>
      <c r="S1319">
        <v>6.7</v>
      </c>
      <c r="T1319">
        <v>2026</v>
      </c>
      <c r="U1319">
        <v>2</v>
      </c>
      <c r="V1319">
        <v>1</v>
      </c>
      <c r="W1319" t="s">
        <v>36</v>
      </c>
      <c r="X1319" t="s">
        <v>64</v>
      </c>
      <c r="Y1319" t="s">
        <v>38</v>
      </c>
    </row>
    <row r="1320" spans="1:25" x14ac:dyDescent="0.35">
      <c r="A1320" t="s">
        <v>2767</v>
      </c>
      <c r="B1320" t="s">
        <v>233</v>
      </c>
      <c r="C1320" t="s">
        <v>180</v>
      </c>
      <c r="D1320" t="s">
        <v>74</v>
      </c>
      <c r="E1320">
        <v>8</v>
      </c>
      <c r="F1320" t="s">
        <v>128</v>
      </c>
      <c r="G1320">
        <v>126000</v>
      </c>
      <c r="H1320">
        <v>100000</v>
      </c>
      <c r="I1320">
        <v>200000</v>
      </c>
      <c r="J1320" t="s">
        <v>113</v>
      </c>
      <c r="K1320" t="s">
        <v>114</v>
      </c>
      <c r="L1320" t="s">
        <v>53</v>
      </c>
      <c r="M1320" t="s">
        <v>54</v>
      </c>
      <c r="N1320" t="s">
        <v>124</v>
      </c>
      <c r="O1320" t="s">
        <v>2768</v>
      </c>
      <c r="P1320">
        <v>15.9</v>
      </c>
      <c r="Q1320">
        <v>68</v>
      </c>
      <c r="R1320">
        <v>6.9</v>
      </c>
      <c r="S1320">
        <v>6.6</v>
      </c>
      <c r="T1320">
        <v>2026</v>
      </c>
      <c r="U1320">
        <v>2</v>
      </c>
      <c r="V1320">
        <v>0</v>
      </c>
      <c r="W1320" t="s">
        <v>47</v>
      </c>
      <c r="X1320" t="s">
        <v>64</v>
      </c>
      <c r="Y1320" t="s">
        <v>95</v>
      </c>
    </row>
    <row r="1321" spans="1:25" x14ac:dyDescent="0.35">
      <c r="A1321" t="s">
        <v>2769</v>
      </c>
      <c r="B1321" t="s">
        <v>66</v>
      </c>
      <c r="C1321" t="s">
        <v>67</v>
      </c>
      <c r="D1321" t="s">
        <v>74</v>
      </c>
      <c r="E1321">
        <v>10</v>
      </c>
      <c r="F1321" t="s">
        <v>69</v>
      </c>
      <c r="G1321">
        <v>151000</v>
      </c>
      <c r="H1321">
        <v>140000</v>
      </c>
      <c r="I1321">
        <v>260000</v>
      </c>
      <c r="J1321" t="s">
        <v>60</v>
      </c>
      <c r="K1321" t="s">
        <v>60</v>
      </c>
      <c r="L1321" t="s">
        <v>53</v>
      </c>
      <c r="M1321" t="s">
        <v>54</v>
      </c>
      <c r="N1321" t="s">
        <v>155</v>
      </c>
      <c r="O1321" t="s">
        <v>2770</v>
      </c>
      <c r="P1321">
        <v>15.7</v>
      </c>
      <c r="Q1321">
        <v>85</v>
      </c>
      <c r="R1321">
        <v>23.3</v>
      </c>
      <c r="S1321">
        <v>9.8000000000000007</v>
      </c>
      <c r="T1321">
        <v>2026</v>
      </c>
      <c r="U1321">
        <v>1</v>
      </c>
      <c r="V1321">
        <v>0</v>
      </c>
      <c r="W1321" t="s">
        <v>47</v>
      </c>
      <c r="X1321" t="s">
        <v>64</v>
      </c>
      <c r="Y1321" t="s">
        <v>48</v>
      </c>
    </row>
    <row r="1322" spans="1:25" x14ac:dyDescent="0.35">
      <c r="A1322" t="s">
        <v>2771</v>
      </c>
      <c r="B1322" t="s">
        <v>224</v>
      </c>
      <c r="C1322" t="s">
        <v>27</v>
      </c>
      <c r="D1322" t="s">
        <v>28</v>
      </c>
      <c r="E1322">
        <v>5</v>
      </c>
      <c r="F1322" t="s">
        <v>29</v>
      </c>
      <c r="G1322">
        <v>199000</v>
      </c>
      <c r="H1322">
        <v>145000</v>
      </c>
      <c r="I1322">
        <v>280000</v>
      </c>
      <c r="J1322" t="s">
        <v>137</v>
      </c>
      <c r="K1322" t="s">
        <v>138</v>
      </c>
      <c r="L1322" t="s">
        <v>32</v>
      </c>
      <c r="M1322" t="s">
        <v>61</v>
      </c>
      <c r="N1322" t="s">
        <v>131</v>
      </c>
      <c r="O1322" t="s">
        <v>2772</v>
      </c>
      <c r="P1322">
        <v>5.2</v>
      </c>
      <c r="Q1322">
        <v>87</v>
      </c>
      <c r="R1322">
        <v>16.8</v>
      </c>
      <c r="S1322">
        <v>6.7</v>
      </c>
      <c r="T1322">
        <v>2025</v>
      </c>
      <c r="U1322">
        <v>2</v>
      </c>
      <c r="V1322">
        <v>1</v>
      </c>
      <c r="W1322" t="s">
        <v>36</v>
      </c>
      <c r="X1322" t="s">
        <v>64</v>
      </c>
      <c r="Y1322" t="s">
        <v>48</v>
      </c>
    </row>
    <row r="1323" spans="1:25" x14ac:dyDescent="0.35">
      <c r="A1323" t="s">
        <v>2773</v>
      </c>
      <c r="B1323" t="s">
        <v>149</v>
      </c>
      <c r="C1323" t="s">
        <v>150</v>
      </c>
      <c r="D1323" t="s">
        <v>81</v>
      </c>
      <c r="E1323">
        <v>8</v>
      </c>
      <c r="F1323" t="s">
        <v>29</v>
      </c>
      <c r="G1323">
        <v>130000</v>
      </c>
      <c r="H1323">
        <v>130000</v>
      </c>
      <c r="I1323">
        <v>260000</v>
      </c>
      <c r="J1323" t="s">
        <v>137</v>
      </c>
      <c r="K1323" t="s">
        <v>138</v>
      </c>
      <c r="L1323" t="s">
        <v>32</v>
      </c>
      <c r="M1323" t="s">
        <v>33</v>
      </c>
      <c r="N1323" t="s">
        <v>71</v>
      </c>
      <c r="O1323" t="s">
        <v>2774</v>
      </c>
      <c r="P1323">
        <v>11.1</v>
      </c>
      <c r="Q1323">
        <v>93</v>
      </c>
      <c r="R1323">
        <v>15.7</v>
      </c>
      <c r="S1323">
        <v>7.7</v>
      </c>
      <c r="T1323">
        <v>2025</v>
      </c>
      <c r="U1323">
        <v>12</v>
      </c>
      <c r="V1323">
        <v>0</v>
      </c>
      <c r="W1323" t="s">
        <v>36</v>
      </c>
      <c r="X1323" t="s">
        <v>64</v>
      </c>
      <c r="Y1323" t="s">
        <v>95</v>
      </c>
    </row>
    <row r="1324" spans="1:25" x14ac:dyDescent="0.35">
      <c r="A1324" t="s">
        <v>2775</v>
      </c>
      <c r="B1324" t="s">
        <v>203</v>
      </c>
      <c r="C1324" t="s">
        <v>169</v>
      </c>
      <c r="D1324" t="s">
        <v>68</v>
      </c>
      <c r="E1324">
        <v>4</v>
      </c>
      <c r="F1324" t="s">
        <v>128</v>
      </c>
      <c r="G1324">
        <v>234000</v>
      </c>
      <c r="H1324">
        <v>138000</v>
      </c>
      <c r="I1324">
        <v>195000</v>
      </c>
      <c r="J1324" t="s">
        <v>296</v>
      </c>
      <c r="K1324" t="s">
        <v>31</v>
      </c>
      <c r="L1324" t="s">
        <v>53</v>
      </c>
      <c r="M1324" t="s">
        <v>54</v>
      </c>
      <c r="N1324" t="s">
        <v>83</v>
      </c>
      <c r="O1324" t="s">
        <v>2776</v>
      </c>
      <c r="P1324">
        <v>5.0999999999999996</v>
      </c>
      <c r="Q1324">
        <v>92</v>
      </c>
      <c r="R1324">
        <v>72.2</v>
      </c>
      <c r="S1324">
        <v>8.8000000000000007</v>
      </c>
      <c r="T1324">
        <v>2025</v>
      </c>
      <c r="U1324">
        <v>10</v>
      </c>
      <c r="V1324">
        <v>1</v>
      </c>
      <c r="W1324" t="s">
        <v>47</v>
      </c>
      <c r="X1324" t="s">
        <v>64</v>
      </c>
      <c r="Y1324" t="s">
        <v>38</v>
      </c>
    </row>
    <row r="1325" spans="1:25" x14ac:dyDescent="0.35">
      <c r="A1325" t="s">
        <v>2777</v>
      </c>
      <c r="B1325" t="s">
        <v>203</v>
      </c>
      <c r="C1325" t="s">
        <v>169</v>
      </c>
      <c r="D1325" t="s">
        <v>28</v>
      </c>
      <c r="E1325">
        <v>5</v>
      </c>
      <c r="F1325" t="s">
        <v>128</v>
      </c>
      <c r="G1325">
        <v>233000</v>
      </c>
      <c r="H1325">
        <v>138000</v>
      </c>
      <c r="I1325">
        <v>195000</v>
      </c>
      <c r="J1325" t="s">
        <v>191</v>
      </c>
      <c r="K1325" t="s">
        <v>31</v>
      </c>
      <c r="L1325" t="s">
        <v>44</v>
      </c>
      <c r="M1325" t="s">
        <v>45</v>
      </c>
      <c r="N1325" t="s">
        <v>119</v>
      </c>
      <c r="O1325" t="s">
        <v>2778</v>
      </c>
      <c r="P1325">
        <v>7.3</v>
      </c>
      <c r="Q1325">
        <v>92</v>
      </c>
      <c r="R1325">
        <v>16.3</v>
      </c>
      <c r="S1325">
        <v>9.4</v>
      </c>
      <c r="T1325">
        <v>2026</v>
      </c>
      <c r="U1325">
        <v>3</v>
      </c>
      <c r="V1325">
        <v>1</v>
      </c>
      <c r="W1325" t="s">
        <v>47</v>
      </c>
      <c r="X1325" t="s">
        <v>64</v>
      </c>
      <c r="Y1325" t="s">
        <v>38</v>
      </c>
    </row>
    <row r="1326" spans="1:25" x14ac:dyDescent="0.35">
      <c r="A1326" t="s">
        <v>2779</v>
      </c>
      <c r="B1326" t="s">
        <v>134</v>
      </c>
      <c r="C1326" t="s">
        <v>27</v>
      </c>
      <c r="D1326" t="s">
        <v>81</v>
      </c>
      <c r="E1326">
        <v>7</v>
      </c>
      <c r="F1326" t="s">
        <v>128</v>
      </c>
      <c r="G1326">
        <v>171000</v>
      </c>
      <c r="H1326">
        <v>150000</v>
      </c>
      <c r="I1326">
        <v>295000</v>
      </c>
      <c r="J1326" t="s">
        <v>117</v>
      </c>
      <c r="K1326" t="s">
        <v>118</v>
      </c>
      <c r="L1326" t="s">
        <v>44</v>
      </c>
      <c r="M1326" t="s">
        <v>61</v>
      </c>
      <c r="N1326" t="s">
        <v>131</v>
      </c>
      <c r="O1326" t="s">
        <v>2780</v>
      </c>
      <c r="P1326">
        <v>14.3</v>
      </c>
      <c r="Q1326">
        <v>95</v>
      </c>
      <c r="R1326">
        <v>51.4</v>
      </c>
      <c r="S1326">
        <v>9.5</v>
      </c>
      <c r="T1326">
        <v>2026</v>
      </c>
      <c r="U1326">
        <v>3</v>
      </c>
      <c r="V1326">
        <v>0</v>
      </c>
      <c r="W1326" t="s">
        <v>47</v>
      </c>
      <c r="X1326" t="s">
        <v>37</v>
      </c>
      <c r="Y1326" t="s">
        <v>48</v>
      </c>
    </row>
    <row r="1327" spans="1:25" x14ac:dyDescent="0.35">
      <c r="A1327" t="s">
        <v>2781</v>
      </c>
      <c r="B1327" t="s">
        <v>50</v>
      </c>
      <c r="C1327" t="s">
        <v>27</v>
      </c>
      <c r="D1327" t="s">
        <v>68</v>
      </c>
      <c r="E1327">
        <v>3</v>
      </c>
      <c r="F1327" t="s">
        <v>29</v>
      </c>
      <c r="G1327">
        <v>160000</v>
      </c>
      <c r="H1327">
        <v>160000</v>
      </c>
      <c r="I1327">
        <v>300000</v>
      </c>
      <c r="J1327" t="s">
        <v>108</v>
      </c>
      <c r="K1327" t="s">
        <v>109</v>
      </c>
      <c r="L1327" t="s">
        <v>32</v>
      </c>
      <c r="M1327" t="s">
        <v>54</v>
      </c>
      <c r="N1327" t="s">
        <v>165</v>
      </c>
      <c r="O1327" t="s">
        <v>2782</v>
      </c>
      <c r="P1327">
        <v>7.6</v>
      </c>
      <c r="Q1327">
        <v>98</v>
      </c>
      <c r="R1327">
        <v>61.3</v>
      </c>
      <c r="S1327">
        <v>9.5</v>
      </c>
      <c r="T1327">
        <v>2026</v>
      </c>
      <c r="U1327">
        <v>2</v>
      </c>
      <c r="V1327">
        <v>1</v>
      </c>
      <c r="W1327" t="s">
        <v>36</v>
      </c>
      <c r="X1327" t="s">
        <v>37</v>
      </c>
      <c r="Y1327" t="s">
        <v>48</v>
      </c>
    </row>
    <row r="1328" spans="1:25" x14ac:dyDescent="0.35">
      <c r="A1328" t="s">
        <v>2783</v>
      </c>
      <c r="B1328" t="s">
        <v>179</v>
      </c>
      <c r="C1328" t="s">
        <v>180</v>
      </c>
      <c r="D1328" t="s">
        <v>68</v>
      </c>
      <c r="E1328">
        <v>6</v>
      </c>
      <c r="F1328" t="s">
        <v>41</v>
      </c>
      <c r="G1328">
        <v>220000</v>
      </c>
      <c r="H1328">
        <v>110000</v>
      </c>
      <c r="I1328">
        <v>210000</v>
      </c>
      <c r="J1328" t="s">
        <v>191</v>
      </c>
      <c r="K1328" t="s">
        <v>31</v>
      </c>
      <c r="L1328" t="s">
        <v>44</v>
      </c>
      <c r="M1328" t="s">
        <v>61</v>
      </c>
      <c r="N1328" t="s">
        <v>165</v>
      </c>
      <c r="O1328" t="s">
        <v>2784</v>
      </c>
      <c r="P1328">
        <v>9.3000000000000007</v>
      </c>
      <c r="Q1328">
        <v>72</v>
      </c>
      <c r="R1328">
        <v>25.1</v>
      </c>
      <c r="S1328">
        <v>8.1</v>
      </c>
      <c r="T1328">
        <v>2026</v>
      </c>
      <c r="U1328">
        <v>1</v>
      </c>
      <c r="V1328">
        <v>1</v>
      </c>
      <c r="W1328" t="s">
        <v>47</v>
      </c>
      <c r="X1328" t="s">
        <v>64</v>
      </c>
      <c r="Y1328" t="s">
        <v>38</v>
      </c>
    </row>
    <row r="1329" spans="1:25" x14ac:dyDescent="0.35">
      <c r="A1329" t="s">
        <v>2785</v>
      </c>
      <c r="B1329" t="s">
        <v>158</v>
      </c>
      <c r="C1329" t="s">
        <v>27</v>
      </c>
      <c r="D1329" t="s">
        <v>28</v>
      </c>
      <c r="E1329">
        <v>7</v>
      </c>
      <c r="F1329" t="s">
        <v>128</v>
      </c>
      <c r="G1329">
        <v>202000</v>
      </c>
      <c r="H1329">
        <v>145000</v>
      </c>
      <c r="I1329">
        <v>280000</v>
      </c>
      <c r="J1329" t="s">
        <v>60</v>
      </c>
      <c r="K1329" t="s">
        <v>60</v>
      </c>
      <c r="L1329" t="s">
        <v>53</v>
      </c>
      <c r="M1329" t="s">
        <v>33</v>
      </c>
      <c r="N1329" t="s">
        <v>62</v>
      </c>
      <c r="O1329" t="s">
        <v>2786</v>
      </c>
      <c r="P1329">
        <v>3.3</v>
      </c>
      <c r="Q1329">
        <v>94</v>
      </c>
      <c r="R1329">
        <v>55.3</v>
      </c>
      <c r="S1329">
        <v>6.7</v>
      </c>
      <c r="T1329">
        <v>2026</v>
      </c>
      <c r="U1329">
        <v>1</v>
      </c>
      <c r="V1329">
        <v>1</v>
      </c>
      <c r="W1329" t="s">
        <v>47</v>
      </c>
      <c r="X1329" t="s">
        <v>37</v>
      </c>
      <c r="Y1329" t="s">
        <v>38</v>
      </c>
    </row>
    <row r="1330" spans="1:25" x14ac:dyDescent="0.35">
      <c r="A1330" t="s">
        <v>2787</v>
      </c>
      <c r="B1330" t="s">
        <v>224</v>
      </c>
      <c r="C1330" t="s">
        <v>27</v>
      </c>
      <c r="D1330" t="s">
        <v>28</v>
      </c>
      <c r="E1330">
        <v>7</v>
      </c>
      <c r="F1330" t="s">
        <v>128</v>
      </c>
      <c r="G1330">
        <v>336000</v>
      </c>
      <c r="H1330">
        <v>145000</v>
      </c>
      <c r="I1330">
        <v>280000</v>
      </c>
      <c r="J1330" t="s">
        <v>174</v>
      </c>
      <c r="K1330" t="s">
        <v>31</v>
      </c>
      <c r="L1330" t="s">
        <v>44</v>
      </c>
      <c r="M1330" t="s">
        <v>45</v>
      </c>
      <c r="N1330" t="s">
        <v>124</v>
      </c>
      <c r="O1330" t="s">
        <v>2788</v>
      </c>
      <c r="P1330">
        <v>5.3</v>
      </c>
      <c r="Q1330">
        <v>87</v>
      </c>
      <c r="R1330">
        <v>14.8</v>
      </c>
      <c r="S1330">
        <v>8.6</v>
      </c>
      <c r="T1330">
        <v>2025</v>
      </c>
      <c r="U1330">
        <v>2</v>
      </c>
      <c r="V1330">
        <v>1</v>
      </c>
      <c r="W1330" t="s">
        <v>47</v>
      </c>
      <c r="X1330" t="s">
        <v>64</v>
      </c>
      <c r="Y1330" t="s">
        <v>56</v>
      </c>
    </row>
    <row r="1331" spans="1:25" x14ac:dyDescent="0.35">
      <c r="A1331" t="s">
        <v>2789</v>
      </c>
      <c r="B1331" t="s">
        <v>50</v>
      </c>
      <c r="C1331" t="s">
        <v>27</v>
      </c>
      <c r="D1331" t="s">
        <v>68</v>
      </c>
      <c r="E1331">
        <v>6</v>
      </c>
      <c r="F1331" t="s">
        <v>29</v>
      </c>
      <c r="G1331">
        <v>260000</v>
      </c>
      <c r="H1331">
        <v>160000</v>
      </c>
      <c r="I1331">
        <v>300000</v>
      </c>
      <c r="J1331" t="s">
        <v>113</v>
      </c>
      <c r="K1331" t="s">
        <v>114</v>
      </c>
      <c r="L1331" t="s">
        <v>32</v>
      </c>
      <c r="M1331" t="s">
        <v>82</v>
      </c>
      <c r="N1331" t="s">
        <v>34</v>
      </c>
      <c r="O1331" t="s">
        <v>2790</v>
      </c>
      <c r="P1331">
        <v>7.6</v>
      </c>
      <c r="Q1331">
        <v>98</v>
      </c>
      <c r="R1331">
        <v>18.8</v>
      </c>
      <c r="S1331">
        <v>8.5</v>
      </c>
      <c r="T1331">
        <v>2026</v>
      </c>
      <c r="U1331">
        <v>1</v>
      </c>
      <c r="V1331">
        <v>1</v>
      </c>
      <c r="W1331" t="s">
        <v>36</v>
      </c>
      <c r="X1331" t="s">
        <v>37</v>
      </c>
      <c r="Y1331" t="s">
        <v>38</v>
      </c>
    </row>
    <row r="1332" spans="1:25" x14ac:dyDescent="0.35">
      <c r="A1332" t="s">
        <v>2791</v>
      </c>
      <c r="B1332" t="s">
        <v>153</v>
      </c>
      <c r="C1332" t="s">
        <v>154</v>
      </c>
      <c r="D1332" t="s">
        <v>74</v>
      </c>
      <c r="E1332">
        <v>2</v>
      </c>
      <c r="F1332" t="s">
        <v>29</v>
      </c>
      <c r="G1332">
        <v>119000</v>
      </c>
      <c r="H1332">
        <v>95000</v>
      </c>
      <c r="I1332">
        <v>180000</v>
      </c>
      <c r="J1332" t="s">
        <v>174</v>
      </c>
      <c r="K1332" t="s">
        <v>31</v>
      </c>
      <c r="L1332" t="s">
        <v>32</v>
      </c>
      <c r="M1332" t="s">
        <v>33</v>
      </c>
      <c r="N1332" t="s">
        <v>165</v>
      </c>
      <c r="O1332" t="s">
        <v>2792</v>
      </c>
      <c r="P1332">
        <v>13.1</v>
      </c>
      <c r="Q1332">
        <v>78</v>
      </c>
      <c r="R1332">
        <v>10.199999999999999</v>
      </c>
      <c r="S1332">
        <v>6.5</v>
      </c>
      <c r="T1332">
        <v>2026</v>
      </c>
      <c r="U1332">
        <v>2</v>
      </c>
      <c r="V1332">
        <v>0</v>
      </c>
      <c r="W1332" t="s">
        <v>36</v>
      </c>
      <c r="X1332" t="s">
        <v>64</v>
      </c>
      <c r="Y1332" t="s">
        <v>95</v>
      </c>
    </row>
    <row r="1333" spans="1:25" x14ac:dyDescent="0.35">
      <c r="A1333" t="s">
        <v>2793</v>
      </c>
      <c r="B1333" t="s">
        <v>79</v>
      </c>
      <c r="C1333" t="s">
        <v>80</v>
      </c>
      <c r="D1333" t="s">
        <v>81</v>
      </c>
      <c r="E1333">
        <v>7</v>
      </c>
      <c r="F1333" t="s">
        <v>51</v>
      </c>
      <c r="G1333">
        <v>140000</v>
      </c>
      <c r="H1333">
        <v>140000</v>
      </c>
      <c r="I1333">
        <v>260000</v>
      </c>
      <c r="J1333" t="s">
        <v>92</v>
      </c>
      <c r="K1333" t="s">
        <v>93</v>
      </c>
      <c r="L1333" t="s">
        <v>44</v>
      </c>
      <c r="M1333" t="s">
        <v>82</v>
      </c>
      <c r="N1333" t="s">
        <v>110</v>
      </c>
      <c r="O1333" t="s">
        <v>2794</v>
      </c>
      <c r="P1333">
        <v>13.6</v>
      </c>
      <c r="Q1333">
        <v>80</v>
      </c>
      <c r="R1333">
        <v>19.7</v>
      </c>
      <c r="S1333">
        <v>9.4</v>
      </c>
      <c r="T1333">
        <v>2026</v>
      </c>
      <c r="U1333">
        <v>2</v>
      </c>
      <c r="V1333">
        <v>0</v>
      </c>
      <c r="W1333" t="s">
        <v>47</v>
      </c>
      <c r="X1333" t="s">
        <v>64</v>
      </c>
      <c r="Y1333" t="s">
        <v>95</v>
      </c>
    </row>
    <row r="1334" spans="1:25" x14ac:dyDescent="0.35">
      <c r="A1334" t="s">
        <v>2795</v>
      </c>
      <c r="B1334" t="s">
        <v>179</v>
      </c>
      <c r="C1334" t="s">
        <v>180</v>
      </c>
      <c r="D1334" t="s">
        <v>28</v>
      </c>
      <c r="E1334">
        <v>10</v>
      </c>
      <c r="F1334" t="s">
        <v>29</v>
      </c>
      <c r="G1334">
        <v>167000</v>
      </c>
      <c r="H1334">
        <v>110000</v>
      </c>
      <c r="I1334">
        <v>210000</v>
      </c>
      <c r="J1334" t="s">
        <v>70</v>
      </c>
      <c r="K1334" t="s">
        <v>31</v>
      </c>
      <c r="L1334" t="s">
        <v>44</v>
      </c>
      <c r="M1334" t="s">
        <v>33</v>
      </c>
      <c r="N1334" t="s">
        <v>76</v>
      </c>
      <c r="O1334" t="s">
        <v>2796</v>
      </c>
      <c r="P1334">
        <v>9.5</v>
      </c>
      <c r="Q1334">
        <v>72</v>
      </c>
      <c r="R1334">
        <v>27.3</v>
      </c>
      <c r="S1334">
        <v>7.4</v>
      </c>
      <c r="T1334">
        <v>2026</v>
      </c>
      <c r="U1334">
        <v>3</v>
      </c>
      <c r="V1334">
        <v>1</v>
      </c>
      <c r="W1334" t="s">
        <v>47</v>
      </c>
      <c r="X1334" t="s">
        <v>64</v>
      </c>
      <c r="Y1334" t="s">
        <v>48</v>
      </c>
    </row>
    <row r="1335" spans="1:25" x14ac:dyDescent="0.35">
      <c r="A1335" t="s">
        <v>2797</v>
      </c>
      <c r="B1335" t="s">
        <v>163</v>
      </c>
      <c r="C1335" t="s">
        <v>164</v>
      </c>
      <c r="D1335" t="s">
        <v>81</v>
      </c>
      <c r="E1335">
        <v>4</v>
      </c>
      <c r="F1335" t="s">
        <v>51</v>
      </c>
      <c r="G1335">
        <v>140000</v>
      </c>
      <c r="H1335">
        <v>125000</v>
      </c>
      <c r="I1335">
        <v>240000</v>
      </c>
      <c r="J1335" t="s">
        <v>75</v>
      </c>
      <c r="K1335" t="s">
        <v>31</v>
      </c>
      <c r="L1335" t="s">
        <v>44</v>
      </c>
      <c r="M1335" t="s">
        <v>61</v>
      </c>
      <c r="N1335" t="s">
        <v>155</v>
      </c>
      <c r="O1335" t="s">
        <v>2798</v>
      </c>
      <c r="P1335">
        <v>12.3</v>
      </c>
      <c r="Q1335">
        <v>76</v>
      </c>
      <c r="R1335">
        <v>23.2</v>
      </c>
      <c r="S1335">
        <v>8.6</v>
      </c>
      <c r="T1335">
        <v>2026</v>
      </c>
      <c r="U1335">
        <v>2</v>
      </c>
      <c r="V1335">
        <v>0</v>
      </c>
      <c r="W1335" t="s">
        <v>47</v>
      </c>
      <c r="X1335" t="s">
        <v>64</v>
      </c>
      <c r="Y1335" t="s">
        <v>95</v>
      </c>
    </row>
    <row r="1336" spans="1:25" x14ac:dyDescent="0.35">
      <c r="A1336" t="s">
        <v>2799</v>
      </c>
      <c r="B1336" t="s">
        <v>40</v>
      </c>
      <c r="C1336" t="s">
        <v>27</v>
      </c>
      <c r="D1336" t="s">
        <v>74</v>
      </c>
      <c r="E1336">
        <v>3</v>
      </c>
      <c r="F1336" t="s">
        <v>51</v>
      </c>
      <c r="G1336">
        <v>140000</v>
      </c>
      <c r="H1336">
        <v>90000</v>
      </c>
      <c r="I1336">
        <v>200000</v>
      </c>
      <c r="J1336" t="s">
        <v>47</v>
      </c>
      <c r="K1336" t="s">
        <v>87</v>
      </c>
      <c r="L1336" t="s">
        <v>32</v>
      </c>
      <c r="M1336" t="s">
        <v>54</v>
      </c>
      <c r="N1336" t="s">
        <v>131</v>
      </c>
      <c r="O1336" t="s">
        <v>2800</v>
      </c>
      <c r="P1336">
        <v>5.5</v>
      </c>
      <c r="Q1336">
        <v>82</v>
      </c>
      <c r="R1336">
        <v>10</v>
      </c>
      <c r="S1336">
        <v>9.6</v>
      </c>
      <c r="T1336">
        <v>2025</v>
      </c>
      <c r="U1336">
        <v>6</v>
      </c>
      <c r="V1336">
        <v>0</v>
      </c>
      <c r="W1336" t="s">
        <v>36</v>
      </c>
      <c r="X1336" t="s">
        <v>37</v>
      </c>
      <c r="Y1336" t="s">
        <v>95</v>
      </c>
    </row>
    <row r="1337" spans="1:25" x14ac:dyDescent="0.35">
      <c r="A1337" t="s">
        <v>2801</v>
      </c>
      <c r="B1337" t="s">
        <v>146</v>
      </c>
      <c r="C1337" t="s">
        <v>27</v>
      </c>
      <c r="D1337" t="s">
        <v>81</v>
      </c>
      <c r="E1337">
        <v>6</v>
      </c>
      <c r="F1337" t="s">
        <v>51</v>
      </c>
      <c r="G1337">
        <v>209000</v>
      </c>
      <c r="H1337">
        <v>160000</v>
      </c>
      <c r="I1337">
        <v>300000</v>
      </c>
      <c r="J1337" t="s">
        <v>113</v>
      </c>
      <c r="K1337" t="s">
        <v>114</v>
      </c>
      <c r="L1337" t="s">
        <v>53</v>
      </c>
      <c r="M1337" t="s">
        <v>54</v>
      </c>
      <c r="N1337" t="s">
        <v>119</v>
      </c>
      <c r="O1337" t="s">
        <v>2802</v>
      </c>
      <c r="P1337">
        <v>17.3</v>
      </c>
      <c r="Q1337">
        <v>90</v>
      </c>
      <c r="R1337">
        <v>15.7</v>
      </c>
      <c r="S1337">
        <v>7.2</v>
      </c>
      <c r="T1337">
        <v>2025</v>
      </c>
      <c r="U1337">
        <v>12</v>
      </c>
      <c r="V1337">
        <v>0</v>
      </c>
      <c r="W1337" t="s">
        <v>47</v>
      </c>
      <c r="X1337" t="s">
        <v>64</v>
      </c>
      <c r="Y1337" t="s">
        <v>38</v>
      </c>
    </row>
    <row r="1338" spans="1:25" x14ac:dyDescent="0.35">
      <c r="A1338" t="s">
        <v>2803</v>
      </c>
      <c r="B1338" t="s">
        <v>26</v>
      </c>
      <c r="C1338" t="s">
        <v>27</v>
      </c>
      <c r="D1338" t="s">
        <v>68</v>
      </c>
      <c r="E1338">
        <v>3</v>
      </c>
      <c r="F1338" t="s">
        <v>69</v>
      </c>
      <c r="G1338">
        <v>348000</v>
      </c>
      <c r="H1338">
        <v>155000</v>
      </c>
      <c r="I1338">
        <v>290000</v>
      </c>
      <c r="J1338" t="s">
        <v>30</v>
      </c>
      <c r="K1338" t="s">
        <v>31</v>
      </c>
      <c r="L1338" t="s">
        <v>44</v>
      </c>
      <c r="M1338" t="s">
        <v>54</v>
      </c>
      <c r="N1338" t="s">
        <v>34</v>
      </c>
      <c r="O1338" t="s">
        <v>2804</v>
      </c>
      <c r="P1338">
        <v>12.4</v>
      </c>
      <c r="Q1338">
        <v>96</v>
      </c>
      <c r="R1338">
        <v>58.7</v>
      </c>
      <c r="S1338">
        <v>6.9</v>
      </c>
      <c r="T1338">
        <v>2026</v>
      </c>
      <c r="U1338">
        <v>1</v>
      </c>
      <c r="V1338">
        <v>1</v>
      </c>
      <c r="W1338" t="s">
        <v>47</v>
      </c>
      <c r="X1338" t="s">
        <v>37</v>
      </c>
      <c r="Y1338" t="s">
        <v>56</v>
      </c>
    </row>
    <row r="1339" spans="1:25" x14ac:dyDescent="0.35">
      <c r="A1339" t="s">
        <v>2805</v>
      </c>
      <c r="B1339" t="s">
        <v>153</v>
      </c>
      <c r="C1339" t="s">
        <v>154</v>
      </c>
      <c r="D1339" t="s">
        <v>81</v>
      </c>
      <c r="E1339">
        <v>5</v>
      </c>
      <c r="F1339" t="s">
        <v>41</v>
      </c>
      <c r="G1339">
        <v>147000</v>
      </c>
      <c r="H1339">
        <v>95000</v>
      </c>
      <c r="I1339">
        <v>180000</v>
      </c>
      <c r="J1339" t="s">
        <v>70</v>
      </c>
      <c r="K1339" t="s">
        <v>31</v>
      </c>
      <c r="L1339" t="s">
        <v>44</v>
      </c>
      <c r="M1339" t="s">
        <v>82</v>
      </c>
      <c r="N1339" t="s">
        <v>119</v>
      </c>
      <c r="O1339" t="s">
        <v>2806</v>
      </c>
      <c r="P1339">
        <v>9.6999999999999993</v>
      </c>
      <c r="Q1339">
        <v>78</v>
      </c>
      <c r="R1339">
        <v>12</v>
      </c>
      <c r="S1339">
        <v>6.5</v>
      </c>
      <c r="T1339">
        <v>2025</v>
      </c>
      <c r="U1339">
        <v>9</v>
      </c>
      <c r="V1339">
        <v>0</v>
      </c>
      <c r="W1339" t="s">
        <v>47</v>
      </c>
      <c r="X1339" t="s">
        <v>64</v>
      </c>
      <c r="Y1339" t="s">
        <v>95</v>
      </c>
    </row>
    <row r="1340" spans="1:25" x14ac:dyDescent="0.35">
      <c r="A1340" t="s">
        <v>2807</v>
      </c>
      <c r="B1340" t="s">
        <v>134</v>
      </c>
      <c r="C1340" t="s">
        <v>27</v>
      </c>
      <c r="D1340" t="s">
        <v>81</v>
      </c>
      <c r="E1340">
        <v>6</v>
      </c>
      <c r="F1340" t="s">
        <v>69</v>
      </c>
      <c r="G1340">
        <v>196000</v>
      </c>
      <c r="H1340">
        <v>150000</v>
      </c>
      <c r="I1340">
        <v>295000</v>
      </c>
      <c r="J1340" t="s">
        <v>70</v>
      </c>
      <c r="K1340" t="s">
        <v>31</v>
      </c>
      <c r="L1340" t="s">
        <v>53</v>
      </c>
      <c r="M1340" t="s">
        <v>82</v>
      </c>
      <c r="N1340" t="s">
        <v>119</v>
      </c>
      <c r="O1340" t="s">
        <v>2808</v>
      </c>
      <c r="P1340">
        <v>17.7</v>
      </c>
      <c r="Q1340">
        <v>95</v>
      </c>
      <c r="R1340">
        <v>35</v>
      </c>
      <c r="S1340">
        <v>9</v>
      </c>
      <c r="T1340">
        <v>2025</v>
      </c>
      <c r="U1340">
        <v>5</v>
      </c>
      <c r="V1340">
        <v>0</v>
      </c>
      <c r="W1340" t="s">
        <v>47</v>
      </c>
      <c r="X1340" t="s">
        <v>37</v>
      </c>
      <c r="Y1340" t="s">
        <v>48</v>
      </c>
    </row>
    <row r="1341" spans="1:25" x14ac:dyDescent="0.35">
      <c r="A1341" t="s">
        <v>2809</v>
      </c>
      <c r="B1341" t="s">
        <v>163</v>
      </c>
      <c r="C1341" t="s">
        <v>164</v>
      </c>
      <c r="D1341" t="s">
        <v>28</v>
      </c>
      <c r="E1341">
        <v>6</v>
      </c>
      <c r="F1341" t="s">
        <v>29</v>
      </c>
      <c r="G1341">
        <v>246000</v>
      </c>
      <c r="H1341">
        <v>125000</v>
      </c>
      <c r="I1341">
        <v>240000</v>
      </c>
      <c r="J1341" t="s">
        <v>174</v>
      </c>
      <c r="K1341" t="s">
        <v>31</v>
      </c>
      <c r="L1341" t="s">
        <v>44</v>
      </c>
      <c r="M1341" t="s">
        <v>33</v>
      </c>
      <c r="N1341" t="s">
        <v>83</v>
      </c>
      <c r="O1341" t="s">
        <v>2810</v>
      </c>
      <c r="P1341">
        <v>12.2</v>
      </c>
      <c r="Q1341">
        <v>76</v>
      </c>
      <c r="R1341">
        <v>5.4</v>
      </c>
      <c r="S1341">
        <v>6.9</v>
      </c>
      <c r="T1341">
        <v>2025</v>
      </c>
      <c r="U1341">
        <v>7</v>
      </c>
      <c r="V1341">
        <v>1</v>
      </c>
      <c r="W1341" t="s">
        <v>47</v>
      </c>
      <c r="X1341" t="s">
        <v>64</v>
      </c>
      <c r="Y1341" t="s">
        <v>38</v>
      </c>
    </row>
    <row r="1342" spans="1:25" x14ac:dyDescent="0.35">
      <c r="A1342" t="s">
        <v>2811</v>
      </c>
      <c r="B1342" t="s">
        <v>127</v>
      </c>
      <c r="C1342" t="s">
        <v>27</v>
      </c>
      <c r="D1342" t="s">
        <v>68</v>
      </c>
      <c r="E1342">
        <v>9</v>
      </c>
      <c r="F1342" t="s">
        <v>128</v>
      </c>
      <c r="G1342">
        <v>137000</v>
      </c>
      <c r="H1342">
        <v>120000</v>
      </c>
      <c r="I1342">
        <v>280000</v>
      </c>
      <c r="J1342" t="s">
        <v>108</v>
      </c>
      <c r="K1342" t="s">
        <v>109</v>
      </c>
      <c r="L1342" t="s">
        <v>53</v>
      </c>
      <c r="M1342" t="s">
        <v>45</v>
      </c>
      <c r="N1342" t="s">
        <v>124</v>
      </c>
      <c r="O1342" t="s">
        <v>2812</v>
      </c>
      <c r="P1342">
        <v>11</v>
      </c>
      <c r="Q1342">
        <v>97</v>
      </c>
      <c r="R1342">
        <v>56.9</v>
      </c>
      <c r="S1342">
        <v>6.4</v>
      </c>
      <c r="T1342">
        <v>2026</v>
      </c>
      <c r="U1342">
        <v>3</v>
      </c>
      <c r="V1342">
        <v>1</v>
      </c>
      <c r="W1342" t="s">
        <v>47</v>
      </c>
      <c r="X1342" t="s">
        <v>64</v>
      </c>
      <c r="Y1342" t="s">
        <v>95</v>
      </c>
    </row>
    <row r="1343" spans="1:25" x14ac:dyDescent="0.35">
      <c r="A1343" t="s">
        <v>2813</v>
      </c>
      <c r="B1343" t="s">
        <v>79</v>
      </c>
      <c r="C1343" t="s">
        <v>80</v>
      </c>
      <c r="D1343" t="s">
        <v>68</v>
      </c>
      <c r="E1343">
        <v>8</v>
      </c>
      <c r="F1343" t="s">
        <v>29</v>
      </c>
      <c r="G1343">
        <v>305000</v>
      </c>
      <c r="H1343">
        <v>140000</v>
      </c>
      <c r="I1343">
        <v>260000</v>
      </c>
      <c r="J1343" t="s">
        <v>60</v>
      </c>
      <c r="K1343" t="s">
        <v>60</v>
      </c>
      <c r="L1343" t="s">
        <v>44</v>
      </c>
      <c r="M1343" t="s">
        <v>45</v>
      </c>
      <c r="N1343" t="s">
        <v>62</v>
      </c>
      <c r="O1343" t="s">
        <v>2814</v>
      </c>
      <c r="P1343">
        <v>12.5</v>
      </c>
      <c r="Q1343">
        <v>80</v>
      </c>
      <c r="R1343">
        <v>26.9</v>
      </c>
      <c r="S1343">
        <v>8.1</v>
      </c>
      <c r="T1343">
        <v>2025</v>
      </c>
      <c r="U1343">
        <v>3</v>
      </c>
      <c r="V1343">
        <v>1</v>
      </c>
      <c r="W1343" t="s">
        <v>47</v>
      </c>
      <c r="X1343" t="s">
        <v>64</v>
      </c>
      <c r="Y1343" t="s">
        <v>56</v>
      </c>
    </row>
    <row r="1344" spans="1:25" x14ac:dyDescent="0.35">
      <c r="A1344" t="s">
        <v>2815</v>
      </c>
      <c r="B1344" t="s">
        <v>50</v>
      </c>
      <c r="C1344" t="s">
        <v>27</v>
      </c>
      <c r="D1344" t="s">
        <v>28</v>
      </c>
      <c r="E1344">
        <v>4</v>
      </c>
      <c r="F1344" t="s">
        <v>29</v>
      </c>
      <c r="G1344">
        <v>340000</v>
      </c>
      <c r="H1344">
        <v>160000</v>
      </c>
      <c r="I1344">
        <v>300000</v>
      </c>
      <c r="J1344" t="s">
        <v>75</v>
      </c>
      <c r="K1344" t="s">
        <v>31</v>
      </c>
      <c r="L1344" t="s">
        <v>53</v>
      </c>
      <c r="M1344" t="s">
        <v>45</v>
      </c>
      <c r="N1344" t="s">
        <v>88</v>
      </c>
      <c r="O1344" t="s">
        <v>2816</v>
      </c>
      <c r="P1344">
        <v>3.6</v>
      </c>
      <c r="Q1344">
        <v>98</v>
      </c>
      <c r="R1344">
        <v>72</v>
      </c>
      <c r="S1344">
        <v>8.1</v>
      </c>
      <c r="T1344">
        <v>2026</v>
      </c>
      <c r="U1344">
        <v>1</v>
      </c>
      <c r="V1344">
        <v>1</v>
      </c>
      <c r="W1344" t="s">
        <v>47</v>
      </c>
      <c r="X1344" t="s">
        <v>37</v>
      </c>
      <c r="Y1344" t="s">
        <v>56</v>
      </c>
    </row>
    <row r="1345" spans="1:25" x14ac:dyDescent="0.35">
      <c r="A1345" t="s">
        <v>2817</v>
      </c>
      <c r="B1345" t="s">
        <v>158</v>
      </c>
      <c r="C1345" t="s">
        <v>27</v>
      </c>
      <c r="D1345" t="s">
        <v>68</v>
      </c>
      <c r="E1345">
        <v>2</v>
      </c>
      <c r="F1345" t="s">
        <v>69</v>
      </c>
      <c r="G1345">
        <v>196000</v>
      </c>
      <c r="H1345">
        <v>145000</v>
      </c>
      <c r="I1345">
        <v>280000</v>
      </c>
      <c r="J1345" t="s">
        <v>117</v>
      </c>
      <c r="K1345" t="s">
        <v>118</v>
      </c>
      <c r="L1345" t="s">
        <v>32</v>
      </c>
      <c r="M1345" t="s">
        <v>33</v>
      </c>
      <c r="N1345" t="s">
        <v>83</v>
      </c>
      <c r="O1345" t="s">
        <v>2818</v>
      </c>
      <c r="P1345">
        <v>3.7</v>
      </c>
      <c r="Q1345">
        <v>94</v>
      </c>
      <c r="R1345">
        <v>82</v>
      </c>
      <c r="S1345">
        <v>8.4</v>
      </c>
      <c r="T1345">
        <v>2025</v>
      </c>
      <c r="U1345">
        <v>11</v>
      </c>
      <c r="V1345">
        <v>1</v>
      </c>
      <c r="W1345" t="s">
        <v>36</v>
      </c>
      <c r="X1345" t="s">
        <v>37</v>
      </c>
      <c r="Y1345" t="s">
        <v>48</v>
      </c>
    </row>
    <row r="1346" spans="1:25" x14ac:dyDescent="0.35">
      <c r="A1346" t="s">
        <v>2819</v>
      </c>
      <c r="B1346" t="s">
        <v>233</v>
      </c>
      <c r="C1346" t="s">
        <v>180</v>
      </c>
      <c r="D1346" t="s">
        <v>28</v>
      </c>
      <c r="E1346">
        <v>10</v>
      </c>
      <c r="F1346" t="s">
        <v>51</v>
      </c>
      <c r="G1346">
        <v>171000</v>
      </c>
      <c r="H1346">
        <v>100000</v>
      </c>
      <c r="I1346">
        <v>200000</v>
      </c>
      <c r="J1346" t="s">
        <v>42</v>
      </c>
      <c r="K1346" t="s">
        <v>43</v>
      </c>
      <c r="L1346" t="s">
        <v>44</v>
      </c>
      <c r="M1346" t="s">
        <v>54</v>
      </c>
      <c r="N1346" t="s">
        <v>83</v>
      </c>
      <c r="O1346" t="s">
        <v>2820</v>
      </c>
      <c r="P1346">
        <v>15.3</v>
      </c>
      <c r="Q1346">
        <v>68</v>
      </c>
      <c r="R1346">
        <v>11.6</v>
      </c>
      <c r="S1346">
        <v>9</v>
      </c>
      <c r="T1346">
        <v>2025</v>
      </c>
      <c r="U1346">
        <v>5</v>
      </c>
      <c r="V1346">
        <v>1</v>
      </c>
      <c r="W1346" t="s">
        <v>47</v>
      </c>
      <c r="X1346" t="s">
        <v>64</v>
      </c>
      <c r="Y1346" t="s">
        <v>48</v>
      </c>
    </row>
    <row r="1347" spans="1:25" x14ac:dyDescent="0.35">
      <c r="A1347" t="s">
        <v>2821</v>
      </c>
      <c r="B1347" t="s">
        <v>91</v>
      </c>
      <c r="C1347" t="s">
        <v>27</v>
      </c>
      <c r="D1347" t="s">
        <v>68</v>
      </c>
      <c r="E1347">
        <v>9</v>
      </c>
      <c r="F1347" t="s">
        <v>69</v>
      </c>
      <c r="G1347">
        <v>274000</v>
      </c>
      <c r="H1347">
        <v>145000</v>
      </c>
      <c r="I1347">
        <v>290000</v>
      </c>
      <c r="J1347" t="s">
        <v>122</v>
      </c>
      <c r="K1347" t="s">
        <v>123</v>
      </c>
      <c r="L1347" t="s">
        <v>53</v>
      </c>
      <c r="M1347" t="s">
        <v>54</v>
      </c>
      <c r="N1347" t="s">
        <v>76</v>
      </c>
      <c r="O1347" t="s">
        <v>2822</v>
      </c>
      <c r="P1347">
        <v>7.9</v>
      </c>
      <c r="Q1347">
        <v>91</v>
      </c>
      <c r="R1347">
        <v>36.799999999999997</v>
      </c>
      <c r="S1347">
        <v>6.4</v>
      </c>
      <c r="T1347">
        <v>2025</v>
      </c>
      <c r="U1347">
        <v>10</v>
      </c>
      <c r="V1347">
        <v>1</v>
      </c>
      <c r="W1347" t="s">
        <v>47</v>
      </c>
      <c r="X1347" t="s">
        <v>64</v>
      </c>
      <c r="Y1347" t="s">
        <v>38</v>
      </c>
    </row>
    <row r="1348" spans="1:25" x14ac:dyDescent="0.35">
      <c r="A1348" t="s">
        <v>2823</v>
      </c>
      <c r="B1348" t="s">
        <v>100</v>
      </c>
      <c r="C1348" t="s">
        <v>101</v>
      </c>
      <c r="D1348" t="s">
        <v>74</v>
      </c>
      <c r="E1348">
        <v>11</v>
      </c>
      <c r="F1348" t="s">
        <v>41</v>
      </c>
      <c r="G1348">
        <v>180000</v>
      </c>
      <c r="H1348">
        <v>180000</v>
      </c>
      <c r="I1348">
        <v>320000</v>
      </c>
      <c r="J1348" t="s">
        <v>170</v>
      </c>
      <c r="K1348" t="s">
        <v>171</v>
      </c>
      <c r="L1348" t="s">
        <v>44</v>
      </c>
      <c r="M1348" t="s">
        <v>33</v>
      </c>
      <c r="N1348" t="s">
        <v>119</v>
      </c>
      <c r="O1348" t="s">
        <v>2824</v>
      </c>
      <c r="P1348">
        <v>13.4</v>
      </c>
      <c r="Q1348">
        <v>84</v>
      </c>
      <c r="R1348">
        <v>8.3000000000000007</v>
      </c>
      <c r="S1348">
        <v>7.3</v>
      </c>
      <c r="T1348">
        <v>2025</v>
      </c>
      <c r="U1348">
        <v>9</v>
      </c>
      <c r="V1348">
        <v>0</v>
      </c>
      <c r="W1348" t="s">
        <v>47</v>
      </c>
      <c r="X1348" t="s">
        <v>64</v>
      </c>
      <c r="Y1348" t="s">
        <v>48</v>
      </c>
    </row>
    <row r="1349" spans="1:25" x14ac:dyDescent="0.35">
      <c r="A1349" t="s">
        <v>2825</v>
      </c>
      <c r="B1349" t="s">
        <v>66</v>
      </c>
      <c r="C1349" t="s">
        <v>67</v>
      </c>
      <c r="D1349" t="s">
        <v>74</v>
      </c>
      <c r="E1349">
        <v>9</v>
      </c>
      <c r="F1349" t="s">
        <v>29</v>
      </c>
      <c r="G1349">
        <v>140000</v>
      </c>
      <c r="H1349">
        <v>140000</v>
      </c>
      <c r="I1349">
        <v>260000</v>
      </c>
      <c r="J1349" t="s">
        <v>137</v>
      </c>
      <c r="K1349" t="s">
        <v>138</v>
      </c>
      <c r="L1349" t="s">
        <v>44</v>
      </c>
      <c r="M1349" t="s">
        <v>82</v>
      </c>
      <c r="N1349" t="s">
        <v>165</v>
      </c>
      <c r="O1349" t="s">
        <v>2826</v>
      </c>
      <c r="P1349">
        <v>9.5</v>
      </c>
      <c r="Q1349">
        <v>85</v>
      </c>
      <c r="R1349">
        <v>26.5</v>
      </c>
      <c r="S1349">
        <v>8</v>
      </c>
      <c r="T1349">
        <v>2026</v>
      </c>
      <c r="U1349">
        <v>2</v>
      </c>
      <c r="V1349">
        <v>0</v>
      </c>
      <c r="W1349" t="s">
        <v>47</v>
      </c>
      <c r="X1349" t="s">
        <v>64</v>
      </c>
      <c r="Y1349" t="s">
        <v>95</v>
      </c>
    </row>
    <row r="1350" spans="1:25" x14ac:dyDescent="0.35">
      <c r="A1350" t="s">
        <v>2827</v>
      </c>
      <c r="B1350" t="s">
        <v>163</v>
      </c>
      <c r="C1350" t="s">
        <v>164</v>
      </c>
      <c r="D1350" t="s">
        <v>28</v>
      </c>
      <c r="E1350">
        <v>7</v>
      </c>
      <c r="F1350" t="s">
        <v>69</v>
      </c>
      <c r="G1350">
        <v>288000</v>
      </c>
      <c r="H1350">
        <v>125000</v>
      </c>
      <c r="I1350">
        <v>240000</v>
      </c>
      <c r="J1350" t="s">
        <v>174</v>
      </c>
      <c r="K1350" t="s">
        <v>31</v>
      </c>
      <c r="L1350" t="s">
        <v>53</v>
      </c>
      <c r="M1350" t="s">
        <v>54</v>
      </c>
      <c r="N1350" t="s">
        <v>155</v>
      </c>
      <c r="O1350" t="s">
        <v>2828</v>
      </c>
      <c r="P1350">
        <v>10.6</v>
      </c>
      <c r="Q1350">
        <v>76</v>
      </c>
      <c r="R1350">
        <v>21</v>
      </c>
      <c r="S1350">
        <v>9</v>
      </c>
      <c r="T1350">
        <v>2026</v>
      </c>
      <c r="U1350">
        <v>1</v>
      </c>
      <c r="V1350">
        <v>1</v>
      </c>
      <c r="W1350" t="s">
        <v>47</v>
      </c>
      <c r="X1350" t="s">
        <v>64</v>
      </c>
      <c r="Y1350" t="s">
        <v>38</v>
      </c>
    </row>
    <row r="1351" spans="1:25" x14ac:dyDescent="0.35">
      <c r="A1351" t="s">
        <v>2829</v>
      </c>
      <c r="B1351" t="s">
        <v>141</v>
      </c>
      <c r="C1351" t="s">
        <v>27</v>
      </c>
      <c r="D1351" t="s">
        <v>74</v>
      </c>
      <c r="E1351">
        <v>4</v>
      </c>
      <c r="F1351" t="s">
        <v>128</v>
      </c>
      <c r="G1351">
        <v>141000</v>
      </c>
      <c r="H1351">
        <v>141000</v>
      </c>
      <c r="I1351">
        <v>270000</v>
      </c>
      <c r="J1351" t="s">
        <v>129</v>
      </c>
      <c r="K1351" t="s">
        <v>130</v>
      </c>
      <c r="L1351" t="s">
        <v>53</v>
      </c>
      <c r="M1351" t="s">
        <v>45</v>
      </c>
      <c r="N1351" t="s">
        <v>124</v>
      </c>
      <c r="O1351" t="s">
        <v>2830</v>
      </c>
      <c r="P1351">
        <v>8.6999999999999993</v>
      </c>
      <c r="Q1351">
        <v>89</v>
      </c>
      <c r="R1351">
        <v>11.1</v>
      </c>
      <c r="S1351">
        <v>7.1</v>
      </c>
      <c r="T1351">
        <v>2026</v>
      </c>
      <c r="U1351">
        <v>3</v>
      </c>
      <c r="V1351">
        <v>0</v>
      </c>
      <c r="W1351" t="s">
        <v>47</v>
      </c>
      <c r="X1351" t="s">
        <v>64</v>
      </c>
      <c r="Y1351" t="s">
        <v>95</v>
      </c>
    </row>
    <row r="1352" spans="1:25" x14ac:dyDescent="0.35">
      <c r="A1352" t="s">
        <v>2831</v>
      </c>
      <c r="B1352" t="s">
        <v>66</v>
      </c>
      <c r="C1352" t="s">
        <v>67</v>
      </c>
      <c r="D1352" t="s">
        <v>74</v>
      </c>
      <c r="E1352">
        <v>7</v>
      </c>
      <c r="F1352" t="s">
        <v>51</v>
      </c>
      <c r="G1352">
        <v>140000</v>
      </c>
      <c r="H1352">
        <v>140000</v>
      </c>
      <c r="I1352">
        <v>260000</v>
      </c>
      <c r="J1352" t="s">
        <v>92</v>
      </c>
      <c r="K1352" t="s">
        <v>93</v>
      </c>
      <c r="L1352" t="s">
        <v>53</v>
      </c>
      <c r="M1352" t="s">
        <v>82</v>
      </c>
      <c r="N1352" t="s">
        <v>165</v>
      </c>
      <c r="O1352" t="s">
        <v>2832</v>
      </c>
      <c r="P1352">
        <v>9</v>
      </c>
      <c r="Q1352">
        <v>85</v>
      </c>
      <c r="R1352">
        <v>6.9</v>
      </c>
      <c r="S1352">
        <v>7.3</v>
      </c>
      <c r="T1352">
        <v>2026</v>
      </c>
      <c r="U1352">
        <v>3</v>
      </c>
      <c r="V1352">
        <v>0</v>
      </c>
      <c r="W1352" t="s">
        <v>47</v>
      </c>
      <c r="X1352" t="s">
        <v>64</v>
      </c>
      <c r="Y1352" t="s">
        <v>95</v>
      </c>
    </row>
    <row r="1353" spans="1:25" x14ac:dyDescent="0.35">
      <c r="A1353" t="s">
        <v>2833</v>
      </c>
      <c r="B1353" t="s">
        <v>127</v>
      </c>
      <c r="C1353" t="s">
        <v>27</v>
      </c>
      <c r="D1353" t="s">
        <v>74</v>
      </c>
      <c r="E1353">
        <v>7</v>
      </c>
      <c r="F1353" t="s">
        <v>69</v>
      </c>
      <c r="G1353">
        <v>150000</v>
      </c>
      <c r="H1353">
        <v>120000</v>
      </c>
      <c r="I1353">
        <v>280000</v>
      </c>
      <c r="J1353" t="s">
        <v>30</v>
      </c>
      <c r="K1353" t="s">
        <v>31</v>
      </c>
      <c r="L1353" t="s">
        <v>44</v>
      </c>
      <c r="M1353" t="s">
        <v>45</v>
      </c>
      <c r="N1353" t="s">
        <v>83</v>
      </c>
      <c r="O1353" t="s">
        <v>2834</v>
      </c>
      <c r="P1353">
        <v>12</v>
      </c>
      <c r="Q1353">
        <v>97</v>
      </c>
      <c r="R1353">
        <v>66.400000000000006</v>
      </c>
      <c r="S1353">
        <v>6.4</v>
      </c>
      <c r="T1353">
        <v>2026</v>
      </c>
      <c r="U1353">
        <v>3</v>
      </c>
      <c r="V1353">
        <v>0</v>
      </c>
      <c r="W1353" t="s">
        <v>47</v>
      </c>
      <c r="X1353" t="s">
        <v>64</v>
      </c>
      <c r="Y1353" t="s">
        <v>95</v>
      </c>
    </row>
    <row r="1354" spans="1:25" x14ac:dyDescent="0.35">
      <c r="A1354" t="s">
        <v>2835</v>
      </c>
      <c r="B1354" t="s">
        <v>233</v>
      </c>
      <c r="C1354" t="s">
        <v>180</v>
      </c>
      <c r="D1354" t="s">
        <v>68</v>
      </c>
      <c r="E1354">
        <v>6</v>
      </c>
      <c r="F1354" t="s">
        <v>69</v>
      </c>
      <c r="G1354">
        <v>214000</v>
      </c>
      <c r="H1354">
        <v>100000</v>
      </c>
      <c r="I1354">
        <v>200000</v>
      </c>
      <c r="J1354" t="s">
        <v>42</v>
      </c>
      <c r="K1354" t="s">
        <v>43</v>
      </c>
      <c r="L1354" t="s">
        <v>44</v>
      </c>
      <c r="M1354" t="s">
        <v>54</v>
      </c>
      <c r="N1354" t="s">
        <v>165</v>
      </c>
      <c r="O1354" t="s">
        <v>2836</v>
      </c>
      <c r="P1354">
        <v>12.9</v>
      </c>
      <c r="Q1354">
        <v>68</v>
      </c>
      <c r="R1354">
        <v>16.399999999999999</v>
      </c>
      <c r="S1354">
        <v>6.5</v>
      </c>
      <c r="T1354">
        <v>2026</v>
      </c>
      <c r="U1354">
        <v>2</v>
      </c>
      <c r="V1354">
        <v>1</v>
      </c>
      <c r="W1354" t="s">
        <v>47</v>
      </c>
      <c r="X1354" t="s">
        <v>64</v>
      </c>
      <c r="Y1354" t="s">
        <v>38</v>
      </c>
    </row>
    <row r="1355" spans="1:25" x14ac:dyDescent="0.35">
      <c r="A1355" t="s">
        <v>2837</v>
      </c>
      <c r="B1355" t="s">
        <v>233</v>
      </c>
      <c r="C1355" t="s">
        <v>180</v>
      </c>
      <c r="D1355" t="s">
        <v>81</v>
      </c>
      <c r="E1355">
        <v>6</v>
      </c>
      <c r="F1355" t="s">
        <v>128</v>
      </c>
      <c r="G1355">
        <v>179000</v>
      </c>
      <c r="H1355">
        <v>100000</v>
      </c>
      <c r="I1355">
        <v>200000</v>
      </c>
      <c r="J1355" t="s">
        <v>52</v>
      </c>
      <c r="K1355" t="s">
        <v>31</v>
      </c>
      <c r="L1355" t="s">
        <v>44</v>
      </c>
      <c r="M1355" t="s">
        <v>61</v>
      </c>
      <c r="N1355" t="s">
        <v>88</v>
      </c>
      <c r="O1355" t="s">
        <v>2838</v>
      </c>
      <c r="P1355">
        <v>17.8</v>
      </c>
      <c r="Q1355">
        <v>68</v>
      </c>
      <c r="R1355">
        <v>10.7</v>
      </c>
      <c r="S1355">
        <v>7.5</v>
      </c>
      <c r="T1355">
        <v>2026</v>
      </c>
      <c r="U1355">
        <v>1</v>
      </c>
      <c r="V1355">
        <v>0</v>
      </c>
      <c r="W1355" t="s">
        <v>47</v>
      </c>
      <c r="X1355" t="s">
        <v>64</v>
      </c>
      <c r="Y1355" t="s">
        <v>48</v>
      </c>
    </row>
    <row r="1356" spans="1:25" x14ac:dyDescent="0.35">
      <c r="A1356" t="s">
        <v>2839</v>
      </c>
      <c r="B1356" t="s">
        <v>66</v>
      </c>
      <c r="C1356" t="s">
        <v>67</v>
      </c>
      <c r="D1356" t="s">
        <v>68</v>
      </c>
      <c r="E1356">
        <v>4</v>
      </c>
      <c r="F1356" t="s">
        <v>69</v>
      </c>
      <c r="G1356">
        <v>312000</v>
      </c>
      <c r="H1356">
        <v>140000</v>
      </c>
      <c r="I1356">
        <v>260000</v>
      </c>
      <c r="J1356" t="s">
        <v>47</v>
      </c>
      <c r="K1356" t="s">
        <v>87</v>
      </c>
      <c r="L1356" t="s">
        <v>44</v>
      </c>
      <c r="M1356" t="s">
        <v>54</v>
      </c>
      <c r="N1356" t="s">
        <v>119</v>
      </c>
      <c r="O1356" t="s">
        <v>2840</v>
      </c>
      <c r="P1356">
        <v>11.6</v>
      </c>
      <c r="Q1356">
        <v>85</v>
      </c>
      <c r="R1356">
        <v>25.3</v>
      </c>
      <c r="S1356">
        <v>7.5</v>
      </c>
      <c r="T1356">
        <v>2025</v>
      </c>
      <c r="U1356">
        <v>3</v>
      </c>
      <c r="V1356">
        <v>1</v>
      </c>
      <c r="W1356" t="s">
        <v>47</v>
      </c>
      <c r="X1356" t="s">
        <v>64</v>
      </c>
      <c r="Y1356" t="s">
        <v>56</v>
      </c>
    </row>
    <row r="1357" spans="1:25" x14ac:dyDescent="0.35">
      <c r="A1357" t="s">
        <v>2841</v>
      </c>
      <c r="B1357" t="s">
        <v>66</v>
      </c>
      <c r="C1357" t="s">
        <v>67</v>
      </c>
      <c r="D1357" t="s">
        <v>81</v>
      </c>
      <c r="E1357">
        <v>6</v>
      </c>
      <c r="F1357" t="s">
        <v>69</v>
      </c>
      <c r="G1357">
        <v>191000</v>
      </c>
      <c r="H1357">
        <v>140000</v>
      </c>
      <c r="I1357">
        <v>260000</v>
      </c>
      <c r="J1357" t="s">
        <v>75</v>
      </c>
      <c r="K1357" t="s">
        <v>31</v>
      </c>
      <c r="L1357" t="s">
        <v>32</v>
      </c>
      <c r="M1357" t="s">
        <v>45</v>
      </c>
      <c r="N1357" t="s">
        <v>119</v>
      </c>
      <c r="O1357" t="s">
        <v>2842</v>
      </c>
      <c r="P1357">
        <v>10</v>
      </c>
      <c r="Q1357">
        <v>85</v>
      </c>
      <c r="R1357">
        <v>25.1</v>
      </c>
      <c r="S1357">
        <v>6.3</v>
      </c>
      <c r="T1357">
        <v>2026</v>
      </c>
      <c r="U1357">
        <v>1</v>
      </c>
      <c r="V1357">
        <v>0</v>
      </c>
      <c r="W1357" t="s">
        <v>36</v>
      </c>
      <c r="X1357" t="s">
        <v>64</v>
      </c>
      <c r="Y1357" t="s">
        <v>48</v>
      </c>
    </row>
    <row r="1358" spans="1:25" x14ac:dyDescent="0.35">
      <c r="A1358" t="s">
        <v>2843</v>
      </c>
      <c r="B1358" t="s">
        <v>66</v>
      </c>
      <c r="C1358" t="s">
        <v>67</v>
      </c>
      <c r="D1358" t="s">
        <v>74</v>
      </c>
      <c r="E1358">
        <v>10</v>
      </c>
      <c r="F1358" t="s">
        <v>41</v>
      </c>
      <c r="G1358">
        <v>153000</v>
      </c>
      <c r="H1358">
        <v>140000</v>
      </c>
      <c r="I1358">
        <v>260000</v>
      </c>
      <c r="J1358" t="s">
        <v>75</v>
      </c>
      <c r="K1358" t="s">
        <v>31</v>
      </c>
      <c r="L1358" t="s">
        <v>44</v>
      </c>
      <c r="M1358" t="s">
        <v>45</v>
      </c>
      <c r="N1358" t="s">
        <v>119</v>
      </c>
      <c r="O1358" t="s">
        <v>2844</v>
      </c>
      <c r="P1358">
        <v>11.8</v>
      </c>
      <c r="Q1358">
        <v>85</v>
      </c>
      <c r="R1358">
        <v>14.3</v>
      </c>
      <c r="S1358">
        <v>6.8</v>
      </c>
      <c r="T1358">
        <v>2025</v>
      </c>
      <c r="U1358">
        <v>6</v>
      </c>
      <c r="V1358">
        <v>0</v>
      </c>
      <c r="W1358" t="s">
        <v>47</v>
      </c>
      <c r="X1358" t="s">
        <v>64</v>
      </c>
      <c r="Y1358" t="s">
        <v>48</v>
      </c>
    </row>
    <row r="1359" spans="1:25" x14ac:dyDescent="0.35">
      <c r="A1359" t="s">
        <v>2845</v>
      </c>
      <c r="B1359" t="s">
        <v>224</v>
      </c>
      <c r="C1359" t="s">
        <v>27</v>
      </c>
      <c r="D1359" t="s">
        <v>74</v>
      </c>
      <c r="E1359">
        <v>8</v>
      </c>
      <c r="F1359" t="s">
        <v>51</v>
      </c>
      <c r="G1359">
        <v>145000</v>
      </c>
      <c r="H1359">
        <v>145000</v>
      </c>
      <c r="I1359">
        <v>280000</v>
      </c>
      <c r="J1359" t="s">
        <v>129</v>
      </c>
      <c r="K1359" t="s">
        <v>130</v>
      </c>
      <c r="L1359" t="s">
        <v>44</v>
      </c>
      <c r="M1359" t="s">
        <v>33</v>
      </c>
      <c r="N1359" t="s">
        <v>62</v>
      </c>
      <c r="O1359" t="s">
        <v>2846</v>
      </c>
      <c r="P1359">
        <v>4</v>
      </c>
      <c r="Q1359">
        <v>87</v>
      </c>
      <c r="R1359">
        <v>10.199999999999999</v>
      </c>
      <c r="S1359">
        <v>9.1</v>
      </c>
      <c r="T1359">
        <v>2026</v>
      </c>
      <c r="U1359">
        <v>1</v>
      </c>
      <c r="V1359">
        <v>0</v>
      </c>
      <c r="W1359" t="s">
        <v>47</v>
      </c>
      <c r="X1359" t="s">
        <v>64</v>
      </c>
      <c r="Y1359" t="s">
        <v>95</v>
      </c>
    </row>
    <row r="1360" spans="1:25" x14ac:dyDescent="0.35">
      <c r="A1360" t="s">
        <v>2847</v>
      </c>
      <c r="B1360" t="s">
        <v>185</v>
      </c>
      <c r="C1360" t="s">
        <v>186</v>
      </c>
      <c r="D1360" t="s">
        <v>68</v>
      </c>
      <c r="E1360">
        <v>9</v>
      </c>
      <c r="F1360" t="s">
        <v>69</v>
      </c>
      <c r="G1360">
        <v>140000</v>
      </c>
      <c r="H1360">
        <v>140000</v>
      </c>
      <c r="I1360">
        <v>270000</v>
      </c>
      <c r="J1360" t="s">
        <v>92</v>
      </c>
      <c r="K1360" t="s">
        <v>93</v>
      </c>
      <c r="L1360" t="s">
        <v>44</v>
      </c>
      <c r="M1360" t="s">
        <v>61</v>
      </c>
      <c r="N1360" t="s">
        <v>76</v>
      </c>
      <c r="O1360" t="s">
        <v>2848</v>
      </c>
      <c r="P1360">
        <v>9.6999999999999993</v>
      </c>
      <c r="Q1360">
        <v>85</v>
      </c>
      <c r="R1360">
        <v>28.7</v>
      </c>
      <c r="S1360">
        <v>7</v>
      </c>
      <c r="T1360">
        <v>2026</v>
      </c>
      <c r="U1360">
        <v>1</v>
      </c>
      <c r="V1360">
        <v>1</v>
      </c>
      <c r="W1360" t="s">
        <v>47</v>
      </c>
      <c r="X1360" t="s">
        <v>64</v>
      </c>
      <c r="Y1360" t="s">
        <v>95</v>
      </c>
    </row>
    <row r="1361" spans="1:25" x14ac:dyDescent="0.35">
      <c r="A1361" t="s">
        <v>2849</v>
      </c>
      <c r="B1361" t="s">
        <v>91</v>
      </c>
      <c r="C1361" t="s">
        <v>27</v>
      </c>
      <c r="D1361" t="s">
        <v>74</v>
      </c>
      <c r="E1361">
        <v>10</v>
      </c>
      <c r="F1361" t="s">
        <v>41</v>
      </c>
      <c r="G1361">
        <v>145000</v>
      </c>
      <c r="H1361">
        <v>145000</v>
      </c>
      <c r="I1361">
        <v>290000</v>
      </c>
      <c r="J1361" t="s">
        <v>113</v>
      </c>
      <c r="K1361" t="s">
        <v>114</v>
      </c>
      <c r="L1361" t="s">
        <v>44</v>
      </c>
      <c r="M1361" t="s">
        <v>82</v>
      </c>
      <c r="N1361" t="s">
        <v>155</v>
      </c>
      <c r="O1361" t="s">
        <v>2850</v>
      </c>
      <c r="P1361">
        <v>8.4</v>
      </c>
      <c r="Q1361">
        <v>91</v>
      </c>
      <c r="R1361">
        <v>82.2</v>
      </c>
      <c r="S1361">
        <v>7.8</v>
      </c>
      <c r="T1361">
        <v>2026</v>
      </c>
      <c r="U1361">
        <v>3</v>
      </c>
      <c r="V1361">
        <v>0</v>
      </c>
      <c r="W1361" t="s">
        <v>47</v>
      </c>
      <c r="X1361" t="s">
        <v>64</v>
      </c>
      <c r="Y1361" t="s">
        <v>95</v>
      </c>
    </row>
    <row r="1362" spans="1:25" x14ac:dyDescent="0.35">
      <c r="A1362" t="s">
        <v>2851</v>
      </c>
      <c r="B1362" t="s">
        <v>153</v>
      </c>
      <c r="C1362" t="s">
        <v>154</v>
      </c>
      <c r="D1362" t="s">
        <v>68</v>
      </c>
      <c r="E1362">
        <v>6</v>
      </c>
      <c r="F1362" t="s">
        <v>69</v>
      </c>
      <c r="G1362">
        <v>216000</v>
      </c>
      <c r="H1362">
        <v>95000</v>
      </c>
      <c r="I1362">
        <v>180000</v>
      </c>
      <c r="J1362" t="s">
        <v>174</v>
      </c>
      <c r="K1362" t="s">
        <v>31</v>
      </c>
      <c r="L1362" t="s">
        <v>44</v>
      </c>
      <c r="M1362" t="s">
        <v>45</v>
      </c>
      <c r="N1362" t="s">
        <v>88</v>
      </c>
      <c r="O1362" t="s">
        <v>2852</v>
      </c>
      <c r="P1362">
        <v>12.8</v>
      </c>
      <c r="Q1362">
        <v>78</v>
      </c>
      <c r="R1362">
        <v>26</v>
      </c>
      <c r="S1362">
        <v>8.4</v>
      </c>
      <c r="T1362">
        <v>2025</v>
      </c>
      <c r="U1362">
        <v>2</v>
      </c>
      <c r="V1362">
        <v>1</v>
      </c>
      <c r="W1362" t="s">
        <v>47</v>
      </c>
      <c r="X1362" t="s">
        <v>64</v>
      </c>
      <c r="Y1362" t="s">
        <v>38</v>
      </c>
    </row>
    <row r="1363" spans="1:25" x14ac:dyDescent="0.35">
      <c r="A1363" t="s">
        <v>2853</v>
      </c>
      <c r="B1363" t="s">
        <v>179</v>
      </c>
      <c r="C1363" t="s">
        <v>180</v>
      </c>
      <c r="D1363" t="s">
        <v>28</v>
      </c>
      <c r="E1363">
        <v>12</v>
      </c>
      <c r="F1363" t="s">
        <v>51</v>
      </c>
      <c r="G1363">
        <v>141000</v>
      </c>
      <c r="H1363">
        <v>110000</v>
      </c>
      <c r="I1363">
        <v>210000</v>
      </c>
      <c r="J1363" t="s">
        <v>191</v>
      </c>
      <c r="K1363" t="s">
        <v>31</v>
      </c>
      <c r="L1363" t="s">
        <v>53</v>
      </c>
      <c r="M1363" t="s">
        <v>33</v>
      </c>
      <c r="N1363" t="s">
        <v>76</v>
      </c>
      <c r="O1363" t="s">
        <v>2854</v>
      </c>
      <c r="P1363">
        <v>10.199999999999999</v>
      </c>
      <c r="Q1363">
        <v>72</v>
      </c>
      <c r="R1363">
        <v>10.7</v>
      </c>
      <c r="S1363">
        <v>9.1</v>
      </c>
      <c r="T1363">
        <v>2025</v>
      </c>
      <c r="U1363">
        <v>5</v>
      </c>
      <c r="V1363">
        <v>1</v>
      </c>
      <c r="W1363" t="s">
        <v>47</v>
      </c>
      <c r="X1363" t="s">
        <v>64</v>
      </c>
      <c r="Y1363" t="s">
        <v>95</v>
      </c>
    </row>
    <row r="1364" spans="1:25" x14ac:dyDescent="0.35">
      <c r="A1364" t="s">
        <v>2855</v>
      </c>
      <c r="B1364" t="s">
        <v>26</v>
      </c>
      <c r="C1364" t="s">
        <v>27</v>
      </c>
      <c r="D1364" t="s">
        <v>28</v>
      </c>
      <c r="E1364">
        <v>4</v>
      </c>
      <c r="F1364" t="s">
        <v>51</v>
      </c>
      <c r="G1364">
        <v>197000</v>
      </c>
      <c r="H1364">
        <v>155000</v>
      </c>
      <c r="I1364">
        <v>290000</v>
      </c>
      <c r="J1364" t="s">
        <v>113</v>
      </c>
      <c r="K1364" t="s">
        <v>114</v>
      </c>
      <c r="L1364" t="s">
        <v>53</v>
      </c>
      <c r="M1364" t="s">
        <v>45</v>
      </c>
      <c r="N1364" t="s">
        <v>124</v>
      </c>
      <c r="O1364" t="s">
        <v>2856</v>
      </c>
      <c r="P1364">
        <v>15.5</v>
      </c>
      <c r="Q1364">
        <v>96</v>
      </c>
      <c r="R1364">
        <v>59.5</v>
      </c>
      <c r="S1364">
        <v>6.1</v>
      </c>
      <c r="T1364">
        <v>2026</v>
      </c>
      <c r="U1364">
        <v>2</v>
      </c>
      <c r="V1364">
        <v>1</v>
      </c>
      <c r="W1364" t="s">
        <v>47</v>
      </c>
      <c r="X1364" t="s">
        <v>37</v>
      </c>
      <c r="Y1364" t="s">
        <v>48</v>
      </c>
    </row>
    <row r="1365" spans="1:25" x14ac:dyDescent="0.35">
      <c r="A1365" t="s">
        <v>2857</v>
      </c>
      <c r="B1365" t="s">
        <v>153</v>
      </c>
      <c r="C1365" t="s">
        <v>154</v>
      </c>
      <c r="D1365" t="s">
        <v>68</v>
      </c>
      <c r="E1365">
        <v>3</v>
      </c>
      <c r="F1365" t="s">
        <v>41</v>
      </c>
      <c r="G1365">
        <v>216000</v>
      </c>
      <c r="H1365">
        <v>95000</v>
      </c>
      <c r="I1365">
        <v>180000</v>
      </c>
      <c r="J1365" t="s">
        <v>296</v>
      </c>
      <c r="K1365" t="s">
        <v>31</v>
      </c>
      <c r="L1365" t="s">
        <v>53</v>
      </c>
      <c r="M1365" t="s">
        <v>54</v>
      </c>
      <c r="N1365" t="s">
        <v>34</v>
      </c>
      <c r="O1365" t="s">
        <v>2858</v>
      </c>
      <c r="P1365">
        <v>11.7</v>
      </c>
      <c r="Q1365">
        <v>78</v>
      </c>
      <c r="R1365">
        <v>19.3</v>
      </c>
      <c r="S1365">
        <v>6.7</v>
      </c>
      <c r="T1365">
        <v>2026</v>
      </c>
      <c r="U1365">
        <v>1</v>
      </c>
      <c r="V1365">
        <v>1</v>
      </c>
      <c r="W1365" t="s">
        <v>47</v>
      </c>
      <c r="X1365" t="s">
        <v>64</v>
      </c>
      <c r="Y1365" t="s">
        <v>38</v>
      </c>
    </row>
    <row r="1366" spans="1:25" x14ac:dyDescent="0.35">
      <c r="A1366" t="s">
        <v>2859</v>
      </c>
      <c r="B1366" t="s">
        <v>153</v>
      </c>
      <c r="C1366" t="s">
        <v>154</v>
      </c>
      <c r="D1366" t="s">
        <v>74</v>
      </c>
      <c r="E1366">
        <v>2</v>
      </c>
      <c r="F1366" t="s">
        <v>69</v>
      </c>
      <c r="G1366">
        <v>95000</v>
      </c>
      <c r="H1366">
        <v>95000</v>
      </c>
      <c r="I1366">
        <v>180000</v>
      </c>
      <c r="J1366" t="s">
        <v>137</v>
      </c>
      <c r="K1366" t="s">
        <v>138</v>
      </c>
      <c r="L1366" t="s">
        <v>44</v>
      </c>
      <c r="M1366" t="s">
        <v>45</v>
      </c>
      <c r="N1366" t="s">
        <v>131</v>
      </c>
      <c r="O1366" t="s">
        <v>2860</v>
      </c>
      <c r="P1366">
        <v>8</v>
      </c>
      <c r="Q1366">
        <v>78</v>
      </c>
      <c r="R1366">
        <v>9.4</v>
      </c>
      <c r="S1366">
        <v>7.6</v>
      </c>
      <c r="T1366">
        <v>2026</v>
      </c>
      <c r="U1366">
        <v>1</v>
      </c>
      <c r="V1366">
        <v>0</v>
      </c>
      <c r="W1366" t="s">
        <v>47</v>
      </c>
      <c r="X1366" t="s">
        <v>64</v>
      </c>
      <c r="Y1366" t="s">
        <v>98</v>
      </c>
    </row>
    <row r="1367" spans="1:25" x14ac:dyDescent="0.35">
      <c r="A1367" t="s">
        <v>2861</v>
      </c>
      <c r="B1367" t="s">
        <v>163</v>
      </c>
      <c r="C1367" t="s">
        <v>164</v>
      </c>
      <c r="D1367" t="s">
        <v>28</v>
      </c>
      <c r="E1367">
        <v>5</v>
      </c>
      <c r="F1367" t="s">
        <v>128</v>
      </c>
      <c r="G1367">
        <v>231000</v>
      </c>
      <c r="H1367">
        <v>125000</v>
      </c>
      <c r="I1367">
        <v>240000</v>
      </c>
      <c r="J1367" t="s">
        <v>117</v>
      </c>
      <c r="K1367" t="s">
        <v>118</v>
      </c>
      <c r="L1367" t="s">
        <v>44</v>
      </c>
      <c r="M1367" t="s">
        <v>45</v>
      </c>
      <c r="N1367" t="s">
        <v>62</v>
      </c>
      <c r="O1367" t="s">
        <v>2862</v>
      </c>
      <c r="P1367">
        <v>12.5</v>
      </c>
      <c r="Q1367">
        <v>76</v>
      </c>
      <c r="R1367">
        <v>27.1</v>
      </c>
      <c r="S1367">
        <v>7.2</v>
      </c>
      <c r="T1367">
        <v>2025</v>
      </c>
      <c r="U1367">
        <v>5</v>
      </c>
      <c r="V1367">
        <v>1</v>
      </c>
      <c r="W1367" t="s">
        <v>47</v>
      </c>
      <c r="X1367" t="s">
        <v>64</v>
      </c>
      <c r="Y1367" t="s">
        <v>38</v>
      </c>
    </row>
    <row r="1368" spans="1:25" x14ac:dyDescent="0.35">
      <c r="A1368" t="s">
        <v>2863</v>
      </c>
      <c r="B1368" t="s">
        <v>66</v>
      </c>
      <c r="C1368" t="s">
        <v>67</v>
      </c>
      <c r="D1368" t="s">
        <v>81</v>
      </c>
      <c r="E1368">
        <v>5</v>
      </c>
      <c r="F1368" t="s">
        <v>128</v>
      </c>
      <c r="G1368">
        <v>162000</v>
      </c>
      <c r="H1368">
        <v>140000</v>
      </c>
      <c r="I1368">
        <v>260000</v>
      </c>
      <c r="J1368" t="s">
        <v>142</v>
      </c>
      <c r="K1368" t="s">
        <v>143</v>
      </c>
      <c r="L1368" t="s">
        <v>44</v>
      </c>
      <c r="M1368" t="s">
        <v>45</v>
      </c>
      <c r="N1368" t="s">
        <v>165</v>
      </c>
      <c r="O1368" t="s">
        <v>2864</v>
      </c>
      <c r="P1368">
        <v>13.1</v>
      </c>
      <c r="Q1368">
        <v>85</v>
      </c>
      <c r="R1368">
        <v>20.9</v>
      </c>
      <c r="S1368">
        <v>8.6999999999999993</v>
      </c>
      <c r="T1368">
        <v>2026</v>
      </c>
      <c r="U1368">
        <v>1</v>
      </c>
      <c r="V1368">
        <v>0</v>
      </c>
      <c r="W1368" t="s">
        <v>47</v>
      </c>
      <c r="X1368" t="s">
        <v>64</v>
      </c>
      <c r="Y1368" t="s">
        <v>48</v>
      </c>
    </row>
    <row r="1369" spans="1:25" x14ac:dyDescent="0.35">
      <c r="A1369" t="s">
        <v>2865</v>
      </c>
      <c r="B1369" t="s">
        <v>91</v>
      </c>
      <c r="C1369" t="s">
        <v>27</v>
      </c>
      <c r="D1369" t="s">
        <v>68</v>
      </c>
      <c r="E1369">
        <v>10</v>
      </c>
      <c r="F1369" t="s">
        <v>41</v>
      </c>
      <c r="G1369">
        <v>325000</v>
      </c>
      <c r="H1369">
        <v>145000</v>
      </c>
      <c r="I1369">
        <v>290000</v>
      </c>
      <c r="J1369" t="s">
        <v>113</v>
      </c>
      <c r="K1369" t="s">
        <v>114</v>
      </c>
      <c r="L1369" t="s">
        <v>44</v>
      </c>
      <c r="M1369" t="s">
        <v>54</v>
      </c>
      <c r="N1369" t="s">
        <v>76</v>
      </c>
      <c r="O1369" t="s">
        <v>2866</v>
      </c>
      <c r="P1369">
        <v>9.4</v>
      </c>
      <c r="Q1369">
        <v>91</v>
      </c>
      <c r="R1369">
        <v>80.2</v>
      </c>
      <c r="S1369">
        <v>7.2</v>
      </c>
      <c r="T1369">
        <v>2025</v>
      </c>
      <c r="U1369">
        <v>12</v>
      </c>
      <c r="V1369">
        <v>1</v>
      </c>
      <c r="W1369" t="s">
        <v>47</v>
      </c>
      <c r="X1369" t="s">
        <v>64</v>
      </c>
      <c r="Y1369" t="s">
        <v>56</v>
      </c>
    </row>
    <row r="1370" spans="1:25" x14ac:dyDescent="0.35">
      <c r="A1370" t="s">
        <v>2867</v>
      </c>
      <c r="B1370" t="s">
        <v>50</v>
      </c>
      <c r="C1370" t="s">
        <v>27</v>
      </c>
      <c r="D1370" t="s">
        <v>74</v>
      </c>
      <c r="E1370">
        <v>8</v>
      </c>
      <c r="F1370" t="s">
        <v>69</v>
      </c>
      <c r="G1370">
        <v>184000</v>
      </c>
      <c r="H1370">
        <v>160000</v>
      </c>
      <c r="I1370">
        <v>300000</v>
      </c>
      <c r="J1370" t="s">
        <v>174</v>
      </c>
      <c r="K1370" t="s">
        <v>31</v>
      </c>
      <c r="L1370" t="s">
        <v>44</v>
      </c>
      <c r="M1370" t="s">
        <v>82</v>
      </c>
      <c r="N1370" t="s">
        <v>76</v>
      </c>
      <c r="O1370" t="s">
        <v>2868</v>
      </c>
      <c r="P1370">
        <v>3.8</v>
      </c>
      <c r="Q1370">
        <v>98</v>
      </c>
      <c r="R1370">
        <v>55.7</v>
      </c>
      <c r="S1370">
        <v>8.9</v>
      </c>
      <c r="T1370">
        <v>2026</v>
      </c>
      <c r="U1370">
        <v>2</v>
      </c>
      <c r="V1370">
        <v>0</v>
      </c>
      <c r="W1370" t="s">
        <v>47</v>
      </c>
      <c r="X1370" t="s">
        <v>37</v>
      </c>
      <c r="Y1370" t="s">
        <v>48</v>
      </c>
    </row>
    <row r="1371" spans="1:25" x14ac:dyDescent="0.35">
      <c r="A1371" t="s">
        <v>2869</v>
      </c>
      <c r="B1371" t="s">
        <v>146</v>
      </c>
      <c r="C1371" t="s">
        <v>27</v>
      </c>
      <c r="D1371" t="s">
        <v>74</v>
      </c>
      <c r="E1371">
        <v>5</v>
      </c>
      <c r="F1371" t="s">
        <v>69</v>
      </c>
      <c r="G1371">
        <v>160000</v>
      </c>
      <c r="H1371">
        <v>160000</v>
      </c>
      <c r="I1371">
        <v>300000</v>
      </c>
      <c r="J1371" t="s">
        <v>122</v>
      </c>
      <c r="K1371" t="s">
        <v>123</v>
      </c>
      <c r="L1371" t="s">
        <v>32</v>
      </c>
      <c r="M1371" t="s">
        <v>33</v>
      </c>
      <c r="N1371" t="s">
        <v>71</v>
      </c>
      <c r="O1371" t="s">
        <v>2870</v>
      </c>
      <c r="P1371">
        <v>10.3</v>
      </c>
      <c r="Q1371">
        <v>90</v>
      </c>
      <c r="R1371">
        <v>11.6</v>
      </c>
      <c r="S1371">
        <v>9</v>
      </c>
      <c r="T1371">
        <v>2026</v>
      </c>
      <c r="U1371">
        <v>3</v>
      </c>
      <c r="V1371">
        <v>0</v>
      </c>
      <c r="W1371" t="s">
        <v>36</v>
      </c>
      <c r="X1371" t="s">
        <v>64</v>
      </c>
      <c r="Y1371" t="s">
        <v>48</v>
      </c>
    </row>
    <row r="1372" spans="1:25" x14ac:dyDescent="0.35">
      <c r="A1372" t="s">
        <v>2871</v>
      </c>
      <c r="B1372" t="s">
        <v>134</v>
      </c>
      <c r="C1372" t="s">
        <v>27</v>
      </c>
      <c r="D1372" t="s">
        <v>68</v>
      </c>
      <c r="E1372">
        <v>4</v>
      </c>
      <c r="F1372" t="s">
        <v>128</v>
      </c>
      <c r="G1372">
        <v>354000</v>
      </c>
      <c r="H1372">
        <v>150000</v>
      </c>
      <c r="I1372">
        <v>295000</v>
      </c>
      <c r="J1372" t="s">
        <v>170</v>
      </c>
      <c r="K1372" t="s">
        <v>171</v>
      </c>
      <c r="L1372" t="s">
        <v>53</v>
      </c>
      <c r="M1372" t="s">
        <v>82</v>
      </c>
      <c r="N1372" t="s">
        <v>124</v>
      </c>
      <c r="O1372" t="s">
        <v>2872</v>
      </c>
      <c r="P1372">
        <v>16.399999999999999</v>
      </c>
      <c r="Q1372">
        <v>95</v>
      </c>
      <c r="R1372">
        <v>54.5</v>
      </c>
      <c r="S1372">
        <v>9.8000000000000007</v>
      </c>
      <c r="T1372">
        <v>2025</v>
      </c>
      <c r="U1372">
        <v>6</v>
      </c>
      <c r="V1372">
        <v>1</v>
      </c>
      <c r="W1372" t="s">
        <v>47</v>
      </c>
      <c r="X1372" t="s">
        <v>37</v>
      </c>
      <c r="Y1372" t="s">
        <v>56</v>
      </c>
    </row>
    <row r="1373" spans="1:25" x14ac:dyDescent="0.35">
      <c r="A1373" t="s">
        <v>2873</v>
      </c>
      <c r="B1373" t="s">
        <v>149</v>
      </c>
      <c r="C1373" t="s">
        <v>150</v>
      </c>
      <c r="D1373" t="s">
        <v>74</v>
      </c>
      <c r="E1373">
        <v>9</v>
      </c>
      <c r="F1373" t="s">
        <v>69</v>
      </c>
      <c r="G1373">
        <v>134000</v>
      </c>
      <c r="H1373">
        <v>130000</v>
      </c>
      <c r="I1373">
        <v>260000</v>
      </c>
      <c r="J1373" t="s">
        <v>75</v>
      </c>
      <c r="K1373" t="s">
        <v>31</v>
      </c>
      <c r="L1373" t="s">
        <v>53</v>
      </c>
      <c r="M1373" t="s">
        <v>45</v>
      </c>
      <c r="N1373" t="s">
        <v>88</v>
      </c>
      <c r="O1373" t="s">
        <v>2874</v>
      </c>
      <c r="P1373">
        <v>13.8</v>
      </c>
      <c r="Q1373">
        <v>93</v>
      </c>
      <c r="R1373">
        <v>43.6</v>
      </c>
      <c r="S1373">
        <v>9.3000000000000007</v>
      </c>
      <c r="T1373">
        <v>2025</v>
      </c>
      <c r="U1373">
        <v>11</v>
      </c>
      <c r="V1373">
        <v>0</v>
      </c>
      <c r="W1373" t="s">
        <v>47</v>
      </c>
      <c r="X1373" t="s">
        <v>64</v>
      </c>
      <c r="Y1373" t="s">
        <v>95</v>
      </c>
    </row>
    <row r="1374" spans="1:25" x14ac:dyDescent="0.35">
      <c r="A1374" t="s">
        <v>2875</v>
      </c>
      <c r="B1374" t="s">
        <v>134</v>
      </c>
      <c r="C1374" t="s">
        <v>27</v>
      </c>
      <c r="D1374" t="s">
        <v>28</v>
      </c>
      <c r="E1374">
        <v>6</v>
      </c>
      <c r="F1374" t="s">
        <v>69</v>
      </c>
      <c r="G1374">
        <v>209000</v>
      </c>
      <c r="H1374">
        <v>150000</v>
      </c>
      <c r="I1374">
        <v>295000</v>
      </c>
      <c r="J1374" t="s">
        <v>60</v>
      </c>
      <c r="K1374" t="s">
        <v>60</v>
      </c>
      <c r="L1374" t="s">
        <v>44</v>
      </c>
      <c r="M1374" t="s">
        <v>45</v>
      </c>
      <c r="N1374" t="s">
        <v>71</v>
      </c>
      <c r="O1374" t="s">
        <v>2876</v>
      </c>
      <c r="P1374">
        <v>14.1</v>
      </c>
      <c r="Q1374">
        <v>95</v>
      </c>
      <c r="R1374">
        <v>33.799999999999997</v>
      </c>
      <c r="S1374">
        <v>8.6</v>
      </c>
      <c r="T1374">
        <v>2026</v>
      </c>
      <c r="U1374">
        <v>2</v>
      </c>
      <c r="V1374">
        <v>1</v>
      </c>
      <c r="W1374" t="s">
        <v>47</v>
      </c>
      <c r="X1374" t="s">
        <v>37</v>
      </c>
      <c r="Y1374" t="s">
        <v>38</v>
      </c>
    </row>
    <row r="1375" spans="1:25" x14ac:dyDescent="0.35">
      <c r="A1375" t="s">
        <v>2877</v>
      </c>
      <c r="B1375" t="s">
        <v>134</v>
      </c>
      <c r="C1375" t="s">
        <v>27</v>
      </c>
      <c r="D1375" t="s">
        <v>68</v>
      </c>
      <c r="E1375">
        <v>7</v>
      </c>
      <c r="F1375" t="s">
        <v>69</v>
      </c>
      <c r="G1375">
        <v>209000</v>
      </c>
      <c r="H1375">
        <v>150000</v>
      </c>
      <c r="I1375">
        <v>295000</v>
      </c>
      <c r="J1375" t="s">
        <v>122</v>
      </c>
      <c r="K1375" t="s">
        <v>123</v>
      </c>
      <c r="L1375" t="s">
        <v>44</v>
      </c>
      <c r="M1375" t="s">
        <v>33</v>
      </c>
      <c r="N1375" t="s">
        <v>62</v>
      </c>
      <c r="O1375" t="s">
        <v>2878</v>
      </c>
      <c r="P1375">
        <v>16.600000000000001</v>
      </c>
      <c r="Q1375">
        <v>95</v>
      </c>
      <c r="R1375">
        <v>79.5</v>
      </c>
      <c r="S1375">
        <v>9.4</v>
      </c>
      <c r="T1375">
        <v>2026</v>
      </c>
      <c r="U1375">
        <v>2</v>
      </c>
      <c r="V1375">
        <v>1</v>
      </c>
      <c r="W1375" t="s">
        <v>47</v>
      </c>
      <c r="X1375" t="s">
        <v>37</v>
      </c>
      <c r="Y1375" t="s">
        <v>38</v>
      </c>
    </row>
    <row r="1376" spans="1:25" x14ac:dyDescent="0.35">
      <c r="A1376" t="s">
        <v>2879</v>
      </c>
      <c r="B1376" t="s">
        <v>100</v>
      </c>
      <c r="C1376" t="s">
        <v>101</v>
      </c>
      <c r="D1376" t="s">
        <v>68</v>
      </c>
      <c r="E1376">
        <v>13</v>
      </c>
      <c r="F1376" t="s">
        <v>29</v>
      </c>
      <c r="G1376">
        <v>384000</v>
      </c>
      <c r="H1376">
        <v>180000</v>
      </c>
      <c r="I1376">
        <v>320000</v>
      </c>
      <c r="J1376" t="s">
        <v>296</v>
      </c>
      <c r="K1376" t="s">
        <v>31</v>
      </c>
      <c r="L1376" t="s">
        <v>32</v>
      </c>
      <c r="M1376" t="s">
        <v>61</v>
      </c>
      <c r="N1376" t="s">
        <v>34</v>
      </c>
      <c r="O1376" t="s">
        <v>2880</v>
      </c>
      <c r="P1376">
        <v>14</v>
      </c>
      <c r="Q1376">
        <v>84</v>
      </c>
      <c r="R1376">
        <v>9.3000000000000007</v>
      </c>
      <c r="S1376">
        <v>8.5</v>
      </c>
      <c r="T1376">
        <v>2025</v>
      </c>
      <c r="U1376">
        <v>9</v>
      </c>
      <c r="V1376">
        <v>1</v>
      </c>
      <c r="W1376" t="s">
        <v>36</v>
      </c>
      <c r="X1376" t="s">
        <v>64</v>
      </c>
      <c r="Y1376" t="s">
        <v>56</v>
      </c>
    </row>
    <row r="1377" spans="1:25" x14ac:dyDescent="0.35">
      <c r="A1377" t="s">
        <v>2881</v>
      </c>
      <c r="B1377" t="s">
        <v>26</v>
      </c>
      <c r="C1377" t="s">
        <v>27</v>
      </c>
      <c r="D1377" t="s">
        <v>81</v>
      </c>
      <c r="E1377">
        <v>7</v>
      </c>
      <c r="F1377" t="s">
        <v>29</v>
      </c>
      <c r="G1377">
        <v>200000</v>
      </c>
      <c r="H1377">
        <v>155000</v>
      </c>
      <c r="I1377">
        <v>290000</v>
      </c>
      <c r="J1377" t="s">
        <v>75</v>
      </c>
      <c r="K1377" t="s">
        <v>31</v>
      </c>
      <c r="L1377" t="s">
        <v>32</v>
      </c>
      <c r="M1377" t="s">
        <v>82</v>
      </c>
      <c r="N1377" t="s">
        <v>76</v>
      </c>
      <c r="O1377" t="s">
        <v>2882</v>
      </c>
      <c r="P1377">
        <v>12</v>
      </c>
      <c r="Q1377">
        <v>96</v>
      </c>
      <c r="R1377">
        <v>66.7</v>
      </c>
      <c r="S1377">
        <v>6.1</v>
      </c>
      <c r="T1377">
        <v>2026</v>
      </c>
      <c r="U1377">
        <v>2</v>
      </c>
      <c r="V1377">
        <v>0</v>
      </c>
      <c r="W1377" t="s">
        <v>36</v>
      </c>
      <c r="X1377" t="s">
        <v>37</v>
      </c>
      <c r="Y1377" t="s">
        <v>48</v>
      </c>
    </row>
    <row r="1378" spans="1:25" x14ac:dyDescent="0.35">
      <c r="A1378" t="s">
        <v>2883</v>
      </c>
      <c r="B1378" t="s">
        <v>153</v>
      </c>
      <c r="C1378" t="s">
        <v>154</v>
      </c>
      <c r="D1378" t="s">
        <v>74</v>
      </c>
      <c r="E1378">
        <v>7</v>
      </c>
      <c r="F1378" t="s">
        <v>69</v>
      </c>
      <c r="G1378">
        <v>95000</v>
      </c>
      <c r="H1378">
        <v>95000</v>
      </c>
      <c r="I1378">
        <v>180000</v>
      </c>
      <c r="J1378" t="s">
        <v>142</v>
      </c>
      <c r="K1378" t="s">
        <v>143</v>
      </c>
      <c r="L1378" t="s">
        <v>44</v>
      </c>
      <c r="M1378" t="s">
        <v>61</v>
      </c>
      <c r="N1378" t="s">
        <v>165</v>
      </c>
      <c r="O1378" t="s">
        <v>2884</v>
      </c>
      <c r="P1378">
        <v>9.4</v>
      </c>
      <c r="Q1378">
        <v>78</v>
      </c>
      <c r="R1378">
        <v>13.6</v>
      </c>
      <c r="S1378">
        <v>7.8</v>
      </c>
      <c r="T1378">
        <v>2026</v>
      </c>
      <c r="U1378">
        <v>1</v>
      </c>
      <c r="V1378">
        <v>0</v>
      </c>
      <c r="W1378" t="s">
        <v>47</v>
      </c>
      <c r="X1378" t="s">
        <v>64</v>
      </c>
      <c r="Y1378" t="s">
        <v>98</v>
      </c>
    </row>
    <row r="1379" spans="1:25" x14ac:dyDescent="0.35">
      <c r="A1379" t="s">
        <v>2885</v>
      </c>
      <c r="B1379" t="s">
        <v>50</v>
      </c>
      <c r="C1379" t="s">
        <v>27</v>
      </c>
      <c r="D1379" t="s">
        <v>28</v>
      </c>
      <c r="E1379">
        <v>8</v>
      </c>
      <c r="F1379" t="s">
        <v>128</v>
      </c>
      <c r="G1379">
        <v>240000</v>
      </c>
      <c r="H1379">
        <v>160000</v>
      </c>
      <c r="I1379">
        <v>300000</v>
      </c>
      <c r="J1379" t="s">
        <v>142</v>
      </c>
      <c r="K1379" t="s">
        <v>143</v>
      </c>
      <c r="L1379" t="s">
        <v>53</v>
      </c>
      <c r="M1379" t="s">
        <v>82</v>
      </c>
      <c r="N1379" t="s">
        <v>83</v>
      </c>
      <c r="O1379" t="s">
        <v>2886</v>
      </c>
      <c r="P1379">
        <v>9.3000000000000007</v>
      </c>
      <c r="Q1379">
        <v>98</v>
      </c>
      <c r="R1379">
        <v>53.6</v>
      </c>
      <c r="S1379">
        <v>6</v>
      </c>
      <c r="T1379">
        <v>2025</v>
      </c>
      <c r="U1379">
        <v>8</v>
      </c>
      <c r="V1379">
        <v>1</v>
      </c>
      <c r="W1379" t="s">
        <v>47</v>
      </c>
      <c r="X1379" t="s">
        <v>37</v>
      </c>
      <c r="Y1379" t="s">
        <v>38</v>
      </c>
    </row>
    <row r="1380" spans="1:25" x14ac:dyDescent="0.35">
      <c r="A1380" t="s">
        <v>2887</v>
      </c>
      <c r="B1380" t="s">
        <v>40</v>
      </c>
      <c r="C1380" t="s">
        <v>27</v>
      </c>
      <c r="D1380" t="s">
        <v>28</v>
      </c>
      <c r="E1380">
        <v>4</v>
      </c>
      <c r="F1380" t="s">
        <v>128</v>
      </c>
      <c r="G1380">
        <v>155000</v>
      </c>
      <c r="H1380">
        <v>90000</v>
      </c>
      <c r="I1380">
        <v>200000</v>
      </c>
      <c r="J1380" t="s">
        <v>129</v>
      </c>
      <c r="K1380" t="s">
        <v>130</v>
      </c>
      <c r="L1380" t="s">
        <v>44</v>
      </c>
      <c r="M1380" t="s">
        <v>61</v>
      </c>
      <c r="N1380" t="s">
        <v>124</v>
      </c>
      <c r="O1380" t="s">
        <v>2888</v>
      </c>
      <c r="P1380">
        <v>3.9</v>
      </c>
      <c r="Q1380">
        <v>82</v>
      </c>
      <c r="R1380">
        <v>8.1</v>
      </c>
      <c r="S1380">
        <v>9.4</v>
      </c>
      <c r="T1380">
        <v>2026</v>
      </c>
      <c r="U1380">
        <v>1</v>
      </c>
      <c r="V1380">
        <v>1</v>
      </c>
      <c r="W1380" t="s">
        <v>47</v>
      </c>
      <c r="X1380" t="s">
        <v>37</v>
      </c>
      <c r="Y1380" t="s">
        <v>48</v>
      </c>
    </row>
    <row r="1381" spans="1:25" x14ac:dyDescent="0.35">
      <c r="A1381" t="s">
        <v>2889</v>
      </c>
      <c r="B1381" t="s">
        <v>86</v>
      </c>
      <c r="C1381" t="s">
        <v>27</v>
      </c>
      <c r="D1381" t="s">
        <v>68</v>
      </c>
      <c r="E1381">
        <v>7</v>
      </c>
      <c r="F1381" t="s">
        <v>69</v>
      </c>
      <c r="G1381">
        <v>180000</v>
      </c>
      <c r="H1381">
        <v>180000</v>
      </c>
      <c r="I1381">
        <v>312000</v>
      </c>
      <c r="J1381" t="s">
        <v>108</v>
      </c>
      <c r="K1381" t="s">
        <v>109</v>
      </c>
      <c r="L1381" t="s">
        <v>44</v>
      </c>
      <c r="M1381" t="s">
        <v>82</v>
      </c>
      <c r="N1381" t="s">
        <v>110</v>
      </c>
      <c r="O1381" t="s">
        <v>2890</v>
      </c>
      <c r="P1381">
        <v>16</v>
      </c>
      <c r="Q1381">
        <v>96</v>
      </c>
      <c r="R1381">
        <v>27.7</v>
      </c>
      <c r="S1381">
        <v>9.1</v>
      </c>
      <c r="T1381">
        <v>2026</v>
      </c>
      <c r="U1381">
        <v>3</v>
      </c>
      <c r="V1381">
        <v>1</v>
      </c>
      <c r="W1381" t="s">
        <v>47</v>
      </c>
      <c r="X1381" t="s">
        <v>64</v>
      </c>
      <c r="Y1381" t="s">
        <v>48</v>
      </c>
    </row>
    <row r="1382" spans="1:25" x14ac:dyDescent="0.35">
      <c r="A1382" t="s">
        <v>2891</v>
      </c>
      <c r="B1382" t="s">
        <v>153</v>
      </c>
      <c r="C1382" t="s">
        <v>154</v>
      </c>
      <c r="D1382" t="s">
        <v>28</v>
      </c>
      <c r="E1382">
        <v>3</v>
      </c>
      <c r="F1382" t="s">
        <v>41</v>
      </c>
      <c r="G1382">
        <v>130000</v>
      </c>
      <c r="H1382">
        <v>95000</v>
      </c>
      <c r="I1382">
        <v>180000</v>
      </c>
      <c r="J1382" t="s">
        <v>137</v>
      </c>
      <c r="K1382" t="s">
        <v>138</v>
      </c>
      <c r="L1382" t="s">
        <v>32</v>
      </c>
      <c r="M1382" t="s">
        <v>82</v>
      </c>
      <c r="N1382" t="s">
        <v>83</v>
      </c>
      <c r="O1382" t="s">
        <v>2892</v>
      </c>
      <c r="P1382">
        <v>8.4</v>
      </c>
      <c r="Q1382">
        <v>78</v>
      </c>
      <c r="R1382">
        <v>18.2</v>
      </c>
      <c r="S1382">
        <v>7.2</v>
      </c>
      <c r="T1382">
        <v>2026</v>
      </c>
      <c r="U1382">
        <v>1</v>
      </c>
      <c r="V1382">
        <v>1</v>
      </c>
      <c r="W1382" t="s">
        <v>36</v>
      </c>
      <c r="X1382" t="s">
        <v>64</v>
      </c>
      <c r="Y1382" t="s">
        <v>95</v>
      </c>
    </row>
    <row r="1383" spans="1:25" x14ac:dyDescent="0.35">
      <c r="A1383" t="s">
        <v>2893</v>
      </c>
      <c r="B1383" t="s">
        <v>196</v>
      </c>
      <c r="C1383" t="s">
        <v>27</v>
      </c>
      <c r="D1383" t="s">
        <v>74</v>
      </c>
      <c r="E1383">
        <v>5</v>
      </c>
      <c r="F1383" t="s">
        <v>41</v>
      </c>
      <c r="G1383">
        <v>118000</v>
      </c>
      <c r="H1383">
        <v>100000</v>
      </c>
      <c r="I1383">
        <v>250000</v>
      </c>
      <c r="J1383" t="s">
        <v>191</v>
      </c>
      <c r="K1383" t="s">
        <v>31</v>
      </c>
      <c r="L1383" t="s">
        <v>44</v>
      </c>
      <c r="M1383" t="s">
        <v>61</v>
      </c>
      <c r="N1383" t="s">
        <v>88</v>
      </c>
      <c r="O1383" t="s">
        <v>2894</v>
      </c>
      <c r="P1383">
        <v>14.6</v>
      </c>
      <c r="Q1383">
        <v>95</v>
      </c>
      <c r="R1383">
        <v>65.8</v>
      </c>
      <c r="S1383">
        <v>6.2</v>
      </c>
      <c r="T1383">
        <v>2026</v>
      </c>
      <c r="U1383">
        <v>2</v>
      </c>
      <c r="V1383">
        <v>0</v>
      </c>
      <c r="W1383" t="s">
        <v>47</v>
      </c>
      <c r="X1383" t="s">
        <v>64</v>
      </c>
      <c r="Y1383" t="s">
        <v>95</v>
      </c>
    </row>
    <row r="1384" spans="1:25" x14ac:dyDescent="0.35">
      <c r="A1384" t="s">
        <v>2895</v>
      </c>
      <c r="B1384" t="s">
        <v>40</v>
      </c>
      <c r="C1384" t="s">
        <v>27</v>
      </c>
      <c r="D1384" t="s">
        <v>28</v>
      </c>
      <c r="E1384">
        <v>3</v>
      </c>
      <c r="F1384" t="s">
        <v>41</v>
      </c>
      <c r="G1384">
        <v>206000</v>
      </c>
      <c r="H1384">
        <v>90000</v>
      </c>
      <c r="I1384">
        <v>200000</v>
      </c>
      <c r="J1384" t="s">
        <v>191</v>
      </c>
      <c r="K1384" t="s">
        <v>31</v>
      </c>
      <c r="L1384" t="s">
        <v>53</v>
      </c>
      <c r="M1384" t="s">
        <v>45</v>
      </c>
      <c r="N1384" t="s">
        <v>71</v>
      </c>
      <c r="O1384" t="s">
        <v>2896</v>
      </c>
      <c r="P1384">
        <v>5.8</v>
      </c>
      <c r="Q1384">
        <v>82</v>
      </c>
      <c r="R1384">
        <v>17</v>
      </c>
      <c r="S1384">
        <v>9.5</v>
      </c>
      <c r="T1384">
        <v>2025</v>
      </c>
      <c r="U1384">
        <v>12</v>
      </c>
      <c r="V1384">
        <v>1</v>
      </c>
      <c r="W1384" t="s">
        <v>47</v>
      </c>
      <c r="X1384" t="s">
        <v>37</v>
      </c>
      <c r="Y1384" t="s">
        <v>38</v>
      </c>
    </row>
    <row r="1385" spans="1:25" x14ac:dyDescent="0.35">
      <c r="A1385" t="s">
        <v>2897</v>
      </c>
      <c r="B1385" t="s">
        <v>163</v>
      </c>
      <c r="C1385" t="s">
        <v>164</v>
      </c>
      <c r="D1385" t="s">
        <v>74</v>
      </c>
      <c r="E1385">
        <v>10</v>
      </c>
      <c r="F1385" t="s">
        <v>51</v>
      </c>
      <c r="G1385">
        <v>125000</v>
      </c>
      <c r="H1385">
        <v>125000</v>
      </c>
      <c r="I1385">
        <v>240000</v>
      </c>
      <c r="J1385" t="s">
        <v>70</v>
      </c>
      <c r="K1385" t="s">
        <v>31</v>
      </c>
      <c r="L1385" t="s">
        <v>53</v>
      </c>
      <c r="M1385" t="s">
        <v>61</v>
      </c>
      <c r="N1385" t="s">
        <v>34</v>
      </c>
      <c r="O1385" t="s">
        <v>2898</v>
      </c>
      <c r="P1385">
        <v>11.4</v>
      </c>
      <c r="Q1385">
        <v>76</v>
      </c>
      <c r="R1385">
        <v>29.4</v>
      </c>
      <c r="S1385">
        <v>6.6</v>
      </c>
      <c r="T1385">
        <v>2025</v>
      </c>
      <c r="U1385">
        <v>8</v>
      </c>
      <c r="V1385">
        <v>0</v>
      </c>
      <c r="W1385" t="s">
        <v>47</v>
      </c>
      <c r="X1385" t="s">
        <v>64</v>
      </c>
      <c r="Y1385" t="s">
        <v>95</v>
      </c>
    </row>
    <row r="1386" spans="1:25" x14ac:dyDescent="0.35">
      <c r="A1386" t="s">
        <v>2899</v>
      </c>
      <c r="B1386" t="s">
        <v>86</v>
      </c>
      <c r="C1386" t="s">
        <v>27</v>
      </c>
      <c r="D1386" t="s">
        <v>28</v>
      </c>
      <c r="E1386">
        <v>12</v>
      </c>
      <c r="F1386" t="s">
        <v>51</v>
      </c>
      <c r="G1386">
        <v>274000</v>
      </c>
      <c r="H1386">
        <v>180000</v>
      </c>
      <c r="I1386">
        <v>312000</v>
      </c>
      <c r="J1386" t="s">
        <v>142</v>
      </c>
      <c r="K1386" t="s">
        <v>143</v>
      </c>
      <c r="L1386" t="s">
        <v>53</v>
      </c>
      <c r="M1386" t="s">
        <v>54</v>
      </c>
      <c r="N1386" t="s">
        <v>165</v>
      </c>
      <c r="O1386" t="s">
        <v>2900</v>
      </c>
      <c r="P1386">
        <v>17.8</v>
      </c>
      <c r="Q1386">
        <v>96</v>
      </c>
      <c r="R1386">
        <v>63.9</v>
      </c>
      <c r="S1386">
        <v>6.1</v>
      </c>
      <c r="T1386">
        <v>2025</v>
      </c>
      <c r="U1386">
        <v>2</v>
      </c>
      <c r="V1386">
        <v>1</v>
      </c>
      <c r="W1386" t="s">
        <v>47</v>
      </c>
      <c r="X1386" t="s">
        <v>64</v>
      </c>
      <c r="Y1386" t="s">
        <v>38</v>
      </c>
    </row>
    <row r="1387" spans="1:25" x14ac:dyDescent="0.35">
      <c r="A1387" t="s">
        <v>2901</v>
      </c>
      <c r="B1387" t="s">
        <v>153</v>
      </c>
      <c r="C1387" t="s">
        <v>154</v>
      </c>
      <c r="D1387" t="s">
        <v>74</v>
      </c>
      <c r="E1387">
        <v>7</v>
      </c>
      <c r="F1387" t="s">
        <v>51</v>
      </c>
      <c r="G1387">
        <v>95000</v>
      </c>
      <c r="H1387">
        <v>95000</v>
      </c>
      <c r="I1387">
        <v>180000</v>
      </c>
      <c r="J1387" t="s">
        <v>191</v>
      </c>
      <c r="K1387" t="s">
        <v>31</v>
      </c>
      <c r="L1387" t="s">
        <v>44</v>
      </c>
      <c r="M1387" t="s">
        <v>33</v>
      </c>
      <c r="N1387" t="s">
        <v>165</v>
      </c>
      <c r="O1387" t="s">
        <v>2902</v>
      </c>
      <c r="P1387">
        <v>10</v>
      </c>
      <c r="Q1387">
        <v>78</v>
      </c>
      <c r="R1387">
        <v>16.899999999999999</v>
      </c>
      <c r="S1387">
        <v>7.3</v>
      </c>
      <c r="T1387">
        <v>2025</v>
      </c>
      <c r="U1387">
        <v>2</v>
      </c>
      <c r="V1387">
        <v>0</v>
      </c>
      <c r="W1387" t="s">
        <v>47</v>
      </c>
      <c r="X1387" t="s">
        <v>64</v>
      </c>
      <c r="Y1387" t="s">
        <v>98</v>
      </c>
    </row>
    <row r="1388" spans="1:25" x14ac:dyDescent="0.35">
      <c r="A1388" t="s">
        <v>2903</v>
      </c>
      <c r="B1388" t="s">
        <v>66</v>
      </c>
      <c r="C1388" t="s">
        <v>67</v>
      </c>
      <c r="D1388" t="s">
        <v>28</v>
      </c>
      <c r="E1388">
        <v>10</v>
      </c>
      <c r="F1388" t="s">
        <v>41</v>
      </c>
      <c r="G1388">
        <v>161000</v>
      </c>
      <c r="H1388">
        <v>140000</v>
      </c>
      <c r="I1388">
        <v>260000</v>
      </c>
      <c r="J1388" t="s">
        <v>102</v>
      </c>
      <c r="K1388" t="s">
        <v>103</v>
      </c>
      <c r="L1388" t="s">
        <v>53</v>
      </c>
      <c r="M1388" t="s">
        <v>82</v>
      </c>
      <c r="N1388" t="s">
        <v>62</v>
      </c>
      <c r="O1388" t="s">
        <v>2904</v>
      </c>
      <c r="P1388">
        <v>12.7</v>
      </c>
      <c r="Q1388">
        <v>85</v>
      </c>
      <c r="R1388">
        <v>25.8</v>
      </c>
      <c r="S1388">
        <v>7.7</v>
      </c>
      <c r="T1388">
        <v>2026</v>
      </c>
      <c r="U1388">
        <v>1</v>
      </c>
      <c r="V1388">
        <v>1</v>
      </c>
      <c r="W1388" t="s">
        <v>47</v>
      </c>
      <c r="X1388" t="s">
        <v>64</v>
      </c>
      <c r="Y1388" t="s">
        <v>48</v>
      </c>
    </row>
    <row r="1389" spans="1:25" x14ac:dyDescent="0.35">
      <c r="A1389" t="s">
        <v>2905</v>
      </c>
      <c r="B1389" t="s">
        <v>149</v>
      </c>
      <c r="C1389" t="s">
        <v>150</v>
      </c>
      <c r="D1389" t="s">
        <v>68</v>
      </c>
      <c r="E1389">
        <v>4</v>
      </c>
      <c r="F1389" t="s">
        <v>29</v>
      </c>
      <c r="G1389">
        <v>285000</v>
      </c>
      <c r="H1389">
        <v>130000</v>
      </c>
      <c r="I1389">
        <v>260000</v>
      </c>
      <c r="J1389" t="s">
        <v>75</v>
      </c>
      <c r="K1389" t="s">
        <v>31</v>
      </c>
      <c r="L1389" t="s">
        <v>44</v>
      </c>
      <c r="M1389" t="s">
        <v>82</v>
      </c>
      <c r="N1389" t="s">
        <v>119</v>
      </c>
      <c r="O1389" t="s">
        <v>2906</v>
      </c>
      <c r="P1389">
        <v>17.8</v>
      </c>
      <c r="Q1389">
        <v>93</v>
      </c>
      <c r="R1389">
        <v>72.8</v>
      </c>
      <c r="S1389">
        <v>7.8</v>
      </c>
      <c r="T1389">
        <v>2026</v>
      </c>
      <c r="U1389">
        <v>3</v>
      </c>
      <c r="V1389">
        <v>1</v>
      </c>
      <c r="W1389" t="s">
        <v>47</v>
      </c>
      <c r="X1389" t="s">
        <v>64</v>
      </c>
      <c r="Y1389" t="s">
        <v>38</v>
      </c>
    </row>
    <row r="1390" spans="1:25" x14ac:dyDescent="0.35">
      <c r="A1390" t="s">
        <v>2907</v>
      </c>
      <c r="B1390" t="s">
        <v>40</v>
      </c>
      <c r="C1390" t="s">
        <v>27</v>
      </c>
      <c r="D1390" t="s">
        <v>81</v>
      </c>
      <c r="E1390">
        <v>3</v>
      </c>
      <c r="F1390" t="s">
        <v>128</v>
      </c>
      <c r="G1390">
        <v>153000</v>
      </c>
      <c r="H1390">
        <v>90000</v>
      </c>
      <c r="I1390">
        <v>200000</v>
      </c>
      <c r="J1390" t="s">
        <v>170</v>
      </c>
      <c r="K1390" t="s">
        <v>171</v>
      </c>
      <c r="L1390" t="s">
        <v>44</v>
      </c>
      <c r="M1390" t="s">
        <v>45</v>
      </c>
      <c r="N1390" t="s">
        <v>131</v>
      </c>
      <c r="O1390" t="s">
        <v>2908</v>
      </c>
      <c r="P1390">
        <v>9.1</v>
      </c>
      <c r="Q1390">
        <v>82</v>
      </c>
      <c r="R1390">
        <v>14</v>
      </c>
      <c r="S1390">
        <v>6.4</v>
      </c>
      <c r="T1390">
        <v>2026</v>
      </c>
      <c r="U1390">
        <v>3</v>
      </c>
      <c r="V1390">
        <v>0</v>
      </c>
      <c r="W1390" t="s">
        <v>47</v>
      </c>
      <c r="X1390" t="s">
        <v>37</v>
      </c>
      <c r="Y1390" t="s">
        <v>48</v>
      </c>
    </row>
    <row r="1391" spans="1:25" x14ac:dyDescent="0.35">
      <c r="A1391" t="s">
        <v>2909</v>
      </c>
      <c r="B1391" t="s">
        <v>149</v>
      </c>
      <c r="C1391" t="s">
        <v>150</v>
      </c>
      <c r="D1391" t="s">
        <v>74</v>
      </c>
      <c r="E1391">
        <v>7</v>
      </c>
      <c r="F1391" t="s">
        <v>29</v>
      </c>
      <c r="G1391">
        <v>165000</v>
      </c>
      <c r="H1391">
        <v>130000</v>
      </c>
      <c r="I1391">
        <v>260000</v>
      </c>
      <c r="J1391" t="s">
        <v>42</v>
      </c>
      <c r="K1391" t="s">
        <v>43</v>
      </c>
      <c r="L1391" t="s">
        <v>44</v>
      </c>
      <c r="M1391" t="s">
        <v>54</v>
      </c>
      <c r="N1391" t="s">
        <v>110</v>
      </c>
      <c r="O1391" t="s">
        <v>2910</v>
      </c>
      <c r="P1391">
        <v>16.600000000000001</v>
      </c>
      <c r="Q1391">
        <v>93</v>
      </c>
      <c r="R1391">
        <v>85.2</v>
      </c>
      <c r="S1391">
        <v>8.4</v>
      </c>
      <c r="T1391">
        <v>2026</v>
      </c>
      <c r="U1391">
        <v>3</v>
      </c>
      <c r="V1391">
        <v>0</v>
      </c>
      <c r="W1391" t="s">
        <v>47</v>
      </c>
      <c r="X1391" t="s">
        <v>64</v>
      </c>
      <c r="Y1391" t="s">
        <v>48</v>
      </c>
    </row>
    <row r="1392" spans="1:25" x14ac:dyDescent="0.35">
      <c r="A1392" t="s">
        <v>2911</v>
      </c>
      <c r="B1392" t="s">
        <v>149</v>
      </c>
      <c r="C1392" t="s">
        <v>150</v>
      </c>
      <c r="D1392" t="s">
        <v>74</v>
      </c>
      <c r="E1392">
        <v>6</v>
      </c>
      <c r="F1392" t="s">
        <v>69</v>
      </c>
      <c r="G1392">
        <v>228000</v>
      </c>
      <c r="H1392">
        <v>130000</v>
      </c>
      <c r="I1392">
        <v>260000</v>
      </c>
      <c r="J1392" t="s">
        <v>174</v>
      </c>
      <c r="K1392" t="s">
        <v>31</v>
      </c>
      <c r="L1392" t="s">
        <v>44</v>
      </c>
      <c r="M1392" t="s">
        <v>54</v>
      </c>
      <c r="N1392" t="s">
        <v>76</v>
      </c>
      <c r="O1392" t="s">
        <v>2912</v>
      </c>
      <c r="P1392">
        <v>17.7</v>
      </c>
      <c r="Q1392">
        <v>93</v>
      </c>
      <c r="R1392">
        <v>75.8</v>
      </c>
      <c r="S1392">
        <v>6.5</v>
      </c>
      <c r="T1392">
        <v>2025</v>
      </c>
      <c r="U1392">
        <v>3</v>
      </c>
      <c r="V1392">
        <v>0</v>
      </c>
      <c r="W1392" t="s">
        <v>47</v>
      </c>
      <c r="X1392" t="s">
        <v>64</v>
      </c>
      <c r="Y1392" t="s">
        <v>38</v>
      </c>
    </row>
    <row r="1393" spans="1:25" x14ac:dyDescent="0.35">
      <c r="A1393" t="s">
        <v>2913</v>
      </c>
      <c r="B1393" t="s">
        <v>127</v>
      </c>
      <c r="C1393" t="s">
        <v>27</v>
      </c>
      <c r="D1393" t="s">
        <v>81</v>
      </c>
      <c r="E1393">
        <v>4</v>
      </c>
      <c r="F1393" t="s">
        <v>41</v>
      </c>
      <c r="G1393">
        <v>168000</v>
      </c>
      <c r="H1393">
        <v>120000</v>
      </c>
      <c r="I1393">
        <v>280000</v>
      </c>
      <c r="J1393" t="s">
        <v>42</v>
      </c>
      <c r="K1393" t="s">
        <v>43</v>
      </c>
      <c r="L1393" t="s">
        <v>32</v>
      </c>
      <c r="M1393" t="s">
        <v>45</v>
      </c>
      <c r="N1393" t="s">
        <v>71</v>
      </c>
      <c r="O1393" t="s">
        <v>2914</v>
      </c>
      <c r="P1393">
        <v>15.1</v>
      </c>
      <c r="Q1393">
        <v>97</v>
      </c>
      <c r="R1393">
        <v>69.900000000000006</v>
      </c>
      <c r="S1393">
        <v>6.7</v>
      </c>
      <c r="T1393">
        <v>2025</v>
      </c>
      <c r="U1393">
        <v>5</v>
      </c>
      <c r="V1393">
        <v>0</v>
      </c>
      <c r="W1393" t="s">
        <v>36</v>
      </c>
      <c r="X1393" t="s">
        <v>64</v>
      </c>
      <c r="Y1393" t="s">
        <v>48</v>
      </c>
    </row>
    <row r="1394" spans="1:25" x14ac:dyDescent="0.35">
      <c r="A1394" t="s">
        <v>2915</v>
      </c>
      <c r="B1394" t="s">
        <v>86</v>
      </c>
      <c r="C1394" t="s">
        <v>27</v>
      </c>
      <c r="D1394" t="s">
        <v>28</v>
      </c>
      <c r="E1394">
        <v>5</v>
      </c>
      <c r="F1394" t="s">
        <v>69</v>
      </c>
      <c r="G1394">
        <v>226000</v>
      </c>
      <c r="H1394">
        <v>180000</v>
      </c>
      <c r="I1394">
        <v>312000</v>
      </c>
      <c r="J1394" t="s">
        <v>142</v>
      </c>
      <c r="K1394" t="s">
        <v>143</v>
      </c>
      <c r="L1394" t="s">
        <v>32</v>
      </c>
      <c r="M1394" t="s">
        <v>45</v>
      </c>
      <c r="N1394" t="s">
        <v>71</v>
      </c>
      <c r="O1394" t="s">
        <v>2916</v>
      </c>
      <c r="P1394">
        <v>11.3</v>
      </c>
      <c r="Q1394">
        <v>96</v>
      </c>
      <c r="R1394">
        <v>53.5</v>
      </c>
      <c r="S1394">
        <v>8.8000000000000007</v>
      </c>
      <c r="T1394">
        <v>2026</v>
      </c>
      <c r="U1394">
        <v>2</v>
      </c>
      <c r="V1394">
        <v>1</v>
      </c>
      <c r="W1394" t="s">
        <v>36</v>
      </c>
      <c r="X1394" t="s">
        <v>64</v>
      </c>
      <c r="Y1394" t="s">
        <v>38</v>
      </c>
    </row>
    <row r="1395" spans="1:25" x14ac:dyDescent="0.35">
      <c r="A1395" t="s">
        <v>2917</v>
      </c>
      <c r="B1395" t="s">
        <v>609</v>
      </c>
      <c r="C1395" t="s">
        <v>124</v>
      </c>
      <c r="D1395" t="s">
        <v>81</v>
      </c>
      <c r="E1395">
        <v>10</v>
      </c>
      <c r="F1395" t="s">
        <v>128</v>
      </c>
      <c r="G1395">
        <v>273000</v>
      </c>
      <c r="H1395">
        <v>115000</v>
      </c>
      <c r="I1395">
        <v>280000</v>
      </c>
      <c r="J1395" t="s">
        <v>75</v>
      </c>
      <c r="K1395" t="s">
        <v>31</v>
      </c>
      <c r="L1395" t="s">
        <v>53</v>
      </c>
      <c r="M1395" t="s">
        <v>54</v>
      </c>
      <c r="N1395" t="s">
        <v>131</v>
      </c>
      <c r="O1395" t="s">
        <v>2918</v>
      </c>
      <c r="P1395">
        <v>12.6</v>
      </c>
      <c r="Q1395">
        <v>88</v>
      </c>
      <c r="R1395">
        <v>24.5</v>
      </c>
      <c r="S1395">
        <v>7.5</v>
      </c>
      <c r="T1395">
        <v>2025</v>
      </c>
      <c r="U1395">
        <v>12</v>
      </c>
      <c r="V1395">
        <v>0</v>
      </c>
      <c r="W1395" t="s">
        <v>47</v>
      </c>
      <c r="X1395" t="s">
        <v>64</v>
      </c>
      <c r="Y1395" t="s">
        <v>38</v>
      </c>
    </row>
    <row r="1396" spans="1:25" x14ac:dyDescent="0.35">
      <c r="A1396" t="s">
        <v>2919</v>
      </c>
      <c r="B1396" t="s">
        <v>141</v>
      </c>
      <c r="C1396" t="s">
        <v>27</v>
      </c>
      <c r="D1396" t="s">
        <v>74</v>
      </c>
      <c r="E1396">
        <v>3</v>
      </c>
      <c r="F1396" t="s">
        <v>51</v>
      </c>
      <c r="G1396">
        <v>154000</v>
      </c>
      <c r="H1396">
        <v>141000</v>
      </c>
      <c r="I1396">
        <v>270000</v>
      </c>
      <c r="J1396" t="s">
        <v>191</v>
      </c>
      <c r="K1396" t="s">
        <v>31</v>
      </c>
      <c r="L1396" t="s">
        <v>44</v>
      </c>
      <c r="M1396" t="s">
        <v>54</v>
      </c>
      <c r="N1396" t="s">
        <v>155</v>
      </c>
      <c r="O1396" t="s">
        <v>2920</v>
      </c>
      <c r="P1396">
        <v>8.9</v>
      </c>
      <c r="Q1396">
        <v>89</v>
      </c>
      <c r="R1396">
        <v>22.6</v>
      </c>
      <c r="S1396">
        <v>7.2</v>
      </c>
      <c r="T1396">
        <v>2026</v>
      </c>
      <c r="U1396">
        <v>1</v>
      </c>
      <c r="V1396">
        <v>0</v>
      </c>
      <c r="W1396" t="s">
        <v>47</v>
      </c>
      <c r="X1396" t="s">
        <v>64</v>
      </c>
      <c r="Y1396" t="s">
        <v>48</v>
      </c>
    </row>
    <row r="1397" spans="1:25" x14ac:dyDescent="0.35">
      <c r="A1397" t="s">
        <v>2921</v>
      </c>
      <c r="B1397" t="s">
        <v>185</v>
      </c>
      <c r="C1397" t="s">
        <v>186</v>
      </c>
      <c r="D1397" t="s">
        <v>81</v>
      </c>
      <c r="E1397">
        <v>6</v>
      </c>
      <c r="F1397" t="s">
        <v>41</v>
      </c>
      <c r="G1397">
        <v>140000</v>
      </c>
      <c r="H1397">
        <v>140000</v>
      </c>
      <c r="I1397">
        <v>270000</v>
      </c>
      <c r="J1397" t="s">
        <v>129</v>
      </c>
      <c r="K1397" t="s">
        <v>130</v>
      </c>
      <c r="L1397" t="s">
        <v>32</v>
      </c>
      <c r="M1397" t="s">
        <v>61</v>
      </c>
      <c r="N1397" t="s">
        <v>165</v>
      </c>
      <c r="O1397" t="s">
        <v>2922</v>
      </c>
      <c r="P1397">
        <v>17.600000000000001</v>
      </c>
      <c r="Q1397">
        <v>85</v>
      </c>
      <c r="R1397">
        <v>22.1</v>
      </c>
      <c r="S1397">
        <v>7.5</v>
      </c>
      <c r="T1397">
        <v>2025</v>
      </c>
      <c r="U1397">
        <v>6</v>
      </c>
      <c r="V1397">
        <v>0</v>
      </c>
      <c r="W1397" t="s">
        <v>36</v>
      </c>
      <c r="X1397" t="s">
        <v>64</v>
      </c>
      <c r="Y1397" t="s">
        <v>95</v>
      </c>
    </row>
    <row r="1398" spans="1:25" x14ac:dyDescent="0.35">
      <c r="A1398" t="s">
        <v>2923</v>
      </c>
      <c r="B1398" t="s">
        <v>141</v>
      </c>
      <c r="C1398" t="s">
        <v>27</v>
      </c>
      <c r="D1398" t="s">
        <v>28</v>
      </c>
      <c r="E1398">
        <v>6</v>
      </c>
      <c r="F1398" t="s">
        <v>29</v>
      </c>
      <c r="G1398">
        <v>141000</v>
      </c>
      <c r="H1398">
        <v>141000</v>
      </c>
      <c r="I1398">
        <v>270000</v>
      </c>
      <c r="J1398" t="s">
        <v>92</v>
      </c>
      <c r="K1398" t="s">
        <v>93</v>
      </c>
      <c r="L1398" t="s">
        <v>53</v>
      </c>
      <c r="M1398" t="s">
        <v>61</v>
      </c>
      <c r="N1398" t="s">
        <v>62</v>
      </c>
      <c r="O1398" t="s">
        <v>2924</v>
      </c>
      <c r="P1398">
        <v>4.5999999999999996</v>
      </c>
      <c r="Q1398">
        <v>89</v>
      </c>
      <c r="R1398">
        <v>13.5</v>
      </c>
      <c r="S1398">
        <v>8.4</v>
      </c>
      <c r="T1398">
        <v>2026</v>
      </c>
      <c r="U1398">
        <v>1</v>
      </c>
      <c r="V1398">
        <v>1</v>
      </c>
      <c r="W1398" t="s">
        <v>47</v>
      </c>
      <c r="X1398" t="s">
        <v>64</v>
      </c>
      <c r="Y1398" t="s">
        <v>95</v>
      </c>
    </row>
    <row r="1399" spans="1:25" x14ac:dyDescent="0.35">
      <c r="A1399" t="s">
        <v>2925</v>
      </c>
      <c r="B1399" t="s">
        <v>127</v>
      </c>
      <c r="C1399" t="s">
        <v>27</v>
      </c>
      <c r="D1399" t="s">
        <v>68</v>
      </c>
      <c r="E1399">
        <v>5</v>
      </c>
      <c r="F1399" t="s">
        <v>128</v>
      </c>
      <c r="G1399">
        <v>268000</v>
      </c>
      <c r="H1399">
        <v>120000</v>
      </c>
      <c r="I1399">
        <v>280000</v>
      </c>
      <c r="J1399" t="s">
        <v>75</v>
      </c>
      <c r="K1399" t="s">
        <v>31</v>
      </c>
      <c r="L1399" t="s">
        <v>53</v>
      </c>
      <c r="M1399" t="s">
        <v>61</v>
      </c>
      <c r="N1399" t="s">
        <v>71</v>
      </c>
      <c r="O1399" t="s">
        <v>2926</v>
      </c>
      <c r="P1399">
        <v>12.6</v>
      </c>
      <c r="Q1399">
        <v>97</v>
      </c>
      <c r="R1399">
        <v>19</v>
      </c>
      <c r="S1399">
        <v>6.9</v>
      </c>
      <c r="T1399">
        <v>2025</v>
      </c>
      <c r="U1399">
        <v>2</v>
      </c>
      <c r="V1399">
        <v>1</v>
      </c>
      <c r="W1399" t="s">
        <v>47</v>
      </c>
      <c r="X1399" t="s">
        <v>64</v>
      </c>
      <c r="Y1399" t="s">
        <v>38</v>
      </c>
    </row>
    <row r="1400" spans="1:25" x14ac:dyDescent="0.35">
      <c r="A1400" t="s">
        <v>2927</v>
      </c>
      <c r="B1400" t="s">
        <v>50</v>
      </c>
      <c r="C1400" t="s">
        <v>27</v>
      </c>
      <c r="D1400" t="s">
        <v>81</v>
      </c>
      <c r="E1400">
        <v>8</v>
      </c>
      <c r="F1400" t="s">
        <v>29</v>
      </c>
      <c r="G1400">
        <v>231000</v>
      </c>
      <c r="H1400">
        <v>160000</v>
      </c>
      <c r="I1400">
        <v>300000</v>
      </c>
      <c r="J1400" t="s">
        <v>296</v>
      </c>
      <c r="K1400" t="s">
        <v>31</v>
      </c>
      <c r="L1400" t="s">
        <v>32</v>
      </c>
      <c r="M1400" t="s">
        <v>61</v>
      </c>
      <c r="N1400" t="s">
        <v>88</v>
      </c>
      <c r="O1400" t="s">
        <v>2928</v>
      </c>
      <c r="P1400">
        <v>7.1</v>
      </c>
      <c r="Q1400">
        <v>98</v>
      </c>
      <c r="R1400">
        <v>85.5</v>
      </c>
      <c r="S1400">
        <v>8.4</v>
      </c>
      <c r="T1400">
        <v>2026</v>
      </c>
      <c r="U1400">
        <v>2</v>
      </c>
      <c r="V1400">
        <v>0</v>
      </c>
      <c r="W1400" t="s">
        <v>36</v>
      </c>
      <c r="X1400" t="s">
        <v>37</v>
      </c>
      <c r="Y1400" t="s">
        <v>38</v>
      </c>
    </row>
    <row r="1401" spans="1:25" x14ac:dyDescent="0.35">
      <c r="A1401" t="s">
        <v>2929</v>
      </c>
      <c r="B1401" t="s">
        <v>168</v>
      </c>
      <c r="C1401" t="s">
        <v>169</v>
      </c>
      <c r="D1401" t="s">
        <v>28</v>
      </c>
      <c r="E1401">
        <v>6</v>
      </c>
      <c r="F1401" t="s">
        <v>69</v>
      </c>
      <c r="G1401">
        <v>193000</v>
      </c>
      <c r="H1401">
        <v>157000</v>
      </c>
      <c r="I1401">
        <v>218000</v>
      </c>
      <c r="J1401" t="s">
        <v>191</v>
      </c>
      <c r="K1401" t="s">
        <v>31</v>
      </c>
      <c r="L1401" t="s">
        <v>53</v>
      </c>
      <c r="M1401" t="s">
        <v>82</v>
      </c>
      <c r="N1401" t="s">
        <v>62</v>
      </c>
      <c r="O1401" t="s">
        <v>2930</v>
      </c>
      <c r="P1401">
        <v>8.4</v>
      </c>
      <c r="Q1401">
        <v>90</v>
      </c>
      <c r="R1401">
        <v>6.9</v>
      </c>
      <c r="S1401">
        <v>6.3</v>
      </c>
      <c r="T1401">
        <v>2025</v>
      </c>
      <c r="U1401">
        <v>12</v>
      </c>
      <c r="V1401">
        <v>1</v>
      </c>
      <c r="W1401" t="s">
        <v>47</v>
      </c>
      <c r="X1401" t="s">
        <v>64</v>
      </c>
      <c r="Y1401" t="s">
        <v>48</v>
      </c>
    </row>
    <row r="1402" spans="1:25" x14ac:dyDescent="0.35">
      <c r="A1402" t="s">
        <v>2931</v>
      </c>
      <c r="B1402" t="s">
        <v>58</v>
      </c>
      <c r="C1402" t="s">
        <v>59</v>
      </c>
      <c r="D1402" t="s">
        <v>81</v>
      </c>
      <c r="E1402">
        <v>4</v>
      </c>
      <c r="F1402" t="s">
        <v>128</v>
      </c>
      <c r="G1402">
        <v>243000</v>
      </c>
      <c r="H1402">
        <v>130000</v>
      </c>
      <c r="I1402">
        <v>220000</v>
      </c>
      <c r="J1402" t="s">
        <v>174</v>
      </c>
      <c r="K1402" t="s">
        <v>31</v>
      </c>
      <c r="L1402" t="s">
        <v>44</v>
      </c>
      <c r="M1402" t="s">
        <v>82</v>
      </c>
      <c r="N1402" t="s">
        <v>124</v>
      </c>
      <c r="O1402" t="s">
        <v>2932</v>
      </c>
      <c r="P1402">
        <v>15.6</v>
      </c>
      <c r="Q1402">
        <v>88</v>
      </c>
      <c r="R1402">
        <v>13.9</v>
      </c>
      <c r="S1402">
        <v>9.6</v>
      </c>
      <c r="T1402">
        <v>2026</v>
      </c>
      <c r="U1402">
        <v>2</v>
      </c>
      <c r="V1402">
        <v>0</v>
      </c>
      <c r="W1402" t="s">
        <v>47</v>
      </c>
      <c r="X1402" t="s">
        <v>64</v>
      </c>
      <c r="Y1402" t="s">
        <v>38</v>
      </c>
    </row>
    <row r="1403" spans="1:25" x14ac:dyDescent="0.35">
      <c r="A1403" t="s">
        <v>2933</v>
      </c>
      <c r="B1403" t="s">
        <v>40</v>
      </c>
      <c r="C1403" t="s">
        <v>27</v>
      </c>
      <c r="D1403" t="s">
        <v>81</v>
      </c>
      <c r="E1403">
        <v>1</v>
      </c>
      <c r="F1403" t="s">
        <v>128</v>
      </c>
      <c r="G1403">
        <v>118000</v>
      </c>
      <c r="H1403">
        <v>90000</v>
      </c>
      <c r="I1403">
        <v>200000</v>
      </c>
      <c r="J1403" t="s">
        <v>42</v>
      </c>
      <c r="K1403" t="s">
        <v>43</v>
      </c>
      <c r="L1403" t="s">
        <v>32</v>
      </c>
      <c r="M1403" t="s">
        <v>61</v>
      </c>
      <c r="N1403" t="s">
        <v>131</v>
      </c>
      <c r="O1403" t="s">
        <v>2934</v>
      </c>
      <c r="P1403">
        <v>8.5</v>
      </c>
      <c r="Q1403">
        <v>82</v>
      </c>
      <c r="R1403">
        <v>16.5</v>
      </c>
      <c r="S1403">
        <v>9.6</v>
      </c>
      <c r="T1403">
        <v>2025</v>
      </c>
      <c r="U1403">
        <v>5</v>
      </c>
      <c r="V1403">
        <v>0</v>
      </c>
      <c r="W1403" t="s">
        <v>36</v>
      </c>
      <c r="X1403" t="s">
        <v>37</v>
      </c>
      <c r="Y1403" t="s">
        <v>95</v>
      </c>
    </row>
    <row r="1404" spans="1:25" x14ac:dyDescent="0.35">
      <c r="A1404" t="s">
        <v>2935</v>
      </c>
      <c r="B1404" t="s">
        <v>168</v>
      </c>
      <c r="C1404" t="s">
        <v>169</v>
      </c>
      <c r="D1404" t="s">
        <v>68</v>
      </c>
      <c r="E1404">
        <v>11</v>
      </c>
      <c r="F1404" t="s">
        <v>51</v>
      </c>
      <c r="G1404">
        <v>261600</v>
      </c>
      <c r="H1404">
        <v>157000</v>
      </c>
      <c r="I1404">
        <v>218000</v>
      </c>
      <c r="J1404" t="s">
        <v>296</v>
      </c>
      <c r="K1404" t="s">
        <v>31</v>
      </c>
      <c r="L1404" t="s">
        <v>53</v>
      </c>
      <c r="M1404" t="s">
        <v>82</v>
      </c>
      <c r="N1404" t="s">
        <v>62</v>
      </c>
      <c r="O1404" t="s">
        <v>2936</v>
      </c>
      <c r="P1404">
        <v>7.2</v>
      </c>
      <c r="Q1404">
        <v>90</v>
      </c>
      <c r="R1404">
        <v>7.7</v>
      </c>
      <c r="S1404">
        <v>6.3</v>
      </c>
      <c r="T1404">
        <v>2025</v>
      </c>
      <c r="U1404">
        <v>7</v>
      </c>
      <c r="V1404">
        <v>1</v>
      </c>
      <c r="W1404" t="s">
        <v>47</v>
      </c>
      <c r="X1404" t="s">
        <v>64</v>
      </c>
      <c r="Y1404" t="s">
        <v>38</v>
      </c>
    </row>
    <row r="1405" spans="1:25" x14ac:dyDescent="0.35">
      <c r="A1405" t="s">
        <v>2937</v>
      </c>
      <c r="B1405" t="s">
        <v>134</v>
      </c>
      <c r="C1405" t="s">
        <v>27</v>
      </c>
      <c r="D1405" t="s">
        <v>81</v>
      </c>
      <c r="E1405">
        <v>8</v>
      </c>
      <c r="F1405" t="s">
        <v>51</v>
      </c>
      <c r="G1405">
        <v>150000</v>
      </c>
      <c r="H1405">
        <v>150000</v>
      </c>
      <c r="I1405">
        <v>295000</v>
      </c>
      <c r="J1405" t="s">
        <v>30</v>
      </c>
      <c r="K1405" t="s">
        <v>31</v>
      </c>
      <c r="L1405" t="s">
        <v>44</v>
      </c>
      <c r="M1405" t="s">
        <v>33</v>
      </c>
      <c r="N1405" t="s">
        <v>76</v>
      </c>
      <c r="O1405" t="s">
        <v>2938</v>
      </c>
      <c r="P1405">
        <v>11.9</v>
      </c>
      <c r="Q1405">
        <v>95</v>
      </c>
      <c r="R1405">
        <v>32.700000000000003</v>
      </c>
      <c r="S1405">
        <v>8</v>
      </c>
      <c r="T1405">
        <v>2026</v>
      </c>
      <c r="U1405">
        <v>3</v>
      </c>
      <c r="V1405">
        <v>0</v>
      </c>
      <c r="W1405" t="s">
        <v>47</v>
      </c>
      <c r="X1405" t="s">
        <v>37</v>
      </c>
      <c r="Y1405" t="s">
        <v>95</v>
      </c>
    </row>
    <row r="1406" spans="1:25" x14ac:dyDescent="0.35">
      <c r="A1406" t="s">
        <v>2939</v>
      </c>
      <c r="B1406" t="s">
        <v>179</v>
      </c>
      <c r="C1406" t="s">
        <v>180</v>
      </c>
      <c r="D1406" t="s">
        <v>74</v>
      </c>
      <c r="E1406">
        <v>9</v>
      </c>
      <c r="F1406" t="s">
        <v>51</v>
      </c>
      <c r="G1406">
        <v>110000</v>
      </c>
      <c r="H1406">
        <v>110000</v>
      </c>
      <c r="I1406">
        <v>210000</v>
      </c>
      <c r="J1406" t="s">
        <v>102</v>
      </c>
      <c r="K1406" t="s">
        <v>103</v>
      </c>
      <c r="L1406" t="s">
        <v>53</v>
      </c>
      <c r="M1406" t="s">
        <v>82</v>
      </c>
      <c r="N1406" t="s">
        <v>76</v>
      </c>
      <c r="O1406" t="s">
        <v>2940</v>
      </c>
      <c r="P1406">
        <v>13.4</v>
      </c>
      <c r="Q1406">
        <v>72</v>
      </c>
      <c r="R1406">
        <v>9</v>
      </c>
      <c r="S1406">
        <v>7.8</v>
      </c>
      <c r="T1406">
        <v>2026</v>
      </c>
      <c r="U1406">
        <v>1</v>
      </c>
      <c r="V1406">
        <v>0</v>
      </c>
      <c r="W1406" t="s">
        <v>47</v>
      </c>
      <c r="X1406" t="s">
        <v>64</v>
      </c>
      <c r="Y1406" t="s">
        <v>95</v>
      </c>
    </row>
    <row r="1407" spans="1:25" x14ac:dyDescent="0.35">
      <c r="A1407" t="s">
        <v>2941</v>
      </c>
      <c r="B1407" t="s">
        <v>179</v>
      </c>
      <c r="C1407" t="s">
        <v>180</v>
      </c>
      <c r="D1407" t="s">
        <v>81</v>
      </c>
      <c r="E1407">
        <v>12</v>
      </c>
      <c r="F1407" t="s">
        <v>41</v>
      </c>
      <c r="G1407">
        <v>170000</v>
      </c>
      <c r="H1407">
        <v>110000</v>
      </c>
      <c r="I1407">
        <v>210000</v>
      </c>
      <c r="J1407" t="s">
        <v>191</v>
      </c>
      <c r="K1407" t="s">
        <v>31</v>
      </c>
      <c r="L1407" t="s">
        <v>44</v>
      </c>
      <c r="M1407" t="s">
        <v>45</v>
      </c>
      <c r="N1407" t="s">
        <v>83</v>
      </c>
      <c r="O1407" t="s">
        <v>2942</v>
      </c>
      <c r="P1407">
        <v>8.1999999999999993</v>
      </c>
      <c r="Q1407">
        <v>72</v>
      </c>
      <c r="R1407">
        <v>17.899999999999999</v>
      </c>
      <c r="S1407">
        <v>8.8000000000000007</v>
      </c>
      <c r="T1407">
        <v>2026</v>
      </c>
      <c r="U1407">
        <v>1</v>
      </c>
      <c r="V1407">
        <v>0</v>
      </c>
      <c r="W1407" t="s">
        <v>47</v>
      </c>
      <c r="X1407" t="s">
        <v>64</v>
      </c>
      <c r="Y1407" t="s">
        <v>48</v>
      </c>
    </row>
    <row r="1408" spans="1:25" x14ac:dyDescent="0.35">
      <c r="A1408" t="s">
        <v>2943</v>
      </c>
      <c r="B1408" t="s">
        <v>163</v>
      </c>
      <c r="C1408" t="s">
        <v>164</v>
      </c>
      <c r="D1408" t="s">
        <v>68</v>
      </c>
      <c r="E1408">
        <v>8</v>
      </c>
      <c r="F1408" t="s">
        <v>51</v>
      </c>
      <c r="G1408">
        <v>154000</v>
      </c>
      <c r="H1408">
        <v>125000</v>
      </c>
      <c r="I1408">
        <v>240000</v>
      </c>
      <c r="J1408" t="s">
        <v>42</v>
      </c>
      <c r="K1408" t="s">
        <v>43</v>
      </c>
      <c r="L1408" t="s">
        <v>44</v>
      </c>
      <c r="M1408" t="s">
        <v>33</v>
      </c>
      <c r="N1408" t="s">
        <v>71</v>
      </c>
      <c r="O1408" t="s">
        <v>2944</v>
      </c>
      <c r="P1408">
        <v>16.899999999999999</v>
      </c>
      <c r="Q1408">
        <v>76</v>
      </c>
      <c r="R1408">
        <v>11.5</v>
      </c>
      <c r="S1408">
        <v>7.8</v>
      </c>
      <c r="T1408">
        <v>2026</v>
      </c>
      <c r="U1408">
        <v>2</v>
      </c>
      <c r="V1408">
        <v>1</v>
      </c>
      <c r="W1408" t="s">
        <v>47</v>
      </c>
      <c r="X1408" t="s">
        <v>64</v>
      </c>
      <c r="Y1408" t="s">
        <v>48</v>
      </c>
    </row>
    <row r="1409" spans="1:25" x14ac:dyDescent="0.35">
      <c r="A1409" t="s">
        <v>2945</v>
      </c>
      <c r="B1409" t="s">
        <v>50</v>
      </c>
      <c r="C1409" t="s">
        <v>27</v>
      </c>
      <c r="D1409" t="s">
        <v>68</v>
      </c>
      <c r="E1409">
        <v>8</v>
      </c>
      <c r="F1409" t="s">
        <v>69</v>
      </c>
      <c r="G1409">
        <v>334000</v>
      </c>
      <c r="H1409">
        <v>160000</v>
      </c>
      <c r="I1409">
        <v>300000</v>
      </c>
      <c r="J1409" t="s">
        <v>117</v>
      </c>
      <c r="K1409" t="s">
        <v>118</v>
      </c>
      <c r="L1409" t="s">
        <v>44</v>
      </c>
      <c r="M1409" t="s">
        <v>54</v>
      </c>
      <c r="N1409" t="s">
        <v>83</v>
      </c>
      <c r="O1409" t="s">
        <v>2946</v>
      </c>
      <c r="P1409">
        <v>8.6</v>
      </c>
      <c r="Q1409">
        <v>98</v>
      </c>
      <c r="R1409">
        <v>74.900000000000006</v>
      </c>
      <c r="S1409">
        <v>6.8</v>
      </c>
      <c r="T1409">
        <v>2025</v>
      </c>
      <c r="U1409">
        <v>2</v>
      </c>
      <c r="V1409">
        <v>1</v>
      </c>
      <c r="W1409" t="s">
        <v>47</v>
      </c>
      <c r="X1409" t="s">
        <v>37</v>
      </c>
      <c r="Y1409" t="s">
        <v>56</v>
      </c>
    </row>
    <row r="1410" spans="1:25" x14ac:dyDescent="0.35">
      <c r="A1410" t="s">
        <v>2947</v>
      </c>
      <c r="B1410" t="s">
        <v>79</v>
      </c>
      <c r="C1410" t="s">
        <v>80</v>
      </c>
      <c r="D1410" t="s">
        <v>81</v>
      </c>
      <c r="E1410">
        <v>3</v>
      </c>
      <c r="F1410" t="s">
        <v>51</v>
      </c>
      <c r="G1410">
        <v>219000</v>
      </c>
      <c r="H1410">
        <v>140000</v>
      </c>
      <c r="I1410">
        <v>260000</v>
      </c>
      <c r="J1410" t="s">
        <v>296</v>
      </c>
      <c r="K1410" t="s">
        <v>31</v>
      </c>
      <c r="L1410" t="s">
        <v>53</v>
      </c>
      <c r="M1410" t="s">
        <v>45</v>
      </c>
      <c r="N1410" t="s">
        <v>88</v>
      </c>
      <c r="O1410" t="s">
        <v>2948</v>
      </c>
      <c r="P1410">
        <v>12.8</v>
      </c>
      <c r="Q1410">
        <v>80</v>
      </c>
      <c r="R1410">
        <v>11</v>
      </c>
      <c r="S1410">
        <v>8.6</v>
      </c>
      <c r="T1410">
        <v>2025</v>
      </c>
      <c r="U1410">
        <v>8</v>
      </c>
      <c r="V1410">
        <v>0</v>
      </c>
      <c r="W1410" t="s">
        <v>47</v>
      </c>
      <c r="X1410" t="s">
        <v>64</v>
      </c>
      <c r="Y1410" t="s">
        <v>38</v>
      </c>
    </row>
    <row r="1411" spans="1:25" x14ac:dyDescent="0.35">
      <c r="A1411" t="s">
        <v>2949</v>
      </c>
      <c r="B1411" t="s">
        <v>185</v>
      </c>
      <c r="C1411" t="s">
        <v>186</v>
      </c>
      <c r="D1411" t="s">
        <v>74</v>
      </c>
      <c r="E1411">
        <v>9</v>
      </c>
      <c r="F1411" t="s">
        <v>51</v>
      </c>
      <c r="G1411">
        <v>140000</v>
      </c>
      <c r="H1411">
        <v>140000</v>
      </c>
      <c r="I1411">
        <v>270000</v>
      </c>
      <c r="J1411" t="s">
        <v>102</v>
      </c>
      <c r="K1411" t="s">
        <v>103</v>
      </c>
      <c r="L1411" t="s">
        <v>44</v>
      </c>
      <c r="M1411" t="s">
        <v>45</v>
      </c>
      <c r="N1411" t="s">
        <v>131</v>
      </c>
      <c r="O1411" t="s">
        <v>2950</v>
      </c>
      <c r="P1411">
        <v>8.6</v>
      </c>
      <c r="Q1411">
        <v>85</v>
      </c>
      <c r="R1411">
        <v>28.8</v>
      </c>
      <c r="S1411">
        <v>9.6</v>
      </c>
      <c r="T1411">
        <v>2025</v>
      </c>
      <c r="U1411">
        <v>6</v>
      </c>
      <c r="V1411">
        <v>0</v>
      </c>
      <c r="W1411" t="s">
        <v>47</v>
      </c>
      <c r="X1411" t="s">
        <v>64</v>
      </c>
      <c r="Y1411" t="s">
        <v>95</v>
      </c>
    </row>
    <row r="1412" spans="1:25" x14ac:dyDescent="0.35">
      <c r="A1412" t="s">
        <v>2951</v>
      </c>
      <c r="B1412" t="s">
        <v>196</v>
      </c>
      <c r="C1412" t="s">
        <v>27</v>
      </c>
      <c r="D1412" t="s">
        <v>28</v>
      </c>
      <c r="E1412">
        <v>6</v>
      </c>
      <c r="F1412" t="s">
        <v>51</v>
      </c>
      <c r="G1412">
        <v>224000</v>
      </c>
      <c r="H1412">
        <v>100000</v>
      </c>
      <c r="I1412">
        <v>250000</v>
      </c>
      <c r="J1412" t="s">
        <v>296</v>
      </c>
      <c r="K1412" t="s">
        <v>31</v>
      </c>
      <c r="L1412" t="s">
        <v>44</v>
      </c>
      <c r="M1412" t="s">
        <v>82</v>
      </c>
      <c r="N1412" t="s">
        <v>131</v>
      </c>
      <c r="O1412" t="s">
        <v>2952</v>
      </c>
      <c r="P1412">
        <v>9</v>
      </c>
      <c r="Q1412">
        <v>95</v>
      </c>
      <c r="R1412">
        <v>30.7</v>
      </c>
      <c r="S1412">
        <v>6.8</v>
      </c>
      <c r="T1412">
        <v>2026</v>
      </c>
      <c r="U1412">
        <v>2</v>
      </c>
      <c r="V1412">
        <v>1</v>
      </c>
      <c r="W1412" t="s">
        <v>47</v>
      </c>
      <c r="X1412" t="s">
        <v>64</v>
      </c>
      <c r="Y1412" t="s">
        <v>38</v>
      </c>
    </row>
    <row r="1413" spans="1:25" x14ac:dyDescent="0.35">
      <c r="A1413" t="s">
        <v>2953</v>
      </c>
      <c r="B1413" t="s">
        <v>91</v>
      </c>
      <c r="C1413" t="s">
        <v>27</v>
      </c>
      <c r="D1413" t="s">
        <v>74</v>
      </c>
      <c r="E1413">
        <v>4</v>
      </c>
      <c r="F1413" t="s">
        <v>41</v>
      </c>
      <c r="G1413">
        <v>145000</v>
      </c>
      <c r="H1413">
        <v>145000</v>
      </c>
      <c r="I1413">
        <v>290000</v>
      </c>
      <c r="J1413" t="s">
        <v>117</v>
      </c>
      <c r="K1413" t="s">
        <v>118</v>
      </c>
      <c r="L1413" t="s">
        <v>53</v>
      </c>
      <c r="M1413" t="s">
        <v>61</v>
      </c>
      <c r="N1413" t="s">
        <v>124</v>
      </c>
      <c r="O1413" t="s">
        <v>2954</v>
      </c>
      <c r="P1413">
        <v>4.9000000000000004</v>
      </c>
      <c r="Q1413">
        <v>91</v>
      </c>
      <c r="R1413">
        <v>47</v>
      </c>
      <c r="S1413">
        <v>8.1999999999999993</v>
      </c>
      <c r="T1413">
        <v>2026</v>
      </c>
      <c r="U1413">
        <v>2</v>
      </c>
      <c r="V1413">
        <v>0</v>
      </c>
      <c r="W1413" t="s">
        <v>47</v>
      </c>
      <c r="X1413" t="s">
        <v>64</v>
      </c>
      <c r="Y1413" t="s">
        <v>95</v>
      </c>
    </row>
    <row r="1414" spans="1:25" x14ac:dyDescent="0.35">
      <c r="A1414" t="s">
        <v>2955</v>
      </c>
      <c r="B1414" t="s">
        <v>66</v>
      </c>
      <c r="C1414" t="s">
        <v>67</v>
      </c>
      <c r="D1414" t="s">
        <v>68</v>
      </c>
      <c r="E1414">
        <v>7</v>
      </c>
      <c r="F1414" t="s">
        <v>29</v>
      </c>
      <c r="G1414">
        <v>254000</v>
      </c>
      <c r="H1414">
        <v>140000</v>
      </c>
      <c r="I1414">
        <v>260000</v>
      </c>
      <c r="J1414" t="s">
        <v>142</v>
      </c>
      <c r="K1414" t="s">
        <v>143</v>
      </c>
      <c r="L1414" t="s">
        <v>44</v>
      </c>
      <c r="M1414" t="s">
        <v>45</v>
      </c>
      <c r="N1414" t="s">
        <v>131</v>
      </c>
      <c r="O1414" t="s">
        <v>2956</v>
      </c>
      <c r="P1414">
        <v>11.3</v>
      </c>
      <c r="Q1414">
        <v>85</v>
      </c>
      <c r="R1414">
        <v>15.1</v>
      </c>
      <c r="S1414">
        <v>6</v>
      </c>
      <c r="T1414">
        <v>2025</v>
      </c>
      <c r="U1414">
        <v>1</v>
      </c>
      <c r="V1414">
        <v>1</v>
      </c>
      <c r="W1414" t="s">
        <v>47</v>
      </c>
      <c r="X1414" t="s">
        <v>64</v>
      </c>
      <c r="Y1414" t="s">
        <v>38</v>
      </c>
    </row>
    <row r="1415" spans="1:25" x14ac:dyDescent="0.35">
      <c r="A1415" t="s">
        <v>2957</v>
      </c>
      <c r="B1415" t="s">
        <v>168</v>
      </c>
      <c r="C1415" t="s">
        <v>169</v>
      </c>
      <c r="D1415" t="s">
        <v>74</v>
      </c>
      <c r="E1415">
        <v>12</v>
      </c>
      <c r="F1415" t="s">
        <v>128</v>
      </c>
      <c r="G1415">
        <v>157000</v>
      </c>
      <c r="H1415">
        <v>157000</v>
      </c>
      <c r="I1415">
        <v>218000</v>
      </c>
      <c r="J1415" t="s">
        <v>42</v>
      </c>
      <c r="K1415" t="s">
        <v>43</v>
      </c>
      <c r="L1415" t="s">
        <v>32</v>
      </c>
      <c r="M1415" t="s">
        <v>82</v>
      </c>
      <c r="N1415" t="s">
        <v>119</v>
      </c>
      <c r="O1415" t="s">
        <v>2958</v>
      </c>
      <c r="P1415">
        <v>9</v>
      </c>
      <c r="Q1415">
        <v>90</v>
      </c>
      <c r="R1415">
        <v>27.1</v>
      </c>
      <c r="S1415">
        <v>6</v>
      </c>
      <c r="T1415">
        <v>2025</v>
      </c>
      <c r="U1415">
        <v>7</v>
      </c>
      <c r="V1415">
        <v>0</v>
      </c>
      <c r="W1415" t="s">
        <v>36</v>
      </c>
      <c r="X1415" t="s">
        <v>64</v>
      </c>
      <c r="Y1415" t="s">
        <v>48</v>
      </c>
    </row>
    <row r="1416" spans="1:25" x14ac:dyDescent="0.35">
      <c r="A1416" t="s">
        <v>2959</v>
      </c>
      <c r="B1416" t="s">
        <v>40</v>
      </c>
      <c r="C1416" t="s">
        <v>27</v>
      </c>
      <c r="D1416" t="s">
        <v>74</v>
      </c>
      <c r="E1416">
        <v>2</v>
      </c>
      <c r="F1416" t="s">
        <v>29</v>
      </c>
      <c r="G1416">
        <v>166000</v>
      </c>
      <c r="H1416">
        <v>90000</v>
      </c>
      <c r="I1416">
        <v>200000</v>
      </c>
      <c r="J1416" t="s">
        <v>296</v>
      </c>
      <c r="K1416" t="s">
        <v>31</v>
      </c>
      <c r="L1416" t="s">
        <v>32</v>
      </c>
      <c r="M1416" t="s">
        <v>54</v>
      </c>
      <c r="N1416" t="s">
        <v>76</v>
      </c>
      <c r="O1416" t="s">
        <v>2960</v>
      </c>
      <c r="P1416">
        <v>4</v>
      </c>
      <c r="Q1416">
        <v>82</v>
      </c>
      <c r="R1416">
        <v>14.8</v>
      </c>
      <c r="S1416">
        <v>7.2</v>
      </c>
      <c r="T1416">
        <v>2026</v>
      </c>
      <c r="U1416">
        <v>2</v>
      </c>
      <c r="V1416">
        <v>0</v>
      </c>
      <c r="W1416" t="s">
        <v>36</v>
      </c>
      <c r="X1416" t="s">
        <v>37</v>
      </c>
      <c r="Y1416" t="s">
        <v>48</v>
      </c>
    </row>
    <row r="1417" spans="1:25" x14ac:dyDescent="0.35">
      <c r="A1417" t="s">
        <v>2961</v>
      </c>
      <c r="B1417" t="s">
        <v>149</v>
      </c>
      <c r="C1417" t="s">
        <v>150</v>
      </c>
      <c r="D1417" t="s">
        <v>74</v>
      </c>
      <c r="E1417">
        <v>5</v>
      </c>
      <c r="F1417" t="s">
        <v>29</v>
      </c>
      <c r="G1417">
        <v>130000</v>
      </c>
      <c r="H1417">
        <v>130000</v>
      </c>
      <c r="I1417">
        <v>260000</v>
      </c>
      <c r="J1417" t="s">
        <v>129</v>
      </c>
      <c r="K1417" t="s">
        <v>130</v>
      </c>
      <c r="L1417" t="s">
        <v>44</v>
      </c>
      <c r="M1417" t="s">
        <v>61</v>
      </c>
      <c r="N1417" t="s">
        <v>34</v>
      </c>
      <c r="O1417" t="s">
        <v>2962</v>
      </c>
      <c r="P1417">
        <v>8.4</v>
      </c>
      <c r="Q1417">
        <v>93</v>
      </c>
      <c r="R1417">
        <v>83.8</v>
      </c>
      <c r="S1417">
        <v>9.1999999999999993</v>
      </c>
      <c r="T1417">
        <v>2026</v>
      </c>
      <c r="U1417">
        <v>3</v>
      </c>
      <c r="V1417">
        <v>0</v>
      </c>
      <c r="W1417" t="s">
        <v>47</v>
      </c>
      <c r="X1417" t="s">
        <v>64</v>
      </c>
      <c r="Y1417" t="s">
        <v>95</v>
      </c>
    </row>
    <row r="1418" spans="1:25" x14ac:dyDescent="0.35">
      <c r="A1418" t="s">
        <v>2963</v>
      </c>
      <c r="B1418" t="s">
        <v>127</v>
      </c>
      <c r="C1418" t="s">
        <v>27</v>
      </c>
      <c r="D1418" t="s">
        <v>68</v>
      </c>
      <c r="E1418">
        <v>7</v>
      </c>
      <c r="F1418" t="s">
        <v>51</v>
      </c>
      <c r="G1418">
        <v>298000</v>
      </c>
      <c r="H1418">
        <v>120000</v>
      </c>
      <c r="I1418">
        <v>280000</v>
      </c>
      <c r="J1418" t="s">
        <v>191</v>
      </c>
      <c r="K1418" t="s">
        <v>31</v>
      </c>
      <c r="L1418" t="s">
        <v>32</v>
      </c>
      <c r="M1418" t="s">
        <v>45</v>
      </c>
      <c r="N1418" t="s">
        <v>34</v>
      </c>
      <c r="O1418" t="s">
        <v>2964</v>
      </c>
      <c r="P1418">
        <v>12.5</v>
      </c>
      <c r="Q1418">
        <v>97</v>
      </c>
      <c r="R1418">
        <v>72.099999999999994</v>
      </c>
      <c r="S1418">
        <v>6.4</v>
      </c>
      <c r="T1418">
        <v>2026</v>
      </c>
      <c r="U1418">
        <v>3</v>
      </c>
      <c r="V1418">
        <v>1</v>
      </c>
      <c r="W1418" t="s">
        <v>36</v>
      </c>
      <c r="X1418" t="s">
        <v>64</v>
      </c>
      <c r="Y1418" t="s">
        <v>38</v>
      </c>
    </row>
    <row r="1419" spans="1:25" x14ac:dyDescent="0.35">
      <c r="A1419" t="s">
        <v>2965</v>
      </c>
      <c r="B1419" t="s">
        <v>203</v>
      </c>
      <c r="C1419" t="s">
        <v>169</v>
      </c>
      <c r="D1419" t="s">
        <v>81</v>
      </c>
      <c r="E1419">
        <v>5</v>
      </c>
      <c r="F1419" t="s">
        <v>128</v>
      </c>
      <c r="G1419">
        <v>234000</v>
      </c>
      <c r="H1419">
        <v>138000</v>
      </c>
      <c r="I1419">
        <v>195000</v>
      </c>
      <c r="J1419" t="s">
        <v>30</v>
      </c>
      <c r="K1419" t="s">
        <v>31</v>
      </c>
      <c r="L1419" t="s">
        <v>32</v>
      </c>
      <c r="M1419" t="s">
        <v>54</v>
      </c>
      <c r="N1419" t="s">
        <v>62</v>
      </c>
      <c r="O1419" t="s">
        <v>2966</v>
      </c>
      <c r="P1419">
        <v>3.5</v>
      </c>
      <c r="Q1419">
        <v>92</v>
      </c>
      <c r="R1419">
        <v>21.8</v>
      </c>
      <c r="S1419">
        <v>8.9</v>
      </c>
      <c r="T1419">
        <v>2026</v>
      </c>
      <c r="U1419">
        <v>1</v>
      </c>
      <c r="V1419">
        <v>0</v>
      </c>
      <c r="W1419" t="s">
        <v>36</v>
      </c>
      <c r="X1419" t="s">
        <v>64</v>
      </c>
      <c r="Y1419" t="s">
        <v>38</v>
      </c>
    </row>
    <row r="1420" spans="1:25" x14ac:dyDescent="0.35">
      <c r="A1420" t="s">
        <v>2967</v>
      </c>
      <c r="B1420" t="s">
        <v>163</v>
      </c>
      <c r="C1420" t="s">
        <v>164</v>
      </c>
      <c r="D1420" t="s">
        <v>74</v>
      </c>
      <c r="E1420">
        <v>6</v>
      </c>
      <c r="F1420" t="s">
        <v>128</v>
      </c>
      <c r="G1420">
        <v>175000</v>
      </c>
      <c r="H1420">
        <v>125000</v>
      </c>
      <c r="I1420">
        <v>240000</v>
      </c>
      <c r="J1420" t="s">
        <v>30</v>
      </c>
      <c r="K1420" t="s">
        <v>31</v>
      </c>
      <c r="L1420" t="s">
        <v>32</v>
      </c>
      <c r="M1420" t="s">
        <v>82</v>
      </c>
      <c r="N1420" t="s">
        <v>88</v>
      </c>
      <c r="O1420" t="s">
        <v>2968</v>
      </c>
      <c r="P1420">
        <v>11.6</v>
      </c>
      <c r="Q1420">
        <v>76</v>
      </c>
      <c r="R1420">
        <v>5</v>
      </c>
      <c r="S1420">
        <v>8.8000000000000007</v>
      </c>
      <c r="T1420">
        <v>2026</v>
      </c>
      <c r="U1420">
        <v>2</v>
      </c>
      <c r="V1420">
        <v>0</v>
      </c>
      <c r="W1420" t="s">
        <v>36</v>
      </c>
      <c r="X1420" t="s">
        <v>64</v>
      </c>
      <c r="Y1420" t="s">
        <v>48</v>
      </c>
    </row>
    <row r="1421" spans="1:25" x14ac:dyDescent="0.35">
      <c r="A1421" t="s">
        <v>2969</v>
      </c>
      <c r="B1421" t="s">
        <v>100</v>
      </c>
      <c r="C1421" t="s">
        <v>101</v>
      </c>
      <c r="D1421" t="s">
        <v>68</v>
      </c>
      <c r="E1421">
        <v>6</v>
      </c>
      <c r="F1421" t="s">
        <v>51</v>
      </c>
      <c r="G1421">
        <v>309000</v>
      </c>
      <c r="H1421">
        <v>180000</v>
      </c>
      <c r="I1421">
        <v>320000</v>
      </c>
      <c r="J1421" t="s">
        <v>30</v>
      </c>
      <c r="K1421" t="s">
        <v>31</v>
      </c>
      <c r="L1421" t="s">
        <v>53</v>
      </c>
      <c r="M1421" t="s">
        <v>82</v>
      </c>
      <c r="N1421" t="s">
        <v>131</v>
      </c>
      <c r="O1421" t="s">
        <v>2970</v>
      </c>
      <c r="P1421">
        <v>9.5</v>
      </c>
      <c r="Q1421">
        <v>84</v>
      </c>
      <c r="R1421">
        <v>13.2</v>
      </c>
      <c r="S1421">
        <v>9.6999999999999993</v>
      </c>
      <c r="T1421">
        <v>2026</v>
      </c>
      <c r="U1421">
        <v>1</v>
      </c>
      <c r="V1421">
        <v>1</v>
      </c>
      <c r="W1421" t="s">
        <v>47</v>
      </c>
      <c r="X1421" t="s">
        <v>64</v>
      </c>
      <c r="Y1421" t="s">
        <v>56</v>
      </c>
    </row>
    <row r="1422" spans="1:25" x14ac:dyDescent="0.35">
      <c r="A1422" t="s">
        <v>2971</v>
      </c>
      <c r="B1422" t="s">
        <v>100</v>
      </c>
      <c r="C1422" t="s">
        <v>101</v>
      </c>
      <c r="D1422" t="s">
        <v>81</v>
      </c>
      <c r="E1422">
        <v>13</v>
      </c>
      <c r="F1422" t="s">
        <v>29</v>
      </c>
      <c r="G1422">
        <v>180000</v>
      </c>
      <c r="H1422">
        <v>180000</v>
      </c>
      <c r="I1422">
        <v>320000</v>
      </c>
      <c r="J1422" t="s">
        <v>142</v>
      </c>
      <c r="K1422" t="s">
        <v>143</v>
      </c>
      <c r="L1422" t="s">
        <v>53</v>
      </c>
      <c r="M1422" t="s">
        <v>33</v>
      </c>
      <c r="N1422" t="s">
        <v>34</v>
      </c>
      <c r="O1422" t="s">
        <v>2972</v>
      </c>
      <c r="P1422">
        <v>11.9</v>
      </c>
      <c r="Q1422">
        <v>84</v>
      </c>
      <c r="R1422">
        <v>29.2</v>
      </c>
      <c r="S1422">
        <v>8.3000000000000007</v>
      </c>
      <c r="T1422">
        <v>2025</v>
      </c>
      <c r="U1422">
        <v>11</v>
      </c>
      <c r="V1422">
        <v>0</v>
      </c>
      <c r="W1422" t="s">
        <v>47</v>
      </c>
      <c r="X1422" t="s">
        <v>64</v>
      </c>
      <c r="Y1422" t="s">
        <v>48</v>
      </c>
    </row>
    <row r="1423" spans="1:25" x14ac:dyDescent="0.35">
      <c r="A1423" t="s">
        <v>2973</v>
      </c>
      <c r="B1423" t="s">
        <v>50</v>
      </c>
      <c r="C1423" t="s">
        <v>27</v>
      </c>
      <c r="D1423" t="s">
        <v>74</v>
      </c>
      <c r="E1423">
        <v>3</v>
      </c>
      <c r="F1423" t="s">
        <v>69</v>
      </c>
      <c r="G1423">
        <v>160000</v>
      </c>
      <c r="H1423">
        <v>160000</v>
      </c>
      <c r="I1423">
        <v>300000</v>
      </c>
      <c r="J1423" t="s">
        <v>129</v>
      </c>
      <c r="K1423" t="s">
        <v>130</v>
      </c>
      <c r="L1423" t="s">
        <v>44</v>
      </c>
      <c r="M1423" t="s">
        <v>33</v>
      </c>
      <c r="N1423" t="s">
        <v>34</v>
      </c>
      <c r="O1423" t="s">
        <v>2974</v>
      </c>
      <c r="P1423">
        <v>3.3</v>
      </c>
      <c r="Q1423">
        <v>98</v>
      </c>
      <c r="R1423">
        <v>17</v>
      </c>
      <c r="S1423">
        <v>8</v>
      </c>
      <c r="T1423">
        <v>2026</v>
      </c>
      <c r="U1423">
        <v>2</v>
      </c>
      <c r="V1423">
        <v>0</v>
      </c>
      <c r="W1423" t="s">
        <v>47</v>
      </c>
      <c r="X1423" t="s">
        <v>37</v>
      </c>
      <c r="Y1423" t="s">
        <v>48</v>
      </c>
    </row>
    <row r="1424" spans="1:25" x14ac:dyDescent="0.35">
      <c r="A1424" t="s">
        <v>2975</v>
      </c>
      <c r="B1424" t="s">
        <v>149</v>
      </c>
      <c r="C1424" t="s">
        <v>150</v>
      </c>
      <c r="D1424" t="s">
        <v>81</v>
      </c>
      <c r="E1424">
        <v>3</v>
      </c>
      <c r="F1424" t="s">
        <v>128</v>
      </c>
      <c r="G1424">
        <v>130000</v>
      </c>
      <c r="H1424">
        <v>130000</v>
      </c>
      <c r="I1424">
        <v>260000</v>
      </c>
      <c r="J1424" t="s">
        <v>122</v>
      </c>
      <c r="K1424" t="s">
        <v>123</v>
      </c>
      <c r="L1424" t="s">
        <v>44</v>
      </c>
      <c r="M1424" t="s">
        <v>33</v>
      </c>
      <c r="N1424" t="s">
        <v>155</v>
      </c>
      <c r="O1424" t="s">
        <v>2976</v>
      </c>
      <c r="P1424">
        <v>14.4</v>
      </c>
      <c r="Q1424">
        <v>93</v>
      </c>
      <c r="R1424">
        <v>57.6</v>
      </c>
      <c r="S1424">
        <v>8</v>
      </c>
      <c r="T1424">
        <v>2025</v>
      </c>
      <c r="U1424">
        <v>5</v>
      </c>
      <c r="V1424">
        <v>0</v>
      </c>
      <c r="W1424" t="s">
        <v>47</v>
      </c>
      <c r="X1424" t="s">
        <v>64</v>
      </c>
      <c r="Y1424" t="s">
        <v>95</v>
      </c>
    </row>
    <row r="1425" spans="1:25" x14ac:dyDescent="0.35">
      <c r="A1425" t="s">
        <v>2977</v>
      </c>
      <c r="B1425" t="s">
        <v>79</v>
      </c>
      <c r="C1425" t="s">
        <v>80</v>
      </c>
      <c r="D1425" t="s">
        <v>74</v>
      </c>
      <c r="E1425">
        <v>4</v>
      </c>
      <c r="F1425" t="s">
        <v>29</v>
      </c>
      <c r="G1425">
        <v>178000</v>
      </c>
      <c r="H1425">
        <v>140000</v>
      </c>
      <c r="I1425">
        <v>260000</v>
      </c>
      <c r="J1425" t="s">
        <v>52</v>
      </c>
      <c r="K1425" t="s">
        <v>31</v>
      </c>
      <c r="L1425" t="s">
        <v>44</v>
      </c>
      <c r="M1425" t="s">
        <v>45</v>
      </c>
      <c r="N1425" t="s">
        <v>88</v>
      </c>
      <c r="O1425" t="s">
        <v>2978</v>
      </c>
      <c r="P1425">
        <v>17.600000000000001</v>
      </c>
      <c r="Q1425">
        <v>80</v>
      </c>
      <c r="R1425">
        <v>26.5</v>
      </c>
      <c r="S1425">
        <v>8.5</v>
      </c>
      <c r="T1425">
        <v>2025</v>
      </c>
      <c r="U1425">
        <v>5</v>
      </c>
      <c r="V1425">
        <v>0</v>
      </c>
      <c r="W1425" t="s">
        <v>47</v>
      </c>
      <c r="X1425" t="s">
        <v>64</v>
      </c>
      <c r="Y1425" t="s">
        <v>48</v>
      </c>
    </row>
    <row r="1426" spans="1:25" x14ac:dyDescent="0.35">
      <c r="A1426" t="s">
        <v>2979</v>
      </c>
      <c r="B1426" t="s">
        <v>158</v>
      </c>
      <c r="C1426" t="s">
        <v>27</v>
      </c>
      <c r="D1426" t="s">
        <v>74</v>
      </c>
      <c r="E1426">
        <v>2</v>
      </c>
      <c r="F1426" t="s">
        <v>69</v>
      </c>
      <c r="G1426">
        <v>145000</v>
      </c>
      <c r="H1426">
        <v>145000</v>
      </c>
      <c r="I1426">
        <v>280000</v>
      </c>
      <c r="J1426" t="s">
        <v>70</v>
      </c>
      <c r="K1426" t="s">
        <v>31</v>
      </c>
      <c r="L1426" t="s">
        <v>44</v>
      </c>
      <c r="M1426" t="s">
        <v>61</v>
      </c>
      <c r="N1426" t="s">
        <v>110</v>
      </c>
      <c r="O1426" t="s">
        <v>2980</v>
      </c>
      <c r="P1426">
        <v>4.2</v>
      </c>
      <c r="Q1426">
        <v>94</v>
      </c>
      <c r="R1426">
        <v>21.8</v>
      </c>
      <c r="S1426">
        <v>7.1</v>
      </c>
      <c r="T1426">
        <v>2025</v>
      </c>
      <c r="U1426">
        <v>6</v>
      </c>
      <c r="V1426">
        <v>0</v>
      </c>
      <c r="W1426" t="s">
        <v>47</v>
      </c>
      <c r="X1426" t="s">
        <v>37</v>
      </c>
      <c r="Y1426" t="s">
        <v>95</v>
      </c>
    </row>
    <row r="1427" spans="1:25" x14ac:dyDescent="0.35">
      <c r="A1427" t="s">
        <v>2981</v>
      </c>
      <c r="B1427" t="s">
        <v>66</v>
      </c>
      <c r="C1427" t="s">
        <v>67</v>
      </c>
      <c r="D1427" t="s">
        <v>68</v>
      </c>
      <c r="E1427">
        <v>5</v>
      </c>
      <c r="F1427" t="s">
        <v>128</v>
      </c>
      <c r="G1427">
        <v>140000</v>
      </c>
      <c r="H1427">
        <v>140000</v>
      </c>
      <c r="I1427">
        <v>260000</v>
      </c>
      <c r="J1427" t="s">
        <v>92</v>
      </c>
      <c r="K1427" t="s">
        <v>93</v>
      </c>
      <c r="L1427" t="s">
        <v>53</v>
      </c>
      <c r="M1427" t="s">
        <v>45</v>
      </c>
      <c r="N1427" t="s">
        <v>165</v>
      </c>
      <c r="O1427" t="s">
        <v>2982</v>
      </c>
      <c r="P1427">
        <v>12.8</v>
      </c>
      <c r="Q1427">
        <v>85</v>
      </c>
      <c r="R1427">
        <v>22</v>
      </c>
      <c r="S1427">
        <v>9.1</v>
      </c>
      <c r="T1427">
        <v>2026</v>
      </c>
      <c r="U1427">
        <v>2</v>
      </c>
      <c r="V1427">
        <v>1</v>
      </c>
      <c r="W1427" t="s">
        <v>47</v>
      </c>
      <c r="X1427" t="s">
        <v>64</v>
      </c>
      <c r="Y1427" t="s">
        <v>95</v>
      </c>
    </row>
    <row r="1428" spans="1:25" x14ac:dyDescent="0.35">
      <c r="A1428" t="s">
        <v>2983</v>
      </c>
      <c r="B1428" t="s">
        <v>91</v>
      </c>
      <c r="C1428" t="s">
        <v>27</v>
      </c>
      <c r="D1428" t="s">
        <v>28</v>
      </c>
      <c r="E1428">
        <v>5</v>
      </c>
      <c r="F1428" t="s">
        <v>51</v>
      </c>
      <c r="G1428">
        <v>255000</v>
      </c>
      <c r="H1428">
        <v>145000</v>
      </c>
      <c r="I1428">
        <v>290000</v>
      </c>
      <c r="J1428" t="s">
        <v>174</v>
      </c>
      <c r="K1428" t="s">
        <v>31</v>
      </c>
      <c r="L1428" t="s">
        <v>32</v>
      </c>
      <c r="M1428" t="s">
        <v>33</v>
      </c>
      <c r="N1428" t="s">
        <v>71</v>
      </c>
      <c r="O1428" t="s">
        <v>2984</v>
      </c>
      <c r="P1428">
        <v>6.2</v>
      </c>
      <c r="Q1428">
        <v>91</v>
      </c>
      <c r="R1428">
        <v>85.2</v>
      </c>
      <c r="S1428">
        <v>9.3000000000000007</v>
      </c>
      <c r="T1428">
        <v>2026</v>
      </c>
      <c r="U1428">
        <v>3</v>
      </c>
      <c r="V1428">
        <v>1</v>
      </c>
      <c r="W1428" t="s">
        <v>36</v>
      </c>
      <c r="X1428" t="s">
        <v>64</v>
      </c>
      <c r="Y1428" t="s">
        <v>38</v>
      </c>
    </row>
    <row r="1429" spans="1:25" x14ac:dyDescent="0.35">
      <c r="A1429" t="s">
        <v>2985</v>
      </c>
      <c r="B1429" t="s">
        <v>168</v>
      </c>
      <c r="C1429" t="s">
        <v>169</v>
      </c>
      <c r="D1429" t="s">
        <v>68</v>
      </c>
      <c r="E1429">
        <v>8</v>
      </c>
      <c r="F1429" t="s">
        <v>29</v>
      </c>
      <c r="G1429">
        <v>261600</v>
      </c>
      <c r="H1429">
        <v>157000</v>
      </c>
      <c r="I1429">
        <v>218000</v>
      </c>
      <c r="J1429" t="s">
        <v>142</v>
      </c>
      <c r="K1429" t="s">
        <v>143</v>
      </c>
      <c r="L1429" t="s">
        <v>44</v>
      </c>
      <c r="M1429" t="s">
        <v>54</v>
      </c>
      <c r="N1429" t="s">
        <v>155</v>
      </c>
      <c r="O1429" t="s">
        <v>2986</v>
      </c>
      <c r="P1429">
        <v>3.6</v>
      </c>
      <c r="Q1429">
        <v>90</v>
      </c>
      <c r="R1429">
        <v>22.5</v>
      </c>
      <c r="S1429">
        <v>9.8000000000000007</v>
      </c>
      <c r="T1429">
        <v>2026</v>
      </c>
      <c r="U1429">
        <v>2</v>
      </c>
      <c r="V1429">
        <v>1</v>
      </c>
      <c r="W1429" t="s">
        <v>47</v>
      </c>
      <c r="X1429" t="s">
        <v>64</v>
      </c>
      <c r="Y1429" t="s">
        <v>38</v>
      </c>
    </row>
    <row r="1430" spans="1:25" x14ac:dyDescent="0.35">
      <c r="A1430" t="s">
        <v>2987</v>
      </c>
      <c r="B1430" t="s">
        <v>153</v>
      </c>
      <c r="C1430" t="s">
        <v>154</v>
      </c>
      <c r="D1430" t="s">
        <v>68</v>
      </c>
      <c r="E1430">
        <v>2</v>
      </c>
      <c r="F1430" t="s">
        <v>51</v>
      </c>
      <c r="G1430">
        <v>154000</v>
      </c>
      <c r="H1430">
        <v>95000</v>
      </c>
      <c r="I1430">
        <v>180000</v>
      </c>
      <c r="J1430" t="s">
        <v>70</v>
      </c>
      <c r="K1430" t="s">
        <v>31</v>
      </c>
      <c r="L1430" t="s">
        <v>44</v>
      </c>
      <c r="M1430" t="s">
        <v>33</v>
      </c>
      <c r="N1430" t="s">
        <v>88</v>
      </c>
      <c r="O1430" t="s">
        <v>2988</v>
      </c>
      <c r="P1430">
        <v>9.1999999999999993</v>
      </c>
      <c r="Q1430">
        <v>78</v>
      </c>
      <c r="R1430">
        <v>22.9</v>
      </c>
      <c r="S1430">
        <v>7.5</v>
      </c>
      <c r="T1430">
        <v>2025</v>
      </c>
      <c r="U1430">
        <v>7</v>
      </c>
      <c r="V1430">
        <v>1</v>
      </c>
      <c r="W1430" t="s">
        <v>47</v>
      </c>
      <c r="X1430" t="s">
        <v>64</v>
      </c>
      <c r="Y1430" t="s">
        <v>48</v>
      </c>
    </row>
    <row r="1431" spans="1:25" x14ac:dyDescent="0.35">
      <c r="A1431" t="s">
        <v>2989</v>
      </c>
      <c r="B1431" t="s">
        <v>185</v>
      </c>
      <c r="C1431" t="s">
        <v>186</v>
      </c>
      <c r="D1431" t="s">
        <v>81</v>
      </c>
      <c r="E1431">
        <v>6</v>
      </c>
      <c r="F1431" t="s">
        <v>128</v>
      </c>
      <c r="G1431">
        <v>140000</v>
      </c>
      <c r="H1431">
        <v>140000</v>
      </c>
      <c r="I1431">
        <v>270000</v>
      </c>
      <c r="J1431" t="s">
        <v>92</v>
      </c>
      <c r="K1431" t="s">
        <v>93</v>
      </c>
      <c r="L1431" t="s">
        <v>32</v>
      </c>
      <c r="M1431" t="s">
        <v>54</v>
      </c>
      <c r="N1431" t="s">
        <v>88</v>
      </c>
      <c r="O1431" t="s">
        <v>2990</v>
      </c>
      <c r="P1431">
        <v>16.7</v>
      </c>
      <c r="Q1431">
        <v>85</v>
      </c>
      <c r="R1431">
        <v>20</v>
      </c>
      <c r="S1431">
        <v>6.9</v>
      </c>
      <c r="T1431">
        <v>2026</v>
      </c>
      <c r="U1431">
        <v>2</v>
      </c>
      <c r="V1431">
        <v>0</v>
      </c>
      <c r="W1431" t="s">
        <v>36</v>
      </c>
      <c r="X1431" t="s">
        <v>64</v>
      </c>
      <c r="Y1431" t="s">
        <v>95</v>
      </c>
    </row>
    <row r="1432" spans="1:25" x14ac:dyDescent="0.35">
      <c r="A1432" t="s">
        <v>2991</v>
      </c>
      <c r="B1432" t="s">
        <v>185</v>
      </c>
      <c r="C1432" t="s">
        <v>186</v>
      </c>
      <c r="D1432" t="s">
        <v>68</v>
      </c>
      <c r="E1432">
        <v>7</v>
      </c>
      <c r="F1432" t="s">
        <v>69</v>
      </c>
      <c r="G1432">
        <v>324000</v>
      </c>
      <c r="H1432">
        <v>140000</v>
      </c>
      <c r="I1432">
        <v>270000</v>
      </c>
      <c r="J1432" t="s">
        <v>30</v>
      </c>
      <c r="K1432" t="s">
        <v>31</v>
      </c>
      <c r="L1432" t="s">
        <v>53</v>
      </c>
      <c r="M1432" t="s">
        <v>54</v>
      </c>
      <c r="N1432" t="s">
        <v>165</v>
      </c>
      <c r="O1432" t="s">
        <v>2992</v>
      </c>
      <c r="P1432">
        <v>11.9</v>
      </c>
      <c r="Q1432">
        <v>85</v>
      </c>
      <c r="R1432">
        <v>6.3</v>
      </c>
      <c r="S1432">
        <v>6.2</v>
      </c>
      <c r="T1432">
        <v>2025</v>
      </c>
      <c r="U1432">
        <v>2</v>
      </c>
      <c r="V1432">
        <v>1</v>
      </c>
      <c r="W1432" t="s">
        <v>47</v>
      </c>
      <c r="X1432" t="s">
        <v>64</v>
      </c>
      <c r="Y1432" t="s">
        <v>56</v>
      </c>
    </row>
    <row r="1433" spans="1:25" x14ac:dyDescent="0.35">
      <c r="A1433" t="s">
        <v>2993</v>
      </c>
      <c r="B1433" t="s">
        <v>146</v>
      </c>
      <c r="C1433" t="s">
        <v>27</v>
      </c>
      <c r="D1433" t="s">
        <v>28</v>
      </c>
      <c r="E1433">
        <v>3</v>
      </c>
      <c r="F1433" t="s">
        <v>69</v>
      </c>
      <c r="G1433">
        <v>221000</v>
      </c>
      <c r="H1433">
        <v>160000</v>
      </c>
      <c r="I1433">
        <v>300000</v>
      </c>
      <c r="J1433" t="s">
        <v>296</v>
      </c>
      <c r="K1433" t="s">
        <v>31</v>
      </c>
      <c r="L1433" t="s">
        <v>53</v>
      </c>
      <c r="M1433" t="s">
        <v>33</v>
      </c>
      <c r="N1433" t="s">
        <v>131</v>
      </c>
      <c r="O1433" t="s">
        <v>2994</v>
      </c>
      <c r="P1433">
        <v>16.600000000000001</v>
      </c>
      <c r="Q1433">
        <v>90</v>
      </c>
      <c r="R1433">
        <v>5</v>
      </c>
      <c r="S1433">
        <v>8.6</v>
      </c>
      <c r="T1433">
        <v>2026</v>
      </c>
      <c r="U1433">
        <v>1</v>
      </c>
      <c r="V1433">
        <v>1</v>
      </c>
      <c r="W1433" t="s">
        <v>47</v>
      </c>
      <c r="X1433" t="s">
        <v>64</v>
      </c>
      <c r="Y1433" t="s">
        <v>38</v>
      </c>
    </row>
    <row r="1434" spans="1:25" x14ac:dyDescent="0.35">
      <c r="A1434" t="s">
        <v>2995</v>
      </c>
      <c r="B1434" t="s">
        <v>26</v>
      </c>
      <c r="C1434" t="s">
        <v>27</v>
      </c>
      <c r="D1434" t="s">
        <v>28</v>
      </c>
      <c r="E1434">
        <v>6</v>
      </c>
      <c r="F1434" t="s">
        <v>69</v>
      </c>
      <c r="G1434">
        <v>348000</v>
      </c>
      <c r="H1434">
        <v>155000</v>
      </c>
      <c r="I1434">
        <v>290000</v>
      </c>
      <c r="J1434" t="s">
        <v>70</v>
      </c>
      <c r="K1434" t="s">
        <v>31</v>
      </c>
      <c r="L1434" t="s">
        <v>53</v>
      </c>
      <c r="M1434" t="s">
        <v>54</v>
      </c>
      <c r="N1434" t="s">
        <v>119</v>
      </c>
      <c r="O1434" t="s">
        <v>2996</v>
      </c>
      <c r="P1434">
        <v>8.6999999999999993</v>
      </c>
      <c r="Q1434">
        <v>96</v>
      </c>
      <c r="R1434">
        <v>34.200000000000003</v>
      </c>
      <c r="S1434">
        <v>7</v>
      </c>
      <c r="T1434">
        <v>2025</v>
      </c>
      <c r="U1434">
        <v>11</v>
      </c>
      <c r="V1434">
        <v>1</v>
      </c>
      <c r="W1434" t="s">
        <v>47</v>
      </c>
      <c r="X1434" t="s">
        <v>37</v>
      </c>
      <c r="Y1434" t="s">
        <v>56</v>
      </c>
    </row>
    <row r="1435" spans="1:25" x14ac:dyDescent="0.35">
      <c r="A1435" t="s">
        <v>2997</v>
      </c>
      <c r="B1435" t="s">
        <v>100</v>
      </c>
      <c r="C1435" t="s">
        <v>101</v>
      </c>
      <c r="D1435" t="s">
        <v>28</v>
      </c>
      <c r="E1435">
        <v>7</v>
      </c>
      <c r="F1435" t="s">
        <v>128</v>
      </c>
      <c r="G1435">
        <v>328000</v>
      </c>
      <c r="H1435">
        <v>180000</v>
      </c>
      <c r="I1435">
        <v>320000</v>
      </c>
      <c r="J1435" t="s">
        <v>42</v>
      </c>
      <c r="K1435" t="s">
        <v>43</v>
      </c>
      <c r="L1435" t="s">
        <v>53</v>
      </c>
      <c r="M1435" t="s">
        <v>45</v>
      </c>
      <c r="N1435" t="s">
        <v>71</v>
      </c>
      <c r="O1435" t="s">
        <v>2998</v>
      </c>
      <c r="P1435">
        <v>13.3</v>
      </c>
      <c r="Q1435">
        <v>84</v>
      </c>
      <c r="R1435">
        <v>29.6</v>
      </c>
      <c r="S1435">
        <v>9.1</v>
      </c>
      <c r="T1435">
        <v>2025</v>
      </c>
      <c r="U1435">
        <v>7</v>
      </c>
      <c r="V1435">
        <v>1</v>
      </c>
      <c r="W1435" t="s">
        <v>47</v>
      </c>
      <c r="X1435" t="s">
        <v>64</v>
      </c>
      <c r="Y1435" t="s">
        <v>56</v>
      </c>
    </row>
    <row r="1436" spans="1:25" x14ac:dyDescent="0.35">
      <c r="A1436" t="s">
        <v>2999</v>
      </c>
      <c r="B1436" t="s">
        <v>86</v>
      </c>
      <c r="C1436" t="s">
        <v>27</v>
      </c>
      <c r="D1436" t="s">
        <v>81</v>
      </c>
      <c r="E1436">
        <v>6</v>
      </c>
      <c r="F1436" t="s">
        <v>29</v>
      </c>
      <c r="G1436">
        <v>180000</v>
      </c>
      <c r="H1436">
        <v>180000</v>
      </c>
      <c r="I1436">
        <v>312000</v>
      </c>
      <c r="J1436" t="s">
        <v>42</v>
      </c>
      <c r="K1436" t="s">
        <v>43</v>
      </c>
      <c r="L1436" t="s">
        <v>44</v>
      </c>
      <c r="M1436" t="s">
        <v>33</v>
      </c>
      <c r="N1436" t="s">
        <v>88</v>
      </c>
      <c r="O1436" t="s">
        <v>3000</v>
      </c>
      <c r="P1436">
        <v>8.1</v>
      </c>
      <c r="Q1436">
        <v>96</v>
      </c>
      <c r="R1436">
        <v>32.799999999999997</v>
      </c>
      <c r="S1436">
        <v>6.9</v>
      </c>
      <c r="T1436">
        <v>2026</v>
      </c>
      <c r="U1436">
        <v>1</v>
      </c>
      <c r="V1436">
        <v>0</v>
      </c>
      <c r="W1436" t="s">
        <v>47</v>
      </c>
      <c r="X1436" t="s">
        <v>64</v>
      </c>
      <c r="Y1436" t="s">
        <v>48</v>
      </c>
    </row>
    <row r="1437" spans="1:25" x14ac:dyDescent="0.35">
      <c r="A1437" t="s">
        <v>3001</v>
      </c>
      <c r="B1437" t="s">
        <v>185</v>
      </c>
      <c r="C1437" t="s">
        <v>186</v>
      </c>
      <c r="D1437" t="s">
        <v>81</v>
      </c>
      <c r="E1437">
        <v>7</v>
      </c>
      <c r="F1437" t="s">
        <v>128</v>
      </c>
      <c r="G1437">
        <v>140000</v>
      </c>
      <c r="H1437">
        <v>140000</v>
      </c>
      <c r="I1437">
        <v>270000</v>
      </c>
      <c r="J1437" t="s">
        <v>92</v>
      </c>
      <c r="K1437" t="s">
        <v>93</v>
      </c>
      <c r="L1437" t="s">
        <v>32</v>
      </c>
      <c r="M1437" t="s">
        <v>61</v>
      </c>
      <c r="N1437" t="s">
        <v>165</v>
      </c>
      <c r="O1437" t="s">
        <v>3002</v>
      </c>
      <c r="P1437">
        <v>13.8</v>
      </c>
      <c r="Q1437">
        <v>85</v>
      </c>
      <c r="R1437">
        <v>20.100000000000001</v>
      </c>
      <c r="S1437">
        <v>8.4</v>
      </c>
      <c r="T1437">
        <v>2025</v>
      </c>
      <c r="U1437">
        <v>3</v>
      </c>
      <c r="V1437">
        <v>0</v>
      </c>
      <c r="W1437" t="s">
        <v>36</v>
      </c>
      <c r="X1437" t="s">
        <v>64</v>
      </c>
      <c r="Y1437" t="s">
        <v>95</v>
      </c>
    </row>
    <row r="1438" spans="1:25" x14ac:dyDescent="0.35">
      <c r="A1438" t="s">
        <v>3003</v>
      </c>
      <c r="B1438" t="s">
        <v>609</v>
      </c>
      <c r="C1438" t="s">
        <v>124</v>
      </c>
      <c r="D1438" t="s">
        <v>68</v>
      </c>
      <c r="E1438">
        <v>12</v>
      </c>
      <c r="F1438" t="s">
        <v>128</v>
      </c>
      <c r="G1438">
        <v>217000</v>
      </c>
      <c r="H1438">
        <v>115000</v>
      </c>
      <c r="I1438">
        <v>280000</v>
      </c>
      <c r="J1438" t="s">
        <v>113</v>
      </c>
      <c r="K1438" t="s">
        <v>114</v>
      </c>
      <c r="L1438" t="s">
        <v>53</v>
      </c>
      <c r="M1438" t="s">
        <v>61</v>
      </c>
      <c r="N1438" t="s">
        <v>110</v>
      </c>
      <c r="O1438" t="s">
        <v>3004</v>
      </c>
      <c r="P1438">
        <v>10.199999999999999</v>
      </c>
      <c r="Q1438">
        <v>88</v>
      </c>
      <c r="R1438">
        <v>6.2</v>
      </c>
      <c r="S1438">
        <v>7</v>
      </c>
      <c r="T1438">
        <v>2026</v>
      </c>
      <c r="U1438">
        <v>3</v>
      </c>
      <c r="V1438">
        <v>1</v>
      </c>
      <c r="W1438" t="s">
        <v>47</v>
      </c>
      <c r="X1438" t="s">
        <v>64</v>
      </c>
      <c r="Y1438" t="s">
        <v>38</v>
      </c>
    </row>
    <row r="1439" spans="1:25" x14ac:dyDescent="0.35">
      <c r="A1439" t="s">
        <v>3005</v>
      </c>
      <c r="B1439" t="s">
        <v>196</v>
      </c>
      <c r="C1439" t="s">
        <v>27</v>
      </c>
      <c r="D1439" t="s">
        <v>68</v>
      </c>
      <c r="E1439">
        <v>4</v>
      </c>
      <c r="F1439" t="s">
        <v>69</v>
      </c>
      <c r="G1439">
        <v>212000</v>
      </c>
      <c r="H1439">
        <v>100000</v>
      </c>
      <c r="I1439">
        <v>250000</v>
      </c>
      <c r="J1439" t="s">
        <v>113</v>
      </c>
      <c r="K1439" t="s">
        <v>114</v>
      </c>
      <c r="L1439" t="s">
        <v>32</v>
      </c>
      <c r="M1439" t="s">
        <v>54</v>
      </c>
      <c r="N1439" t="s">
        <v>165</v>
      </c>
      <c r="O1439" t="s">
        <v>3006</v>
      </c>
      <c r="P1439">
        <v>17.2</v>
      </c>
      <c r="Q1439">
        <v>95</v>
      </c>
      <c r="R1439">
        <v>57.1</v>
      </c>
      <c r="S1439">
        <v>8.6</v>
      </c>
      <c r="T1439">
        <v>2025</v>
      </c>
      <c r="U1439">
        <v>12</v>
      </c>
      <c r="V1439">
        <v>1</v>
      </c>
      <c r="W1439" t="s">
        <v>36</v>
      </c>
      <c r="X1439" t="s">
        <v>64</v>
      </c>
      <c r="Y1439" t="s">
        <v>38</v>
      </c>
    </row>
    <row r="1440" spans="1:25" x14ac:dyDescent="0.35">
      <c r="A1440" t="s">
        <v>3007</v>
      </c>
      <c r="B1440" t="s">
        <v>224</v>
      </c>
      <c r="C1440" t="s">
        <v>27</v>
      </c>
      <c r="D1440" t="s">
        <v>68</v>
      </c>
      <c r="E1440">
        <v>5</v>
      </c>
      <c r="F1440" t="s">
        <v>29</v>
      </c>
      <c r="G1440">
        <v>209000</v>
      </c>
      <c r="H1440">
        <v>145000</v>
      </c>
      <c r="I1440">
        <v>280000</v>
      </c>
      <c r="J1440" t="s">
        <v>137</v>
      </c>
      <c r="K1440" t="s">
        <v>138</v>
      </c>
      <c r="L1440" t="s">
        <v>44</v>
      </c>
      <c r="M1440" t="s">
        <v>61</v>
      </c>
      <c r="N1440" t="s">
        <v>131</v>
      </c>
      <c r="O1440" t="s">
        <v>3008</v>
      </c>
      <c r="P1440">
        <v>5.4</v>
      </c>
      <c r="Q1440">
        <v>87</v>
      </c>
      <c r="R1440">
        <v>20.5</v>
      </c>
      <c r="S1440">
        <v>8.1999999999999993</v>
      </c>
      <c r="T1440">
        <v>2026</v>
      </c>
      <c r="U1440">
        <v>1</v>
      </c>
      <c r="V1440">
        <v>1</v>
      </c>
      <c r="W1440" t="s">
        <v>47</v>
      </c>
      <c r="X1440" t="s">
        <v>64</v>
      </c>
      <c r="Y1440" t="s">
        <v>38</v>
      </c>
    </row>
    <row r="1441" spans="1:25" x14ac:dyDescent="0.35">
      <c r="A1441" t="s">
        <v>3009</v>
      </c>
      <c r="B1441" t="s">
        <v>134</v>
      </c>
      <c r="C1441" t="s">
        <v>27</v>
      </c>
      <c r="D1441" t="s">
        <v>81</v>
      </c>
      <c r="E1441">
        <v>5</v>
      </c>
      <c r="F1441" t="s">
        <v>51</v>
      </c>
      <c r="G1441">
        <v>239000</v>
      </c>
      <c r="H1441">
        <v>150000</v>
      </c>
      <c r="I1441">
        <v>295000</v>
      </c>
      <c r="J1441" t="s">
        <v>170</v>
      </c>
      <c r="K1441" t="s">
        <v>171</v>
      </c>
      <c r="L1441" t="s">
        <v>44</v>
      </c>
      <c r="M1441" t="s">
        <v>54</v>
      </c>
      <c r="N1441" t="s">
        <v>34</v>
      </c>
      <c r="O1441" t="s">
        <v>3010</v>
      </c>
      <c r="P1441">
        <v>10.199999999999999</v>
      </c>
      <c r="Q1441">
        <v>95</v>
      </c>
      <c r="R1441">
        <v>43.6</v>
      </c>
      <c r="S1441">
        <v>9.5</v>
      </c>
      <c r="T1441">
        <v>2025</v>
      </c>
      <c r="U1441">
        <v>12</v>
      </c>
      <c r="V1441">
        <v>0</v>
      </c>
      <c r="W1441" t="s">
        <v>47</v>
      </c>
      <c r="X1441" t="s">
        <v>37</v>
      </c>
      <c r="Y1441" t="s">
        <v>38</v>
      </c>
    </row>
    <row r="1442" spans="1:25" x14ac:dyDescent="0.35">
      <c r="A1442" t="s">
        <v>3011</v>
      </c>
      <c r="B1442" t="s">
        <v>79</v>
      </c>
      <c r="C1442" t="s">
        <v>80</v>
      </c>
      <c r="D1442" t="s">
        <v>28</v>
      </c>
      <c r="E1442">
        <v>10</v>
      </c>
      <c r="F1442" t="s">
        <v>69</v>
      </c>
      <c r="G1442">
        <v>170000</v>
      </c>
      <c r="H1442">
        <v>140000</v>
      </c>
      <c r="I1442">
        <v>260000</v>
      </c>
      <c r="J1442" t="s">
        <v>122</v>
      </c>
      <c r="K1442" t="s">
        <v>123</v>
      </c>
      <c r="L1442" t="s">
        <v>32</v>
      </c>
      <c r="M1442" t="s">
        <v>61</v>
      </c>
      <c r="N1442" t="s">
        <v>71</v>
      </c>
      <c r="O1442" t="s">
        <v>3012</v>
      </c>
      <c r="P1442">
        <v>8.1</v>
      </c>
      <c r="Q1442">
        <v>80</v>
      </c>
      <c r="R1442">
        <v>6.1</v>
      </c>
      <c r="S1442">
        <v>7.5</v>
      </c>
      <c r="T1442">
        <v>2025</v>
      </c>
      <c r="U1442">
        <v>12</v>
      </c>
      <c r="V1442">
        <v>1</v>
      </c>
      <c r="W1442" t="s">
        <v>36</v>
      </c>
      <c r="X1442" t="s">
        <v>64</v>
      </c>
      <c r="Y1442" t="s">
        <v>48</v>
      </c>
    </row>
    <row r="1443" spans="1:25" x14ac:dyDescent="0.35">
      <c r="A1443" t="s">
        <v>3013</v>
      </c>
      <c r="B1443" t="s">
        <v>79</v>
      </c>
      <c r="C1443" t="s">
        <v>80</v>
      </c>
      <c r="D1443" t="s">
        <v>81</v>
      </c>
      <c r="E1443">
        <v>5</v>
      </c>
      <c r="F1443" t="s">
        <v>128</v>
      </c>
      <c r="G1443">
        <v>312000</v>
      </c>
      <c r="H1443">
        <v>140000</v>
      </c>
      <c r="I1443">
        <v>260000</v>
      </c>
      <c r="J1443" t="s">
        <v>191</v>
      </c>
      <c r="K1443" t="s">
        <v>31</v>
      </c>
      <c r="L1443" t="s">
        <v>32</v>
      </c>
      <c r="M1443" t="s">
        <v>54</v>
      </c>
      <c r="N1443" t="s">
        <v>71</v>
      </c>
      <c r="O1443" t="s">
        <v>3014</v>
      </c>
      <c r="P1443">
        <v>14.4</v>
      </c>
      <c r="Q1443">
        <v>80</v>
      </c>
      <c r="R1443">
        <v>10.7</v>
      </c>
      <c r="S1443">
        <v>7.6</v>
      </c>
      <c r="T1443">
        <v>2025</v>
      </c>
      <c r="U1443">
        <v>5</v>
      </c>
      <c r="V1443">
        <v>0</v>
      </c>
      <c r="W1443" t="s">
        <v>36</v>
      </c>
      <c r="X1443" t="s">
        <v>64</v>
      </c>
      <c r="Y1443" t="s">
        <v>56</v>
      </c>
    </row>
    <row r="1444" spans="1:25" x14ac:dyDescent="0.35">
      <c r="A1444" t="s">
        <v>3015</v>
      </c>
      <c r="B1444" t="s">
        <v>163</v>
      </c>
      <c r="C1444" t="s">
        <v>164</v>
      </c>
      <c r="D1444" t="s">
        <v>81</v>
      </c>
      <c r="E1444">
        <v>3</v>
      </c>
      <c r="F1444" t="s">
        <v>41</v>
      </c>
      <c r="G1444">
        <v>130000</v>
      </c>
      <c r="H1444">
        <v>125000</v>
      </c>
      <c r="I1444">
        <v>240000</v>
      </c>
      <c r="J1444" t="s">
        <v>60</v>
      </c>
      <c r="K1444" t="s">
        <v>60</v>
      </c>
      <c r="L1444" t="s">
        <v>53</v>
      </c>
      <c r="M1444" t="s">
        <v>61</v>
      </c>
      <c r="N1444" t="s">
        <v>110</v>
      </c>
      <c r="O1444" t="s">
        <v>3016</v>
      </c>
      <c r="P1444">
        <v>8.6999999999999993</v>
      </c>
      <c r="Q1444">
        <v>76</v>
      </c>
      <c r="R1444">
        <v>22</v>
      </c>
      <c r="S1444">
        <v>6.6</v>
      </c>
      <c r="T1444">
        <v>2026</v>
      </c>
      <c r="U1444">
        <v>2</v>
      </c>
      <c r="V1444">
        <v>0</v>
      </c>
      <c r="W1444" t="s">
        <v>47</v>
      </c>
      <c r="X1444" t="s">
        <v>64</v>
      </c>
      <c r="Y1444" t="s">
        <v>95</v>
      </c>
    </row>
    <row r="1445" spans="1:25" x14ac:dyDescent="0.35">
      <c r="A1445" t="s">
        <v>3017</v>
      </c>
      <c r="B1445" t="s">
        <v>233</v>
      </c>
      <c r="C1445" t="s">
        <v>180</v>
      </c>
      <c r="D1445" t="s">
        <v>28</v>
      </c>
      <c r="E1445">
        <v>8</v>
      </c>
      <c r="F1445" t="s">
        <v>41</v>
      </c>
      <c r="G1445">
        <v>192000</v>
      </c>
      <c r="H1445">
        <v>100000</v>
      </c>
      <c r="I1445">
        <v>200000</v>
      </c>
      <c r="J1445" t="s">
        <v>70</v>
      </c>
      <c r="K1445" t="s">
        <v>31</v>
      </c>
      <c r="L1445" t="s">
        <v>32</v>
      </c>
      <c r="M1445" t="s">
        <v>45</v>
      </c>
      <c r="N1445" t="s">
        <v>34</v>
      </c>
      <c r="O1445" t="s">
        <v>3018</v>
      </c>
      <c r="P1445">
        <v>9.1</v>
      </c>
      <c r="Q1445">
        <v>68</v>
      </c>
      <c r="R1445">
        <v>12.6</v>
      </c>
      <c r="S1445">
        <v>8</v>
      </c>
      <c r="T1445">
        <v>2025</v>
      </c>
      <c r="U1445">
        <v>3</v>
      </c>
      <c r="V1445">
        <v>1</v>
      </c>
      <c r="W1445" t="s">
        <v>36</v>
      </c>
      <c r="X1445" t="s">
        <v>64</v>
      </c>
      <c r="Y1445" t="s">
        <v>48</v>
      </c>
    </row>
    <row r="1446" spans="1:25" x14ac:dyDescent="0.35">
      <c r="A1446" t="s">
        <v>3019</v>
      </c>
      <c r="B1446" t="s">
        <v>168</v>
      </c>
      <c r="C1446" t="s">
        <v>169</v>
      </c>
      <c r="D1446" t="s">
        <v>81</v>
      </c>
      <c r="E1446">
        <v>11</v>
      </c>
      <c r="F1446" t="s">
        <v>41</v>
      </c>
      <c r="G1446">
        <v>157000</v>
      </c>
      <c r="H1446">
        <v>157000</v>
      </c>
      <c r="I1446">
        <v>218000</v>
      </c>
      <c r="J1446" t="s">
        <v>122</v>
      </c>
      <c r="K1446" t="s">
        <v>123</v>
      </c>
      <c r="L1446" t="s">
        <v>32</v>
      </c>
      <c r="M1446" t="s">
        <v>61</v>
      </c>
      <c r="N1446" t="s">
        <v>62</v>
      </c>
      <c r="O1446" t="s">
        <v>3020</v>
      </c>
      <c r="P1446">
        <v>7.6</v>
      </c>
      <c r="Q1446">
        <v>90</v>
      </c>
      <c r="R1446">
        <v>10.8</v>
      </c>
      <c r="S1446">
        <v>8.6999999999999993</v>
      </c>
      <c r="T1446">
        <v>2025</v>
      </c>
      <c r="U1446">
        <v>5</v>
      </c>
      <c r="V1446">
        <v>0</v>
      </c>
      <c r="W1446" t="s">
        <v>36</v>
      </c>
      <c r="X1446" t="s">
        <v>64</v>
      </c>
      <c r="Y1446" t="s">
        <v>48</v>
      </c>
    </row>
    <row r="1447" spans="1:25" x14ac:dyDescent="0.35">
      <c r="A1447" t="s">
        <v>3021</v>
      </c>
      <c r="B1447" t="s">
        <v>146</v>
      </c>
      <c r="C1447" t="s">
        <v>27</v>
      </c>
      <c r="D1447" t="s">
        <v>81</v>
      </c>
      <c r="E1447">
        <v>4</v>
      </c>
      <c r="F1447" t="s">
        <v>69</v>
      </c>
      <c r="G1447">
        <v>190000</v>
      </c>
      <c r="H1447">
        <v>160000</v>
      </c>
      <c r="I1447">
        <v>300000</v>
      </c>
      <c r="J1447" t="s">
        <v>191</v>
      </c>
      <c r="K1447" t="s">
        <v>31</v>
      </c>
      <c r="L1447" t="s">
        <v>32</v>
      </c>
      <c r="M1447" t="s">
        <v>82</v>
      </c>
      <c r="N1447" t="s">
        <v>71</v>
      </c>
      <c r="O1447" t="s">
        <v>3022</v>
      </c>
      <c r="P1447">
        <v>16.399999999999999</v>
      </c>
      <c r="Q1447">
        <v>90</v>
      </c>
      <c r="R1447">
        <v>24.6</v>
      </c>
      <c r="S1447">
        <v>8.3000000000000007</v>
      </c>
      <c r="T1447">
        <v>2026</v>
      </c>
      <c r="U1447">
        <v>2</v>
      </c>
      <c r="V1447">
        <v>0</v>
      </c>
      <c r="W1447" t="s">
        <v>36</v>
      </c>
      <c r="X1447" t="s">
        <v>64</v>
      </c>
      <c r="Y1447" t="s">
        <v>48</v>
      </c>
    </row>
    <row r="1448" spans="1:25" x14ac:dyDescent="0.35">
      <c r="A1448" t="s">
        <v>3023</v>
      </c>
      <c r="B1448" t="s">
        <v>134</v>
      </c>
      <c r="C1448" t="s">
        <v>27</v>
      </c>
      <c r="D1448" t="s">
        <v>81</v>
      </c>
      <c r="E1448">
        <v>4</v>
      </c>
      <c r="F1448" t="s">
        <v>29</v>
      </c>
      <c r="G1448">
        <v>156000</v>
      </c>
      <c r="H1448">
        <v>150000</v>
      </c>
      <c r="I1448">
        <v>295000</v>
      </c>
      <c r="J1448" t="s">
        <v>129</v>
      </c>
      <c r="K1448" t="s">
        <v>130</v>
      </c>
      <c r="L1448" t="s">
        <v>44</v>
      </c>
      <c r="M1448" t="s">
        <v>33</v>
      </c>
      <c r="N1448" t="s">
        <v>76</v>
      </c>
      <c r="O1448" t="s">
        <v>3024</v>
      </c>
      <c r="P1448">
        <v>12.6</v>
      </c>
      <c r="Q1448">
        <v>95</v>
      </c>
      <c r="R1448">
        <v>17.2</v>
      </c>
      <c r="S1448">
        <v>8.1</v>
      </c>
      <c r="T1448">
        <v>2025</v>
      </c>
      <c r="U1448">
        <v>12</v>
      </c>
      <c r="V1448">
        <v>0</v>
      </c>
      <c r="W1448" t="s">
        <v>47</v>
      </c>
      <c r="X1448" t="s">
        <v>37</v>
      </c>
      <c r="Y1448" t="s">
        <v>48</v>
      </c>
    </row>
    <row r="1449" spans="1:25" x14ac:dyDescent="0.35">
      <c r="A1449" t="s">
        <v>3025</v>
      </c>
      <c r="B1449" t="s">
        <v>66</v>
      </c>
      <c r="C1449" t="s">
        <v>67</v>
      </c>
      <c r="D1449" t="s">
        <v>74</v>
      </c>
      <c r="E1449">
        <v>4</v>
      </c>
      <c r="F1449" t="s">
        <v>128</v>
      </c>
      <c r="G1449">
        <v>140000</v>
      </c>
      <c r="H1449">
        <v>140000</v>
      </c>
      <c r="I1449">
        <v>260000</v>
      </c>
      <c r="J1449" t="s">
        <v>102</v>
      </c>
      <c r="K1449" t="s">
        <v>103</v>
      </c>
      <c r="L1449" t="s">
        <v>32</v>
      </c>
      <c r="M1449" t="s">
        <v>33</v>
      </c>
      <c r="N1449" t="s">
        <v>165</v>
      </c>
      <c r="O1449" t="s">
        <v>3026</v>
      </c>
      <c r="P1449">
        <v>9</v>
      </c>
      <c r="Q1449">
        <v>85</v>
      </c>
      <c r="R1449">
        <v>14</v>
      </c>
      <c r="S1449">
        <v>7.2</v>
      </c>
      <c r="T1449">
        <v>2025</v>
      </c>
      <c r="U1449">
        <v>10</v>
      </c>
      <c r="V1449">
        <v>0</v>
      </c>
      <c r="W1449" t="s">
        <v>36</v>
      </c>
      <c r="X1449" t="s">
        <v>64</v>
      </c>
      <c r="Y1449" t="s">
        <v>95</v>
      </c>
    </row>
    <row r="1450" spans="1:25" x14ac:dyDescent="0.35">
      <c r="A1450" t="s">
        <v>3027</v>
      </c>
      <c r="B1450" t="s">
        <v>40</v>
      </c>
      <c r="C1450" t="s">
        <v>27</v>
      </c>
      <c r="D1450" t="s">
        <v>68</v>
      </c>
      <c r="E1450">
        <v>2</v>
      </c>
      <c r="F1450" t="s">
        <v>41</v>
      </c>
      <c r="G1450">
        <v>101000</v>
      </c>
      <c r="H1450">
        <v>90000</v>
      </c>
      <c r="I1450">
        <v>200000</v>
      </c>
      <c r="J1450" t="s">
        <v>108</v>
      </c>
      <c r="K1450" t="s">
        <v>109</v>
      </c>
      <c r="L1450" t="s">
        <v>32</v>
      </c>
      <c r="M1450" t="s">
        <v>54</v>
      </c>
      <c r="N1450" t="s">
        <v>124</v>
      </c>
      <c r="O1450" t="s">
        <v>3028</v>
      </c>
      <c r="P1450">
        <v>7.6</v>
      </c>
      <c r="Q1450">
        <v>82</v>
      </c>
      <c r="R1450">
        <v>29.5</v>
      </c>
      <c r="S1450">
        <v>9.6</v>
      </c>
      <c r="T1450">
        <v>2025</v>
      </c>
      <c r="U1450">
        <v>9</v>
      </c>
      <c r="V1450">
        <v>1</v>
      </c>
      <c r="W1450" t="s">
        <v>36</v>
      </c>
      <c r="X1450" t="s">
        <v>37</v>
      </c>
      <c r="Y1450" t="s">
        <v>95</v>
      </c>
    </row>
    <row r="1451" spans="1:25" x14ac:dyDescent="0.35">
      <c r="A1451" t="s">
        <v>3029</v>
      </c>
      <c r="B1451" t="s">
        <v>141</v>
      </c>
      <c r="C1451" t="s">
        <v>27</v>
      </c>
      <c r="D1451" t="s">
        <v>28</v>
      </c>
      <c r="E1451">
        <v>7</v>
      </c>
      <c r="F1451" t="s">
        <v>29</v>
      </c>
      <c r="G1451">
        <v>248000</v>
      </c>
      <c r="H1451">
        <v>141000</v>
      </c>
      <c r="I1451">
        <v>270000</v>
      </c>
      <c r="J1451" t="s">
        <v>170</v>
      </c>
      <c r="K1451" t="s">
        <v>171</v>
      </c>
      <c r="L1451" t="s">
        <v>53</v>
      </c>
      <c r="M1451" t="s">
        <v>45</v>
      </c>
      <c r="N1451" t="s">
        <v>124</v>
      </c>
      <c r="O1451" t="s">
        <v>3030</v>
      </c>
      <c r="P1451">
        <v>4.4000000000000004</v>
      </c>
      <c r="Q1451">
        <v>89</v>
      </c>
      <c r="R1451">
        <v>14.1</v>
      </c>
      <c r="S1451">
        <v>8.9</v>
      </c>
      <c r="T1451">
        <v>2025</v>
      </c>
      <c r="U1451">
        <v>6</v>
      </c>
      <c r="V1451">
        <v>1</v>
      </c>
      <c r="W1451" t="s">
        <v>47</v>
      </c>
      <c r="X1451" t="s">
        <v>64</v>
      </c>
      <c r="Y1451" t="s">
        <v>38</v>
      </c>
    </row>
    <row r="1452" spans="1:25" x14ac:dyDescent="0.35">
      <c r="A1452" t="s">
        <v>3031</v>
      </c>
      <c r="B1452" t="s">
        <v>233</v>
      </c>
      <c r="C1452" t="s">
        <v>180</v>
      </c>
      <c r="D1452" t="s">
        <v>28</v>
      </c>
      <c r="E1452">
        <v>5</v>
      </c>
      <c r="F1452" t="s">
        <v>51</v>
      </c>
      <c r="G1452">
        <v>156000</v>
      </c>
      <c r="H1452">
        <v>100000</v>
      </c>
      <c r="I1452">
        <v>200000</v>
      </c>
      <c r="J1452" t="s">
        <v>75</v>
      </c>
      <c r="K1452" t="s">
        <v>31</v>
      </c>
      <c r="L1452" t="s">
        <v>44</v>
      </c>
      <c r="M1452" t="s">
        <v>82</v>
      </c>
      <c r="N1452" t="s">
        <v>88</v>
      </c>
      <c r="O1452" t="s">
        <v>3032</v>
      </c>
      <c r="P1452">
        <v>13.9</v>
      </c>
      <c r="Q1452">
        <v>68</v>
      </c>
      <c r="R1452">
        <v>29.2</v>
      </c>
      <c r="S1452">
        <v>6.1</v>
      </c>
      <c r="T1452">
        <v>2026</v>
      </c>
      <c r="U1452">
        <v>2</v>
      </c>
      <c r="V1452">
        <v>1</v>
      </c>
      <c r="W1452" t="s">
        <v>47</v>
      </c>
      <c r="X1452" t="s">
        <v>64</v>
      </c>
      <c r="Y1452" t="s">
        <v>48</v>
      </c>
    </row>
    <row r="1453" spans="1:25" x14ac:dyDescent="0.35">
      <c r="A1453" t="s">
        <v>3033</v>
      </c>
      <c r="B1453" t="s">
        <v>163</v>
      </c>
      <c r="C1453" t="s">
        <v>164</v>
      </c>
      <c r="D1453" t="s">
        <v>68</v>
      </c>
      <c r="E1453">
        <v>9</v>
      </c>
      <c r="F1453" t="s">
        <v>41</v>
      </c>
      <c r="G1453">
        <v>198000</v>
      </c>
      <c r="H1453">
        <v>125000</v>
      </c>
      <c r="I1453">
        <v>240000</v>
      </c>
      <c r="J1453" t="s">
        <v>117</v>
      </c>
      <c r="K1453" t="s">
        <v>118</v>
      </c>
      <c r="L1453" t="s">
        <v>53</v>
      </c>
      <c r="M1453" t="s">
        <v>33</v>
      </c>
      <c r="N1453" t="s">
        <v>124</v>
      </c>
      <c r="O1453" t="s">
        <v>3034</v>
      </c>
      <c r="P1453">
        <v>14.6</v>
      </c>
      <c r="Q1453">
        <v>76</v>
      </c>
      <c r="R1453">
        <v>14.1</v>
      </c>
      <c r="S1453">
        <v>9.3000000000000007</v>
      </c>
      <c r="T1453">
        <v>2025</v>
      </c>
      <c r="U1453">
        <v>12</v>
      </c>
      <c r="V1453">
        <v>1</v>
      </c>
      <c r="W1453" t="s">
        <v>47</v>
      </c>
      <c r="X1453" t="s">
        <v>64</v>
      </c>
      <c r="Y1453" t="s">
        <v>48</v>
      </c>
    </row>
    <row r="1454" spans="1:25" x14ac:dyDescent="0.35">
      <c r="A1454" t="s">
        <v>3035</v>
      </c>
      <c r="B1454" t="s">
        <v>58</v>
      </c>
      <c r="C1454" t="s">
        <v>59</v>
      </c>
      <c r="D1454" t="s">
        <v>68</v>
      </c>
      <c r="E1454">
        <v>6</v>
      </c>
      <c r="F1454" t="s">
        <v>128</v>
      </c>
      <c r="G1454">
        <v>130000</v>
      </c>
      <c r="H1454">
        <v>130000</v>
      </c>
      <c r="I1454">
        <v>220000</v>
      </c>
      <c r="J1454" t="s">
        <v>92</v>
      </c>
      <c r="K1454" t="s">
        <v>93</v>
      </c>
      <c r="L1454" t="s">
        <v>53</v>
      </c>
      <c r="M1454" t="s">
        <v>45</v>
      </c>
      <c r="N1454" t="s">
        <v>76</v>
      </c>
      <c r="O1454" t="s">
        <v>3036</v>
      </c>
      <c r="P1454">
        <v>12.4</v>
      </c>
      <c r="Q1454">
        <v>88</v>
      </c>
      <c r="R1454">
        <v>11.3</v>
      </c>
      <c r="S1454">
        <v>8.9</v>
      </c>
      <c r="T1454">
        <v>2026</v>
      </c>
      <c r="U1454">
        <v>1</v>
      </c>
      <c r="V1454">
        <v>1</v>
      </c>
      <c r="W1454" t="s">
        <v>47</v>
      </c>
      <c r="X1454" t="s">
        <v>64</v>
      </c>
      <c r="Y1454" t="s">
        <v>95</v>
      </c>
    </row>
    <row r="1455" spans="1:25" x14ac:dyDescent="0.35">
      <c r="A1455" t="s">
        <v>3037</v>
      </c>
      <c r="B1455" t="s">
        <v>50</v>
      </c>
      <c r="C1455" t="s">
        <v>27</v>
      </c>
      <c r="D1455" t="s">
        <v>28</v>
      </c>
      <c r="E1455">
        <v>2</v>
      </c>
      <c r="F1455" t="s">
        <v>51</v>
      </c>
      <c r="G1455">
        <v>360000</v>
      </c>
      <c r="H1455">
        <v>160000</v>
      </c>
      <c r="I1455">
        <v>300000</v>
      </c>
      <c r="J1455" t="s">
        <v>174</v>
      </c>
      <c r="K1455" t="s">
        <v>31</v>
      </c>
      <c r="L1455" t="s">
        <v>44</v>
      </c>
      <c r="M1455" t="s">
        <v>54</v>
      </c>
      <c r="N1455" t="s">
        <v>71</v>
      </c>
      <c r="O1455" t="s">
        <v>3038</v>
      </c>
      <c r="P1455">
        <v>6.7</v>
      </c>
      <c r="Q1455">
        <v>98</v>
      </c>
      <c r="R1455">
        <v>71.7</v>
      </c>
      <c r="S1455">
        <v>6.2</v>
      </c>
      <c r="T1455">
        <v>2026</v>
      </c>
      <c r="U1455">
        <v>1</v>
      </c>
      <c r="V1455">
        <v>1</v>
      </c>
      <c r="W1455" t="s">
        <v>47</v>
      </c>
      <c r="X1455" t="s">
        <v>37</v>
      </c>
      <c r="Y1455" t="s">
        <v>56</v>
      </c>
    </row>
    <row r="1456" spans="1:25" x14ac:dyDescent="0.35">
      <c r="A1456" t="s">
        <v>3039</v>
      </c>
      <c r="B1456" t="s">
        <v>224</v>
      </c>
      <c r="C1456" t="s">
        <v>27</v>
      </c>
      <c r="D1456" t="s">
        <v>74</v>
      </c>
      <c r="E1456">
        <v>6</v>
      </c>
      <c r="F1456" t="s">
        <v>29</v>
      </c>
      <c r="G1456">
        <v>160000</v>
      </c>
      <c r="H1456">
        <v>145000</v>
      </c>
      <c r="I1456">
        <v>280000</v>
      </c>
      <c r="J1456" t="s">
        <v>170</v>
      </c>
      <c r="K1456" t="s">
        <v>171</v>
      </c>
      <c r="L1456" t="s">
        <v>32</v>
      </c>
      <c r="M1456" t="s">
        <v>45</v>
      </c>
      <c r="N1456" t="s">
        <v>124</v>
      </c>
      <c r="O1456" t="s">
        <v>3040</v>
      </c>
      <c r="P1456">
        <v>8.9</v>
      </c>
      <c r="Q1456">
        <v>87</v>
      </c>
      <c r="R1456">
        <v>20.100000000000001</v>
      </c>
      <c r="S1456">
        <v>8.4</v>
      </c>
      <c r="T1456">
        <v>2026</v>
      </c>
      <c r="U1456">
        <v>3</v>
      </c>
      <c r="V1456">
        <v>0</v>
      </c>
      <c r="W1456" t="s">
        <v>36</v>
      </c>
      <c r="X1456" t="s">
        <v>64</v>
      </c>
      <c r="Y1456" t="s">
        <v>48</v>
      </c>
    </row>
    <row r="1457" spans="1:25" x14ac:dyDescent="0.35">
      <c r="A1457" t="s">
        <v>3041</v>
      </c>
      <c r="B1457" t="s">
        <v>168</v>
      </c>
      <c r="C1457" t="s">
        <v>169</v>
      </c>
      <c r="D1457" t="s">
        <v>28</v>
      </c>
      <c r="E1457">
        <v>8</v>
      </c>
      <c r="F1457" t="s">
        <v>69</v>
      </c>
      <c r="G1457">
        <v>172000</v>
      </c>
      <c r="H1457">
        <v>157000</v>
      </c>
      <c r="I1457">
        <v>218000</v>
      </c>
      <c r="J1457" t="s">
        <v>170</v>
      </c>
      <c r="K1457" t="s">
        <v>171</v>
      </c>
      <c r="L1457" t="s">
        <v>44</v>
      </c>
      <c r="M1457" t="s">
        <v>33</v>
      </c>
      <c r="N1457" t="s">
        <v>155</v>
      </c>
      <c r="O1457" t="s">
        <v>3042</v>
      </c>
      <c r="P1457">
        <v>6.8</v>
      </c>
      <c r="Q1457">
        <v>90</v>
      </c>
      <c r="R1457">
        <v>24.2</v>
      </c>
      <c r="S1457">
        <v>8.9</v>
      </c>
      <c r="T1457">
        <v>2026</v>
      </c>
      <c r="U1457">
        <v>2</v>
      </c>
      <c r="V1457">
        <v>1</v>
      </c>
      <c r="W1457" t="s">
        <v>47</v>
      </c>
      <c r="X1457" t="s">
        <v>64</v>
      </c>
      <c r="Y1457" t="s">
        <v>48</v>
      </c>
    </row>
    <row r="1458" spans="1:25" x14ac:dyDescent="0.35">
      <c r="A1458" t="s">
        <v>3043</v>
      </c>
      <c r="B1458" t="s">
        <v>50</v>
      </c>
      <c r="C1458" t="s">
        <v>27</v>
      </c>
      <c r="D1458" t="s">
        <v>74</v>
      </c>
      <c r="E1458">
        <v>5</v>
      </c>
      <c r="F1458" t="s">
        <v>41</v>
      </c>
      <c r="G1458">
        <v>160000</v>
      </c>
      <c r="H1458">
        <v>160000</v>
      </c>
      <c r="I1458">
        <v>300000</v>
      </c>
      <c r="J1458" t="s">
        <v>42</v>
      </c>
      <c r="K1458" t="s">
        <v>43</v>
      </c>
      <c r="L1458" t="s">
        <v>32</v>
      </c>
      <c r="M1458" t="s">
        <v>33</v>
      </c>
      <c r="N1458" t="s">
        <v>110</v>
      </c>
      <c r="O1458" t="s">
        <v>3044</v>
      </c>
      <c r="P1458">
        <v>9.6999999999999993</v>
      </c>
      <c r="Q1458">
        <v>98</v>
      </c>
      <c r="R1458">
        <v>48</v>
      </c>
      <c r="S1458">
        <v>8.1999999999999993</v>
      </c>
      <c r="T1458">
        <v>2026</v>
      </c>
      <c r="U1458">
        <v>3</v>
      </c>
      <c r="V1458">
        <v>0</v>
      </c>
      <c r="W1458" t="s">
        <v>36</v>
      </c>
      <c r="X1458" t="s">
        <v>37</v>
      </c>
      <c r="Y1458" t="s">
        <v>48</v>
      </c>
    </row>
    <row r="1459" spans="1:25" x14ac:dyDescent="0.35">
      <c r="A1459" t="s">
        <v>3045</v>
      </c>
      <c r="B1459" t="s">
        <v>40</v>
      </c>
      <c r="C1459" t="s">
        <v>27</v>
      </c>
      <c r="D1459" t="s">
        <v>28</v>
      </c>
      <c r="E1459">
        <v>3</v>
      </c>
      <c r="F1459" t="s">
        <v>128</v>
      </c>
      <c r="G1459">
        <v>236000</v>
      </c>
      <c r="H1459">
        <v>90000</v>
      </c>
      <c r="I1459">
        <v>200000</v>
      </c>
      <c r="J1459" t="s">
        <v>191</v>
      </c>
      <c r="K1459" t="s">
        <v>31</v>
      </c>
      <c r="L1459" t="s">
        <v>44</v>
      </c>
      <c r="M1459" t="s">
        <v>45</v>
      </c>
      <c r="N1459" t="s">
        <v>165</v>
      </c>
      <c r="O1459" t="s">
        <v>3046</v>
      </c>
      <c r="P1459">
        <v>6.6</v>
      </c>
      <c r="Q1459">
        <v>82</v>
      </c>
      <c r="R1459">
        <v>28</v>
      </c>
      <c r="S1459">
        <v>8</v>
      </c>
      <c r="T1459">
        <v>2026</v>
      </c>
      <c r="U1459">
        <v>3</v>
      </c>
      <c r="V1459">
        <v>1</v>
      </c>
      <c r="W1459" t="s">
        <v>47</v>
      </c>
      <c r="X1459" t="s">
        <v>37</v>
      </c>
      <c r="Y1459" t="s">
        <v>38</v>
      </c>
    </row>
    <row r="1460" spans="1:25" x14ac:dyDescent="0.35">
      <c r="A1460" t="s">
        <v>3047</v>
      </c>
      <c r="B1460" t="s">
        <v>185</v>
      </c>
      <c r="C1460" t="s">
        <v>186</v>
      </c>
      <c r="D1460" t="s">
        <v>68</v>
      </c>
      <c r="E1460">
        <v>7</v>
      </c>
      <c r="F1460" t="s">
        <v>51</v>
      </c>
      <c r="G1460">
        <v>140000</v>
      </c>
      <c r="H1460">
        <v>140000</v>
      </c>
      <c r="I1460">
        <v>270000</v>
      </c>
      <c r="J1460" t="s">
        <v>92</v>
      </c>
      <c r="K1460" t="s">
        <v>93</v>
      </c>
      <c r="L1460" t="s">
        <v>44</v>
      </c>
      <c r="M1460" t="s">
        <v>33</v>
      </c>
      <c r="N1460" t="s">
        <v>34</v>
      </c>
      <c r="O1460" t="s">
        <v>3048</v>
      </c>
      <c r="P1460">
        <v>13.3</v>
      </c>
      <c r="Q1460">
        <v>85</v>
      </c>
      <c r="R1460">
        <v>29.9</v>
      </c>
      <c r="S1460">
        <v>6.8</v>
      </c>
      <c r="T1460">
        <v>2025</v>
      </c>
      <c r="U1460">
        <v>1</v>
      </c>
      <c r="V1460">
        <v>1</v>
      </c>
      <c r="W1460" t="s">
        <v>47</v>
      </c>
      <c r="X1460" t="s">
        <v>64</v>
      </c>
      <c r="Y1460" t="s">
        <v>95</v>
      </c>
    </row>
    <row r="1461" spans="1:25" x14ac:dyDescent="0.35">
      <c r="A1461" t="s">
        <v>3049</v>
      </c>
      <c r="B1461" t="s">
        <v>179</v>
      </c>
      <c r="C1461" t="s">
        <v>180</v>
      </c>
      <c r="D1461" t="s">
        <v>68</v>
      </c>
      <c r="E1461">
        <v>11</v>
      </c>
      <c r="F1461" t="s">
        <v>41</v>
      </c>
      <c r="G1461">
        <v>222000</v>
      </c>
      <c r="H1461">
        <v>110000</v>
      </c>
      <c r="I1461">
        <v>210000</v>
      </c>
      <c r="J1461" t="s">
        <v>70</v>
      </c>
      <c r="K1461" t="s">
        <v>31</v>
      </c>
      <c r="L1461" t="s">
        <v>44</v>
      </c>
      <c r="M1461" t="s">
        <v>33</v>
      </c>
      <c r="N1461" t="s">
        <v>88</v>
      </c>
      <c r="O1461" t="s">
        <v>3050</v>
      </c>
      <c r="P1461">
        <v>10.199999999999999</v>
      </c>
      <c r="Q1461">
        <v>72</v>
      </c>
      <c r="R1461">
        <v>19.600000000000001</v>
      </c>
      <c r="S1461">
        <v>6.6</v>
      </c>
      <c r="T1461">
        <v>2025</v>
      </c>
      <c r="U1461">
        <v>12</v>
      </c>
      <c r="V1461">
        <v>1</v>
      </c>
      <c r="W1461" t="s">
        <v>47</v>
      </c>
      <c r="X1461" t="s">
        <v>64</v>
      </c>
      <c r="Y1461" t="s">
        <v>38</v>
      </c>
    </row>
    <row r="1462" spans="1:25" x14ac:dyDescent="0.35">
      <c r="A1462" t="s">
        <v>3051</v>
      </c>
      <c r="B1462" t="s">
        <v>79</v>
      </c>
      <c r="C1462" t="s">
        <v>80</v>
      </c>
      <c r="D1462" t="s">
        <v>74</v>
      </c>
      <c r="E1462">
        <v>9</v>
      </c>
      <c r="F1462" t="s">
        <v>29</v>
      </c>
      <c r="G1462">
        <v>140000</v>
      </c>
      <c r="H1462">
        <v>140000</v>
      </c>
      <c r="I1462">
        <v>260000</v>
      </c>
      <c r="J1462" t="s">
        <v>113</v>
      </c>
      <c r="K1462" t="s">
        <v>114</v>
      </c>
      <c r="L1462" t="s">
        <v>53</v>
      </c>
      <c r="M1462" t="s">
        <v>82</v>
      </c>
      <c r="N1462" t="s">
        <v>131</v>
      </c>
      <c r="O1462" t="s">
        <v>3052</v>
      </c>
      <c r="P1462">
        <v>14.8</v>
      </c>
      <c r="Q1462">
        <v>80</v>
      </c>
      <c r="R1462">
        <v>14.8</v>
      </c>
      <c r="S1462">
        <v>6.7</v>
      </c>
      <c r="T1462">
        <v>2026</v>
      </c>
      <c r="U1462">
        <v>2</v>
      </c>
      <c r="V1462">
        <v>0</v>
      </c>
      <c r="W1462" t="s">
        <v>47</v>
      </c>
      <c r="X1462" t="s">
        <v>64</v>
      </c>
      <c r="Y1462" t="s">
        <v>95</v>
      </c>
    </row>
    <row r="1463" spans="1:25" x14ac:dyDescent="0.35">
      <c r="A1463" t="s">
        <v>3053</v>
      </c>
      <c r="B1463" t="s">
        <v>185</v>
      </c>
      <c r="C1463" t="s">
        <v>186</v>
      </c>
      <c r="D1463" t="s">
        <v>28</v>
      </c>
      <c r="E1463">
        <v>5</v>
      </c>
      <c r="F1463" t="s">
        <v>51</v>
      </c>
      <c r="G1463">
        <v>140000</v>
      </c>
      <c r="H1463">
        <v>140000</v>
      </c>
      <c r="I1463">
        <v>270000</v>
      </c>
      <c r="J1463" t="s">
        <v>113</v>
      </c>
      <c r="K1463" t="s">
        <v>114</v>
      </c>
      <c r="L1463" t="s">
        <v>44</v>
      </c>
      <c r="M1463" t="s">
        <v>33</v>
      </c>
      <c r="N1463" t="s">
        <v>88</v>
      </c>
      <c r="O1463" t="s">
        <v>3054</v>
      </c>
      <c r="P1463">
        <v>10.9</v>
      </c>
      <c r="Q1463">
        <v>85</v>
      </c>
      <c r="R1463">
        <v>24.8</v>
      </c>
      <c r="S1463">
        <v>7.3</v>
      </c>
      <c r="T1463">
        <v>2025</v>
      </c>
      <c r="U1463">
        <v>4</v>
      </c>
      <c r="V1463">
        <v>1</v>
      </c>
      <c r="W1463" t="s">
        <v>47</v>
      </c>
      <c r="X1463" t="s">
        <v>64</v>
      </c>
      <c r="Y1463" t="s">
        <v>95</v>
      </c>
    </row>
    <row r="1464" spans="1:25" x14ac:dyDescent="0.35">
      <c r="A1464" t="s">
        <v>3055</v>
      </c>
      <c r="B1464" t="s">
        <v>185</v>
      </c>
      <c r="C1464" t="s">
        <v>186</v>
      </c>
      <c r="D1464" t="s">
        <v>28</v>
      </c>
      <c r="E1464">
        <v>3</v>
      </c>
      <c r="F1464" t="s">
        <v>128</v>
      </c>
      <c r="G1464">
        <v>249000</v>
      </c>
      <c r="H1464">
        <v>140000</v>
      </c>
      <c r="I1464">
        <v>270000</v>
      </c>
      <c r="J1464" t="s">
        <v>60</v>
      </c>
      <c r="K1464" t="s">
        <v>60</v>
      </c>
      <c r="L1464" t="s">
        <v>44</v>
      </c>
      <c r="M1464" t="s">
        <v>82</v>
      </c>
      <c r="N1464" t="s">
        <v>71</v>
      </c>
      <c r="O1464" t="s">
        <v>3056</v>
      </c>
      <c r="P1464">
        <v>11.1</v>
      </c>
      <c r="Q1464">
        <v>85</v>
      </c>
      <c r="R1464">
        <v>28.4</v>
      </c>
      <c r="S1464">
        <v>9</v>
      </c>
      <c r="T1464">
        <v>2026</v>
      </c>
      <c r="U1464">
        <v>2</v>
      </c>
      <c r="V1464">
        <v>1</v>
      </c>
      <c r="W1464" t="s">
        <v>47</v>
      </c>
      <c r="X1464" t="s">
        <v>64</v>
      </c>
      <c r="Y1464" t="s">
        <v>38</v>
      </c>
    </row>
    <row r="1465" spans="1:25" x14ac:dyDescent="0.35">
      <c r="A1465" t="s">
        <v>3057</v>
      </c>
      <c r="B1465" t="s">
        <v>50</v>
      </c>
      <c r="C1465" t="s">
        <v>27</v>
      </c>
      <c r="D1465" t="s">
        <v>74</v>
      </c>
      <c r="E1465">
        <v>7</v>
      </c>
      <c r="F1465" t="s">
        <v>51</v>
      </c>
      <c r="G1465">
        <v>160000</v>
      </c>
      <c r="H1465">
        <v>160000</v>
      </c>
      <c r="I1465">
        <v>300000</v>
      </c>
      <c r="J1465" t="s">
        <v>30</v>
      </c>
      <c r="K1465" t="s">
        <v>31</v>
      </c>
      <c r="L1465" t="s">
        <v>44</v>
      </c>
      <c r="M1465" t="s">
        <v>61</v>
      </c>
      <c r="N1465" t="s">
        <v>62</v>
      </c>
      <c r="O1465" t="s">
        <v>3058</v>
      </c>
      <c r="P1465">
        <v>5.8</v>
      </c>
      <c r="Q1465">
        <v>98</v>
      </c>
      <c r="R1465">
        <v>81.099999999999994</v>
      </c>
      <c r="S1465">
        <v>6.6</v>
      </c>
      <c r="T1465">
        <v>2025</v>
      </c>
      <c r="U1465">
        <v>9</v>
      </c>
      <c r="V1465">
        <v>0</v>
      </c>
      <c r="W1465" t="s">
        <v>47</v>
      </c>
      <c r="X1465" t="s">
        <v>37</v>
      </c>
      <c r="Y1465" t="s">
        <v>48</v>
      </c>
    </row>
    <row r="1466" spans="1:25" x14ac:dyDescent="0.35">
      <c r="A1466" t="s">
        <v>3059</v>
      </c>
      <c r="B1466" t="s">
        <v>26</v>
      </c>
      <c r="C1466" t="s">
        <v>27</v>
      </c>
      <c r="D1466" t="s">
        <v>28</v>
      </c>
      <c r="E1466">
        <v>5</v>
      </c>
      <c r="F1466" t="s">
        <v>69</v>
      </c>
      <c r="G1466">
        <v>160000</v>
      </c>
      <c r="H1466">
        <v>155000</v>
      </c>
      <c r="I1466">
        <v>290000</v>
      </c>
      <c r="J1466" t="s">
        <v>42</v>
      </c>
      <c r="K1466" t="s">
        <v>43</v>
      </c>
      <c r="L1466" t="s">
        <v>32</v>
      </c>
      <c r="M1466" t="s">
        <v>33</v>
      </c>
      <c r="N1466" t="s">
        <v>62</v>
      </c>
      <c r="O1466" t="s">
        <v>3060</v>
      </c>
      <c r="P1466">
        <v>12.1</v>
      </c>
      <c r="Q1466">
        <v>96</v>
      </c>
      <c r="R1466">
        <v>66.5</v>
      </c>
      <c r="S1466">
        <v>7.6</v>
      </c>
      <c r="T1466">
        <v>2026</v>
      </c>
      <c r="U1466">
        <v>2</v>
      </c>
      <c r="V1466">
        <v>1</v>
      </c>
      <c r="W1466" t="s">
        <v>36</v>
      </c>
      <c r="X1466" t="s">
        <v>37</v>
      </c>
      <c r="Y1466" t="s">
        <v>48</v>
      </c>
    </row>
    <row r="1467" spans="1:25" x14ac:dyDescent="0.35">
      <c r="A1467" t="s">
        <v>3061</v>
      </c>
      <c r="B1467" t="s">
        <v>233</v>
      </c>
      <c r="C1467" t="s">
        <v>180</v>
      </c>
      <c r="D1467" t="s">
        <v>28</v>
      </c>
      <c r="E1467">
        <v>5</v>
      </c>
      <c r="F1467" t="s">
        <v>29</v>
      </c>
      <c r="G1467">
        <v>186000</v>
      </c>
      <c r="H1467">
        <v>100000</v>
      </c>
      <c r="I1467">
        <v>200000</v>
      </c>
      <c r="J1467" t="s">
        <v>102</v>
      </c>
      <c r="K1467" t="s">
        <v>103</v>
      </c>
      <c r="L1467" t="s">
        <v>44</v>
      </c>
      <c r="M1467" t="s">
        <v>54</v>
      </c>
      <c r="N1467" t="s">
        <v>62</v>
      </c>
      <c r="O1467" t="s">
        <v>3062</v>
      </c>
      <c r="P1467">
        <v>14.9</v>
      </c>
      <c r="Q1467">
        <v>68</v>
      </c>
      <c r="R1467">
        <v>25.6</v>
      </c>
      <c r="S1467">
        <v>7.5</v>
      </c>
      <c r="T1467">
        <v>2025</v>
      </c>
      <c r="U1467">
        <v>11</v>
      </c>
      <c r="V1467">
        <v>1</v>
      </c>
      <c r="W1467" t="s">
        <v>47</v>
      </c>
      <c r="X1467" t="s">
        <v>64</v>
      </c>
      <c r="Y1467" t="s">
        <v>48</v>
      </c>
    </row>
    <row r="1468" spans="1:25" x14ac:dyDescent="0.35">
      <c r="A1468" t="s">
        <v>3063</v>
      </c>
      <c r="B1468" t="s">
        <v>168</v>
      </c>
      <c r="C1468" t="s">
        <v>169</v>
      </c>
      <c r="D1468" t="s">
        <v>74</v>
      </c>
      <c r="E1468">
        <v>7</v>
      </c>
      <c r="F1468" t="s">
        <v>29</v>
      </c>
      <c r="G1468">
        <v>171000</v>
      </c>
      <c r="H1468">
        <v>157000</v>
      </c>
      <c r="I1468">
        <v>218000</v>
      </c>
      <c r="J1468" t="s">
        <v>122</v>
      </c>
      <c r="K1468" t="s">
        <v>123</v>
      </c>
      <c r="L1468" t="s">
        <v>44</v>
      </c>
      <c r="M1468" t="s">
        <v>54</v>
      </c>
      <c r="N1468" t="s">
        <v>34</v>
      </c>
      <c r="O1468" t="s">
        <v>3064</v>
      </c>
      <c r="P1468">
        <v>7.2</v>
      </c>
      <c r="Q1468">
        <v>90</v>
      </c>
      <c r="R1468">
        <v>15.8</v>
      </c>
      <c r="S1468">
        <v>9.6</v>
      </c>
      <c r="T1468">
        <v>2026</v>
      </c>
      <c r="U1468">
        <v>3</v>
      </c>
      <c r="V1468">
        <v>0</v>
      </c>
      <c r="W1468" t="s">
        <v>47</v>
      </c>
      <c r="X1468" t="s">
        <v>64</v>
      </c>
      <c r="Y1468" t="s">
        <v>48</v>
      </c>
    </row>
    <row r="1469" spans="1:25" x14ac:dyDescent="0.35">
      <c r="A1469" t="s">
        <v>3065</v>
      </c>
      <c r="B1469" t="s">
        <v>86</v>
      </c>
      <c r="C1469" t="s">
        <v>27</v>
      </c>
      <c r="D1469" t="s">
        <v>81</v>
      </c>
      <c r="E1469">
        <v>8</v>
      </c>
      <c r="F1469" t="s">
        <v>41</v>
      </c>
      <c r="G1469">
        <v>180000</v>
      </c>
      <c r="H1469">
        <v>180000</v>
      </c>
      <c r="I1469">
        <v>312000</v>
      </c>
      <c r="J1469" t="s">
        <v>113</v>
      </c>
      <c r="K1469" t="s">
        <v>114</v>
      </c>
      <c r="L1469" t="s">
        <v>32</v>
      </c>
      <c r="M1469" t="s">
        <v>33</v>
      </c>
      <c r="N1469" t="s">
        <v>76</v>
      </c>
      <c r="O1469" t="s">
        <v>3066</v>
      </c>
      <c r="P1469">
        <v>8.6999999999999993</v>
      </c>
      <c r="Q1469">
        <v>96</v>
      </c>
      <c r="R1469">
        <v>62.4</v>
      </c>
      <c r="S1469">
        <v>8.6</v>
      </c>
      <c r="T1469">
        <v>2026</v>
      </c>
      <c r="U1469">
        <v>1</v>
      </c>
      <c r="V1469">
        <v>0</v>
      </c>
      <c r="W1469" t="s">
        <v>36</v>
      </c>
      <c r="X1469" t="s">
        <v>64</v>
      </c>
      <c r="Y1469" t="s">
        <v>48</v>
      </c>
    </row>
    <row r="1470" spans="1:25" x14ac:dyDescent="0.35">
      <c r="A1470" t="s">
        <v>3067</v>
      </c>
      <c r="B1470" t="s">
        <v>153</v>
      </c>
      <c r="C1470" t="s">
        <v>154</v>
      </c>
      <c r="D1470" t="s">
        <v>81</v>
      </c>
      <c r="E1470">
        <v>8</v>
      </c>
      <c r="F1470" t="s">
        <v>51</v>
      </c>
      <c r="G1470">
        <v>183000</v>
      </c>
      <c r="H1470">
        <v>95000</v>
      </c>
      <c r="I1470">
        <v>180000</v>
      </c>
      <c r="J1470" t="s">
        <v>52</v>
      </c>
      <c r="K1470" t="s">
        <v>31</v>
      </c>
      <c r="L1470" t="s">
        <v>32</v>
      </c>
      <c r="M1470" t="s">
        <v>54</v>
      </c>
      <c r="N1470" t="s">
        <v>88</v>
      </c>
      <c r="O1470" t="s">
        <v>3068</v>
      </c>
      <c r="P1470">
        <v>9.6999999999999993</v>
      </c>
      <c r="Q1470">
        <v>78</v>
      </c>
      <c r="R1470">
        <v>15.4</v>
      </c>
      <c r="S1470">
        <v>9.3000000000000007</v>
      </c>
      <c r="T1470">
        <v>2026</v>
      </c>
      <c r="U1470">
        <v>1</v>
      </c>
      <c r="V1470">
        <v>0</v>
      </c>
      <c r="W1470" t="s">
        <v>36</v>
      </c>
      <c r="X1470" t="s">
        <v>64</v>
      </c>
      <c r="Y1470" t="s">
        <v>48</v>
      </c>
    </row>
    <row r="1471" spans="1:25" x14ac:dyDescent="0.35">
      <c r="A1471" t="s">
        <v>3069</v>
      </c>
      <c r="B1471" t="s">
        <v>168</v>
      </c>
      <c r="C1471" t="s">
        <v>169</v>
      </c>
      <c r="D1471" t="s">
        <v>68</v>
      </c>
      <c r="E1471">
        <v>7</v>
      </c>
      <c r="F1471" t="s">
        <v>69</v>
      </c>
      <c r="G1471">
        <v>201000</v>
      </c>
      <c r="H1471">
        <v>157000</v>
      </c>
      <c r="I1471">
        <v>218000</v>
      </c>
      <c r="J1471" t="s">
        <v>117</v>
      </c>
      <c r="K1471" t="s">
        <v>118</v>
      </c>
      <c r="L1471" t="s">
        <v>53</v>
      </c>
      <c r="M1471" t="s">
        <v>61</v>
      </c>
      <c r="N1471" t="s">
        <v>131</v>
      </c>
      <c r="O1471" t="s">
        <v>3070</v>
      </c>
      <c r="P1471">
        <v>9.5</v>
      </c>
      <c r="Q1471">
        <v>90</v>
      </c>
      <c r="R1471">
        <v>6.6</v>
      </c>
      <c r="S1471">
        <v>6.7</v>
      </c>
      <c r="T1471">
        <v>2025</v>
      </c>
      <c r="U1471">
        <v>11</v>
      </c>
      <c r="V1471">
        <v>1</v>
      </c>
      <c r="W1471" t="s">
        <v>47</v>
      </c>
      <c r="X1471" t="s">
        <v>64</v>
      </c>
      <c r="Y1471" t="s">
        <v>38</v>
      </c>
    </row>
    <row r="1472" spans="1:25" x14ac:dyDescent="0.35">
      <c r="A1472" t="s">
        <v>3071</v>
      </c>
      <c r="B1472" t="s">
        <v>79</v>
      </c>
      <c r="C1472" t="s">
        <v>80</v>
      </c>
      <c r="D1472" t="s">
        <v>81</v>
      </c>
      <c r="E1472">
        <v>3</v>
      </c>
      <c r="F1472" t="s">
        <v>69</v>
      </c>
      <c r="G1472">
        <v>201000</v>
      </c>
      <c r="H1472">
        <v>140000</v>
      </c>
      <c r="I1472">
        <v>260000</v>
      </c>
      <c r="J1472" t="s">
        <v>174</v>
      </c>
      <c r="K1472" t="s">
        <v>31</v>
      </c>
      <c r="L1472" t="s">
        <v>53</v>
      </c>
      <c r="M1472" t="s">
        <v>33</v>
      </c>
      <c r="N1472" t="s">
        <v>131</v>
      </c>
      <c r="O1472" t="s">
        <v>3072</v>
      </c>
      <c r="P1472">
        <v>10.7</v>
      </c>
      <c r="Q1472">
        <v>80</v>
      </c>
      <c r="R1472">
        <v>15.2</v>
      </c>
      <c r="S1472">
        <v>9.1999999999999993</v>
      </c>
      <c r="T1472">
        <v>2026</v>
      </c>
      <c r="U1472">
        <v>3</v>
      </c>
      <c r="V1472">
        <v>0</v>
      </c>
      <c r="W1472" t="s">
        <v>47</v>
      </c>
      <c r="X1472" t="s">
        <v>64</v>
      </c>
      <c r="Y1472" t="s">
        <v>38</v>
      </c>
    </row>
    <row r="1473" spans="1:25" x14ac:dyDescent="0.35">
      <c r="A1473" t="s">
        <v>3073</v>
      </c>
      <c r="B1473" t="s">
        <v>196</v>
      </c>
      <c r="C1473" t="s">
        <v>27</v>
      </c>
      <c r="D1473" t="s">
        <v>68</v>
      </c>
      <c r="E1473">
        <v>4</v>
      </c>
      <c r="F1473" t="s">
        <v>29</v>
      </c>
      <c r="G1473">
        <v>217000</v>
      </c>
      <c r="H1473">
        <v>100000</v>
      </c>
      <c r="I1473">
        <v>250000</v>
      </c>
      <c r="J1473" t="s">
        <v>122</v>
      </c>
      <c r="K1473" t="s">
        <v>123</v>
      </c>
      <c r="L1473" t="s">
        <v>44</v>
      </c>
      <c r="M1473" t="s">
        <v>82</v>
      </c>
      <c r="N1473" t="s">
        <v>124</v>
      </c>
      <c r="O1473" t="s">
        <v>3074</v>
      </c>
      <c r="P1473">
        <v>12.9</v>
      </c>
      <c r="Q1473">
        <v>95</v>
      </c>
      <c r="R1473">
        <v>81.099999999999994</v>
      </c>
      <c r="S1473">
        <v>7</v>
      </c>
      <c r="T1473">
        <v>2026</v>
      </c>
      <c r="U1473">
        <v>3</v>
      </c>
      <c r="V1473">
        <v>1</v>
      </c>
      <c r="W1473" t="s">
        <v>47</v>
      </c>
      <c r="X1473" t="s">
        <v>64</v>
      </c>
      <c r="Y1473" t="s">
        <v>38</v>
      </c>
    </row>
    <row r="1474" spans="1:25" x14ac:dyDescent="0.35">
      <c r="A1474" t="s">
        <v>3075</v>
      </c>
      <c r="B1474" t="s">
        <v>185</v>
      </c>
      <c r="C1474" t="s">
        <v>186</v>
      </c>
      <c r="D1474" t="s">
        <v>68</v>
      </c>
      <c r="E1474">
        <v>6</v>
      </c>
      <c r="F1474" t="s">
        <v>128</v>
      </c>
      <c r="G1474">
        <v>140000</v>
      </c>
      <c r="H1474">
        <v>140000</v>
      </c>
      <c r="I1474">
        <v>270000</v>
      </c>
      <c r="J1474" t="s">
        <v>108</v>
      </c>
      <c r="K1474" t="s">
        <v>109</v>
      </c>
      <c r="L1474" t="s">
        <v>44</v>
      </c>
      <c r="M1474" t="s">
        <v>82</v>
      </c>
      <c r="N1474" t="s">
        <v>131</v>
      </c>
      <c r="O1474" t="s">
        <v>3076</v>
      </c>
      <c r="P1474">
        <v>9.6</v>
      </c>
      <c r="Q1474">
        <v>85</v>
      </c>
      <c r="R1474">
        <v>18.100000000000001</v>
      </c>
      <c r="S1474">
        <v>9</v>
      </c>
      <c r="T1474">
        <v>2025</v>
      </c>
      <c r="U1474">
        <v>3</v>
      </c>
      <c r="V1474">
        <v>1</v>
      </c>
      <c r="W1474" t="s">
        <v>47</v>
      </c>
      <c r="X1474" t="s">
        <v>64</v>
      </c>
      <c r="Y1474" t="s">
        <v>95</v>
      </c>
    </row>
    <row r="1475" spans="1:25" x14ac:dyDescent="0.35">
      <c r="A1475" t="s">
        <v>3077</v>
      </c>
      <c r="B1475" t="s">
        <v>50</v>
      </c>
      <c r="C1475" t="s">
        <v>27</v>
      </c>
      <c r="D1475" t="s">
        <v>28</v>
      </c>
      <c r="E1475">
        <v>2</v>
      </c>
      <c r="F1475" t="s">
        <v>41</v>
      </c>
      <c r="G1475">
        <v>322000</v>
      </c>
      <c r="H1475">
        <v>160000</v>
      </c>
      <c r="I1475">
        <v>300000</v>
      </c>
      <c r="J1475" t="s">
        <v>52</v>
      </c>
      <c r="K1475" t="s">
        <v>31</v>
      </c>
      <c r="L1475" t="s">
        <v>53</v>
      </c>
      <c r="M1475" t="s">
        <v>45</v>
      </c>
      <c r="N1475" t="s">
        <v>76</v>
      </c>
      <c r="O1475" t="s">
        <v>3078</v>
      </c>
      <c r="P1475">
        <v>5.8</v>
      </c>
      <c r="Q1475">
        <v>98</v>
      </c>
      <c r="R1475">
        <v>52.6</v>
      </c>
      <c r="S1475">
        <v>9</v>
      </c>
      <c r="T1475">
        <v>2025</v>
      </c>
      <c r="U1475">
        <v>11</v>
      </c>
      <c r="V1475">
        <v>1</v>
      </c>
      <c r="W1475" t="s">
        <v>47</v>
      </c>
      <c r="X1475" t="s">
        <v>37</v>
      </c>
      <c r="Y1475" t="s">
        <v>56</v>
      </c>
    </row>
    <row r="1476" spans="1:25" x14ac:dyDescent="0.35">
      <c r="A1476" t="s">
        <v>3079</v>
      </c>
      <c r="B1476" t="s">
        <v>50</v>
      </c>
      <c r="C1476" t="s">
        <v>27</v>
      </c>
      <c r="D1476" t="s">
        <v>68</v>
      </c>
      <c r="E1476">
        <v>7</v>
      </c>
      <c r="F1476" t="s">
        <v>51</v>
      </c>
      <c r="G1476">
        <v>255000</v>
      </c>
      <c r="H1476">
        <v>160000</v>
      </c>
      <c r="I1476">
        <v>300000</v>
      </c>
      <c r="J1476" t="s">
        <v>137</v>
      </c>
      <c r="K1476" t="s">
        <v>138</v>
      </c>
      <c r="L1476" t="s">
        <v>32</v>
      </c>
      <c r="M1476" t="s">
        <v>82</v>
      </c>
      <c r="N1476" t="s">
        <v>110</v>
      </c>
      <c r="O1476" t="s">
        <v>3080</v>
      </c>
      <c r="P1476">
        <v>7.8</v>
      </c>
      <c r="Q1476">
        <v>98</v>
      </c>
      <c r="R1476">
        <v>32.4</v>
      </c>
      <c r="S1476">
        <v>7.4</v>
      </c>
      <c r="T1476">
        <v>2026</v>
      </c>
      <c r="U1476">
        <v>1</v>
      </c>
      <c r="V1476">
        <v>1</v>
      </c>
      <c r="W1476" t="s">
        <v>36</v>
      </c>
      <c r="X1476" t="s">
        <v>37</v>
      </c>
      <c r="Y1476" t="s">
        <v>38</v>
      </c>
    </row>
    <row r="1477" spans="1:25" x14ac:dyDescent="0.35">
      <c r="A1477" t="s">
        <v>3081</v>
      </c>
      <c r="B1477" t="s">
        <v>50</v>
      </c>
      <c r="C1477" t="s">
        <v>27</v>
      </c>
      <c r="D1477" t="s">
        <v>74</v>
      </c>
      <c r="E1477">
        <v>4</v>
      </c>
      <c r="F1477" t="s">
        <v>51</v>
      </c>
      <c r="G1477">
        <v>161000</v>
      </c>
      <c r="H1477">
        <v>160000</v>
      </c>
      <c r="I1477">
        <v>300000</v>
      </c>
      <c r="J1477" t="s">
        <v>174</v>
      </c>
      <c r="K1477" t="s">
        <v>31</v>
      </c>
      <c r="L1477" t="s">
        <v>44</v>
      </c>
      <c r="M1477" t="s">
        <v>33</v>
      </c>
      <c r="N1477" t="s">
        <v>124</v>
      </c>
      <c r="O1477" t="s">
        <v>3082</v>
      </c>
      <c r="P1477">
        <v>8.1</v>
      </c>
      <c r="Q1477">
        <v>98</v>
      </c>
      <c r="R1477">
        <v>44.2</v>
      </c>
      <c r="S1477">
        <v>9.3000000000000007</v>
      </c>
      <c r="T1477">
        <v>2025</v>
      </c>
      <c r="U1477">
        <v>3</v>
      </c>
      <c r="V1477">
        <v>0</v>
      </c>
      <c r="W1477" t="s">
        <v>47</v>
      </c>
      <c r="X1477" t="s">
        <v>37</v>
      </c>
      <c r="Y1477" t="s">
        <v>48</v>
      </c>
    </row>
    <row r="1478" spans="1:25" x14ac:dyDescent="0.35">
      <c r="A1478" t="s">
        <v>3083</v>
      </c>
      <c r="B1478" t="s">
        <v>127</v>
      </c>
      <c r="C1478" t="s">
        <v>27</v>
      </c>
      <c r="D1478" t="s">
        <v>74</v>
      </c>
      <c r="E1478">
        <v>7</v>
      </c>
      <c r="F1478" t="s">
        <v>41</v>
      </c>
      <c r="G1478">
        <v>157000</v>
      </c>
      <c r="H1478">
        <v>120000</v>
      </c>
      <c r="I1478">
        <v>280000</v>
      </c>
      <c r="J1478" t="s">
        <v>47</v>
      </c>
      <c r="K1478" t="s">
        <v>87</v>
      </c>
      <c r="L1478" t="s">
        <v>44</v>
      </c>
      <c r="M1478" t="s">
        <v>45</v>
      </c>
      <c r="N1478" t="s">
        <v>124</v>
      </c>
      <c r="O1478" t="s">
        <v>3084</v>
      </c>
      <c r="P1478">
        <v>11.8</v>
      </c>
      <c r="Q1478">
        <v>97</v>
      </c>
      <c r="R1478">
        <v>66.099999999999994</v>
      </c>
      <c r="S1478">
        <v>8.5</v>
      </c>
      <c r="T1478">
        <v>2025</v>
      </c>
      <c r="U1478">
        <v>2</v>
      </c>
      <c r="V1478">
        <v>0</v>
      </c>
      <c r="W1478" t="s">
        <v>47</v>
      </c>
      <c r="X1478" t="s">
        <v>64</v>
      </c>
      <c r="Y1478" t="s">
        <v>48</v>
      </c>
    </row>
    <row r="1479" spans="1:25" x14ac:dyDescent="0.35">
      <c r="A1479" t="s">
        <v>3085</v>
      </c>
      <c r="B1479" t="s">
        <v>146</v>
      </c>
      <c r="C1479" t="s">
        <v>27</v>
      </c>
      <c r="D1479" t="s">
        <v>74</v>
      </c>
      <c r="E1479">
        <v>9</v>
      </c>
      <c r="F1479" t="s">
        <v>41</v>
      </c>
      <c r="G1479">
        <v>170000</v>
      </c>
      <c r="H1479">
        <v>160000</v>
      </c>
      <c r="I1479">
        <v>300000</v>
      </c>
      <c r="J1479" t="s">
        <v>296</v>
      </c>
      <c r="K1479" t="s">
        <v>31</v>
      </c>
      <c r="L1479" t="s">
        <v>53</v>
      </c>
      <c r="M1479" t="s">
        <v>82</v>
      </c>
      <c r="N1479" t="s">
        <v>155</v>
      </c>
      <c r="O1479" t="s">
        <v>3086</v>
      </c>
      <c r="P1479">
        <v>8.3000000000000007</v>
      </c>
      <c r="Q1479">
        <v>90</v>
      </c>
      <c r="R1479">
        <v>9.4</v>
      </c>
      <c r="S1479">
        <v>7.4</v>
      </c>
      <c r="T1479">
        <v>2025</v>
      </c>
      <c r="U1479">
        <v>11</v>
      </c>
      <c r="V1479">
        <v>0</v>
      </c>
      <c r="W1479" t="s">
        <v>47</v>
      </c>
      <c r="X1479" t="s">
        <v>64</v>
      </c>
      <c r="Y1479" t="s">
        <v>48</v>
      </c>
    </row>
    <row r="1480" spans="1:25" x14ac:dyDescent="0.35">
      <c r="A1480" t="s">
        <v>3087</v>
      </c>
      <c r="B1480" t="s">
        <v>149</v>
      </c>
      <c r="C1480" t="s">
        <v>150</v>
      </c>
      <c r="D1480" t="s">
        <v>81</v>
      </c>
      <c r="E1480">
        <v>7</v>
      </c>
      <c r="F1480" t="s">
        <v>29</v>
      </c>
      <c r="G1480">
        <v>130000</v>
      </c>
      <c r="H1480">
        <v>130000</v>
      </c>
      <c r="I1480">
        <v>260000</v>
      </c>
      <c r="J1480" t="s">
        <v>92</v>
      </c>
      <c r="K1480" t="s">
        <v>93</v>
      </c>
      <c r="L1480" t="s">
        <v>44</v>
      </c>
      <c r="M1480" t="s">
        <v>45</v>
      </c>
      <c r="N1480" t="s">
        <v>110</v>
      </c>
      <c r="O1480" t="s">
        <v>3088</v>
      </c>
      <c r="P1480">
        <v>14.7</v>
      </c>
      <c r="Q1480">
        <v>93</v>
      </c>
      <c r="R1480">
        <v>62.7</v>
      </c>
      <c r="S1480">
        <v>9.3000000000000007</v>
      </c>
      <c r="T1480">
        <v>2025</v>
      </c>
      <c r="U1480">
        <v>4</v>
      </c>
      <c r="V1480">
        <v>0</v>
      </c>
      <c r="W1480" t="s">
        <v>47</v>
      </c>
      <c r="X1480" t="s">
        <v>64</v>
      </c>
      <c r="Y1480" t="s">
        <v>95</v>
      </c>
    </row>
    <row r="1481" spans="1:25" x14ac:dyDescent="0.35">
      <c r="A1481" t="s">
        <v>3089</v>
      </c>
      <c r="B1481" t="s">
        <v>158</v>
      </c>
      <c r="C1481" t="s">
        <v>27</v>
      </c>
      <c r="D1481" t="s">
        <v>68</v>
      </c>
      <c r="E1481">
        <v>3</v>
      </c>
      <c r="F1481" t="s">
        <v>128</v>
      </c>
      <c r="G1481">
        <v>271000</v>
      </c>
      <c r="H1481">
        <v>145000</v>
      </c>
      <c r="I1481">
        <v>280000</v>
      </c>
      <c r="J1481" t="s">
        <v>122</v>
      </c>
      <c r="K1481" t="s">
        <v>123</v>
      </c>
      <c r="L1481" t="s">
        <v>44</v>
      </c>
      <c r="M1481" t="s">
        <v>82</v>
      </c>
      <c r="N1481" t="s">
        <v>34</v>
      </c>
      <c r="O1481" t="s">
        <v>3090</v>
      </c>
      <c r="P1481">
        <v>3.8</v>
      </c>
      <c r="Q1481">
        <v>94</v>
      </c>
      <c r="R1481">
        <v>71.8</v>
      </c>
      <c r="S1481">
        <v>6.8</v>
      </c>
      <c r="T1481">
        <v>2025</v>
      </c>
      <c r="U1481">
        <v>11</v>
      </c>
      <c r="V1481">
        <v>1</v>
      </c>
      <c r="W1481" t="s">
        <v>47</v>
      </c>
      <c r="X1481" t="s">
        <v>37</v>
      </c>
      <c r="Y1481" t="s">
        <v>38</v>
      </c>
    </row>
    <row r="1482" spans="1:25" x14ac:dyDescent="0.35">
      <c r="A1482" t="s">
        <v>3091</v>
      </c>
      <c r="B1482" t="s">
        <v>58</v>
      </c>
      <c r="C1482" t="s">
        <v>59</v>
      </c>
      <c r="D1482" t="s">
        <v>81</v>
      </c>
      <c r="E1482">
        <v>6</v>
      </c>
      <c r="F1482" t="s">
        <v>69</v>
      </c>
      <c r="G1482">
        <v>160000</v>
      </c>
      <c r="H1482">
        <v>130000</v>
      </c>
      <c r="I1482">
        <v>220000</v>
      </c>
      <c r="J1482" t="s">
        <v>52</v>
      </c>
      <c r="K1482" t="s">
        <v>31</v>
      </c>
      <c r="L1482" t="s">
        <v>32</v>
      </c>
      <c r="M1482" t="s">
        <v>61</v>
      </c>
      <c r="N1482" t="s">
        <v>155</v>
      </c>
      <c r="O1482" t="s">
        <v>3092</v>
      </c>
      <c r="P1482">
        <v>14.8</v>
      </c>
      <c r="Q1482">
        <v>88</v>
      </c>
      <c r="R1482">
        <v>14.4</v>
      </c>
      <c r="S1482">
        <v>9.5</v>
      </c>
      <c r="T1482">
        <v>2026</v>
      </c>
      <c r="U1482">
        <v>2</v>
      </c>
      <c r="V1482">
        <v>0</v>
      </c>
      <c r="W1482" t="s">
        <v>36</v>
      </c>
      <c r="X1482" t="s">
        <v>64</v>
      </c>
      <c r="Y1482" t="s">
        <v>48</v>
      </c>
    </row>
    <row r="1483" spans="1:25" x14ac:dyDescent="0.35">
      <c r="A1483" t="s">
        <v>3093</v>
      </c>
      <c r="B1483" t="s">
        <v>66</v>
      </c>
      <c r="C1483" t="s">
        <v>67</v>
      </c>
      <c r="D1483" t="s">
        <v>68</v>
      </c>
      <c r="E1483">
        <v>4</v>
      </c>
      <c r="F1483" t="s">
        <v>128</v>
      </c>
      <c r="G1483">
        <v>294000</v>
      </c>
      <c r="H1483">
        <v>140000</v>
      </c>
      <c r="I1483">
        <v>260000</v>
      </c>
      <c r="J1483" t="s">
        <v>47</v>
      </c>
      <c r="K1483" t="s">
        <v>87</v>
      </c>
      <c r="L1483" t="s">
        <v>44</v>
      </c>
      <c r="M1483" t="s">
        <v>33</v>
      </c>
      <c r="N1483" t="s">
        <v>110</v>
      </c>
      <c r="O1483" t="s">
        <v>3094</v>
      </c>
      <c r="P1483">
        <v>8.3000000000000007</v>
      </c>
      <c r="Q1483">
        <v>85</v>
      </c>
      <c r="R1483">
        <v>6.5</v>
      </c>
      <c r="S1483">
        <v>9.6</v>
      </c>
      <c r="T1483">
        <v>2026</v>
      </c>
      <c r="U1483">
        <v>3</v>
      </c>
      <c r="V1483">
        <v>1</v>
      </c>
      <c r="W1483" t="s">
        <v>47</v>
      </c>
      <c r="X1483" t="s">
        <v>64</v>
      </c>
      <c r="Y1483" t="s">
        <v>38</v>
      </c>
    </row>
    <row r="1484" spans="1:25" x14ac:dyDescent="0.35">
      <c r="A1484" t="s">
        <v>3095</v>
      </c>
      <c r="B1484" t="s">
        <v>50</v>
      </c>
      <c r="C1484" t="s">
        <v>27</v>
      </c>
      <c r="D1484" t="s">
        <v>74</v>
      </c>
      <c r="E1484">
        <v>4</v>
      </c>
      <c r="F1484" t="s">
        <v>128</v>
      </c>
      <c r="G1484">
        <v>183000</v>
      </c>
      <c r="H1484">
        <v>160000</v>
      </c>
      <c r="I1484">
        <v>300000</v>
      </c>
      <c r="J1484" t="s">
        <v>75</v>
      </c>
      <c r="K1484" t="s">
        <v>31</v>
      </c>
      <c r="L1484" t="s">
        <v>32</v>
      </c>
      <c r="M1484" t="s">
        <v>82</v>
      </c>
      <c r="N1484" t="s">
        <v>83</v>
      </c>
      <c r="O1484" t="s">
        <v>3096</v>
      </c>
      <c r="P1484">
        <v>6.1</v>
      </c>
      <c r="Q1484">
        <v>98</v>
      </c>
      <c r="R1484">
        <v>58.2</v>
      </c>
      <c r="S1484">
        <v>6.4</v>
      </c>
      <c r="T1484">
        <v>2025</v>
      </c>
      <c r="U1484">
        <v>12</v>
      </c>
      <c r="V1484">
        <v>0</v>
      </c>
      <c r="W1484" t="s">
        <v>36</v>
      </c>
      <c r="X1484" t="s">
        <v>37</v>
      </c>
      <c r="Y1484" t="s">
        <v>48</v>
      </c>
    </row>
    <row r="1485" spans="1:25" x14ac:dyDescent="0.35">
      <c r="A1485" t="s">
        <v>3097</v>
      </c>
      <c r="B1485" t="s">
        <v>127</v>
      </c>
      <c r="C1485" t="s">
        <v>27</v>
      </c>
      <c r="D1485" t="s">
        <v>74</v>
      </c>
      <c r="E1485">
        <v>9</v>
      </c>
      <c r="F1485" t="s">
        <v>51</v>
      </c>
      <c r="G1485">
        <v>120000</v>
      </c>
      <c r="H1485">
        <v>120000</v>
      </c>
      <c r="I1485">
        <v>280000</v>
      </c>
      <c r="J1485" t="s">
        <v>117</v>
      </c>
      <c r="K1485" t="s">
        <v>118</v>
      </c>
      <c r="L1485" t="s">
        <v>44</v>
      </c>
      <c r="M1485" t="s">
        <v>82</v>
      </c>
      <c r="N1485" t="s">
        <v>34</v>
      </c>
      <c r="O1485" t="s">
        <v>3098</v>
      </c>
      <c r="P1485">
        <v>10.1</v>
      </c>
      <c r="Q1485">
        <v>97</v>
      </c>
      <c r="R1485">
        <v>74.8</v>
      </c>
      <c r="S1485">
        <v>7.7</v>
      </c>
      <c r="T1485">
        <v>2026</v>
      </c>
      <c r="U1485">
        <v>3</v>
      </c>
      <c r="V1485">
        <v>0</v>
      </c>
      <c r="W1485" t="s">
        <v>47</v>
      </c>
      <c r="X1485" t="s">
        <v>64</v>
      </c>
      <c r="Y1485" t="s">
        <v>95</v>
      </c>
    </row>
    <row r="1486" spans="1:25" x14ac:dyDescent="0.35">
      <c r="A1486" t="s">
        <v>3099</v>
      </c>
      <c r="B1486" t="s">
        <v>224</v>
      </c>
      <c r="C1486" t="s">
        <v>27</v>
      </c>
      <c r="D1486" t="s">
        <v>74</v>
      </c>
      <c r="E1486">
        <v>9</v>
      </c>
      <c r="F1486" t="s">
        <v>29</v>
      </c>
      <c r="G1486">
        <v>145000</v>
      </c>
      <c r="H1486">
        <v>145000</v>
      </c>
      <c r="I1486">
        <v>280000</v>
      </c>
      <c r="J1486" t="s">
        <v>102</v>
      </c>
      <c r="K1486" t="s">
        <v>103</v>
      </c>
      <c r="L1486" t="s">
        <v>44</v>
      </c>
      <c r="M1486" t="s">
        <v>33</v>
      </c>
      <c r="N1486" t="s">
        <v>83</v>
      </c>
      <c r="O1486" t="s">
        <v>3100</v>
      </c>
      <c r="P1486">
        <v>8.8000000000000007</v>
      </c>
      <c r="Q1486">
        <v>87</v>
      </c>
      <c r="R1486">
        <v>25.6</v>
      </c>
      <c r="S1486">
        <v>8</v>
      </c>
      <c r="T1486">
        <v>2026</v>
      </c>
      <c r="U1486">
        <v>2</v>
      </c>
      <c r="V1486">
        <v>0</v>
      </c>
      <c r="W1486" t="s">
        <v>47</v>
      </c>
      <c r="X1486" t="s">
        <v>64</v>
      </c>
      <c r="Y1486" t="s">
        <v>95</v>
      </c>
    </row>
    <row r="1487" spans="1:25" x14ac:dyDescent="0.35">
      <c r="A1487" t="s">
        <v>3101</v>
      </c>
      <c r="B1487" t="s">
        <v>163</v>
      </c>
      <c r="C1487" t="s">
        <v>164</v>
      </c>
      <c r="D1487" t="s">
        <v>81</v>
      </c>
      <c r="E1487">
        <v>7</v>
      </c>
      <c r="F1487" t="s">
        <v>41</v>
      </c>
      <c r="G1487">
        <v>254000</v>
      </c>
      <c r="H1487">
        <v>125000</v>
      </c>
      <c r="I1487">
        <v>240000</v>
      </c>
      <c r="J1487" t="s">
        <v>30</v>
      </c>
      <c r="K1487" t="s">
        <v>31</v>
      </c>
      <c r="L1487" t="s">
        <v>44</v>
      </c>
      <c r="M1487" t="s">
        <v>54</v>
      </c>
      <c r="N1487" t="s">
        <v>131</v>
      </c>
      <c r="O1487" t="s">
        <v>3102</v>
      </c>
      <c r="P1487">
        <v>17.399999999999999</v>
      </c>
      <c r="Q1487">
        <v>76</v>
      </c>
      <c r="R1487">
        <v>29</v>
      </c>
      <c r="S1487">
        <v>7.8</v>
      </c>
      <c r="T1487">
        <v>2026</v>
      </c>
      <c r="U1487">
        <v>2</v>
      </c>
      <c r="V1487">
        <v>0</v>
      </c>
      <c r="W1487" t="s">
        <v>47</v>
      </c>
      <c r="X1487" t="s">
        <v>64</v>
      </c>
      <c r="Y1487" t="s">
        <v>38</v>
      </c>
    </row>
    <row r="1488" spans="1:25" x14ac:dyDescent="0.35">
      <c r="A1488" t="s">
        <v>3103</v>
      </c>
      <c r="B1488" t="s">
        <v>146</v>
      </c>
      <c r="C1488" t="s">
        <v>27</v>
      </c>
      <c r="D1488" t="s">
        <v>74</v>
      </c>
      <c r="E1488">
        <v>6</v>
      </c>
      <c r="F1488" t="s">
        <v>128</v>
      </c>
      <c r="G1488">
        <v>179000</v>
      </c>
      <c r="H1488">
        <v>160000</v>
      </c>
      <c r="I1488">
        <v>300000</v>
      </c>
      <c r="J1488" t="s">
        <v>47</v>
      </c>
      <c r="K1488" t="s">
        <v>87</v>
      </c>
      <c r="L1488" t="s">
        <v>53</v>
      </c>
      <c r="M1488" t="s">
        <v>61</v>
      </c>
      <c r="N1488" t="s">
        <v>83</v>
      </c>
      <c r="O1488" t="s">
        <v>3104</v>
      </c>
      <c r="P1488">
        <v>14.2</v>
      </c>
      <c r="Q1488">
        <v>90</v>
      </c>
      <c r="R1488">
        <v>27.4</v>
      </c>
      <c r="S1488">
        <v>7.6</v>
      </c>
      <c r="T1488">
        <v>2026</v>
      </c>
      <c r="U1488">
        <v>2</v>
      </c>
      <c r="V1488">
        <v>0</v>
      </c>
      <c r="W1488" t="s">
        <v>47</v>
      </c>
      <c r="X1488" t="s">
        <v>64</v>
      </c>
      <c r="Y1488" t="s">
        <v>48</v>
      </c>
    </row>
    <row r="1489" spans="1:25" x14ac:dyDescent="0.35">
      <c r="A1489" t="s">
        <v>3105</v>
      </c>
      <c r="B1489" t="s">
        <v>158</v>
      </c>
      <c r="C1489" t="s">
        <v>27</v>
      </c>
      <c r="D1489" t="s">
        <v>68</v>
      </c>
      <c r="E1489">
        <v>6</v>
      </c>
      <c r="F1489" t="s">
        <v>51</v>
      </c>
      <c r="G1489">
        <v>336000</v>
      </c>
      <c r="H1489">
        <v>145000</v>
      </c>
      <c r="I1489">
        <v>280000</v>
      </c>
      <c r="J1489" t="s">
        <v>117</v>
      </c>
      <c r="K1489" t="s">
        <v>118</v>
      </c>
      <c r="L1489" t="s">
        <v>44</v>
      </c>
      <c r="M1489" t="s">
        <v>54</v>
      </c>
      <c r="N1489" t="s">
        <v>71</v>
      </c>
      <c r="O1489" t="s">
        <v>3106</v>
      </c>
      <c r="P1489">
        <v>3.8</v>
      </c>
      <c r="Q1489">
        <v>94</v>
      </c>
      <c r="R1489">
        <v>59.6</v>
      </c>
      <c r="S1489">
        <v>9.8000000000000007</v>
      </c>
      <c r="T1489">
        <v>2026</v>
      </c>
      <c r="U1489">
        <v>3</v>
      </c>
      <c r="V1489">
        <v>1</v>
      </c>
      <c r="W1489" t="s">
        <v>47</v>
      </c>
      <c r="X1489" t="s">
        <v>37</v>
      </c>
      <c r="Y1489" t="s">
        <v>56</v>
      </c>
    </row>
    <row r="1490" spans="1:25" x14ac:dyDescent="0.35">
      <c r="A1490" t="s">
        <v>3107</v>
      </c>
      <c r="B1490" t="s">
        <v>185</v>
      </c>
      <c r="C1490" t="s">
        <v>186</v>
      </c>
      <c r="D1490" t="s">
        <v>74</v>
      </c>
      <c r="E1490">
        <v>6</v>
      </c>
      <c r="F1490" t="s">
        <v>128</v>
      </c>
      <c r="G1490">
        <v>220000</v>
      </c>
      <c r="H1490">
        <v>140000</v>
      </c>
      <c r="I1490">
        <v>270000</v>
      </c>
      <c r="J1490" t="s">
        <v>70</v>
      </c>
      <c r="K1490" t="s">
        <v>31</v>
      </c>
      <c r="L1490" t="s">
        <v>44</v>
      </c>
      <c r="M1490" t="s">
        <v>45</v>
      </c>
      <c r="N1490" t="s">
        <v>71</v>
      </c>
      <c r="O1490" t="s">
        <v>3108</v>
      </c>
      <c r="P1490">
        <v>17</v>
      </c>
      <c r="Q1490">
        <v>85</v>
      </c>
      <c r="R1490">
        <v>17.899999999999999</v>
      </c>
      <c r="S1490">
        <v>6.1</v>
      </c>
      <c r="T1490">
        <v>2025</v>
      </c>
      <c r="U1490">
        <v>5</v>
      </c>
      <c r="V1490">
        <v>0</v>
      </c>
      <c r="W1490" t="s">
        <v>47</v>
      </c>
      <c r="X1490" t="s">
        <v>64</v>
      </c>
      <c r="Y1490" t="s">
        <v>38</v>
      </c>
    </row>
    <row r="1491" spans="1:25" x14ac:dyDescent="0.35">
      <c r="A1491" t="s">
        <v>3109</v>
      </c>
      <c r="B1491" t="s">
        <v>79</v>
      </c>
      <c r="C1491" t="s">
        <v>80</v>
      </c>
      <c r="D1491" t="s">
        <v>68</v>
      </c>
      <c r="E1491">
        <v>8</v>
      </c>
      <c r="F1491" t="s">
        <v>51</v>
      </c>
      <c r="G1491">
        <v>176000</v>
      </c>
      <c r="H1491">
        <v>140000</v>
      </c>
      <c r="I1491">
        <v>260000</v>
      </c>
      <c r="J1491" t="s">
        <v>129</v>
      </c>
      <c r="K1491" t="s">
        <v>130</v>
      </c>
      <c r="L1491" t="s">
        <v>53</v>
      </c>
      <c r="M1491" t="s">
        <v>82</v>
      </c>
      <c r="N1491" t="s">
        <v>124</v>
      </c>
      <c r="O1491" t="s">
        <v>3110</v>
      </c>
      <c r="P1491">
        <v>16.7</v>
      </c>
      <c r="Q1491">
        <v>80</v>
      </c>
      <c r="R1491">
        <v>6.6</v>
      </c>
      <c r="S1491">
        <v>9.6</v>
      </c>
      <c r="T1491">
        <v>2026</v>
      </c>
      <c r="U1491">
        <v>3</v>
      </c>
      <c r="V1491">
        <v>1</v>
      </c>
      <c r="W1491" t="s">
        <v>47</v>
      </c>
      <c r="X1491" t="s">
        <v>64</v>
      </c>
      <c r="Y1491" t="s">
        <v>48</v>
      </c>
    </row>
    <row r="1492" spans="1:25" x14ac:dyDescent="0.35">
      <c r="A1492" t="s">
        <v>3111</v>
      </c>
      <c r="B1492" t="s">
        <v>40</v>
      </c>
      <c r="C1492" t="s">
        <v>27</v>
      </c>
      <c r="D1492" t="s">
        <v>28</v>
      </c>
      <c r="E1492">
        <v>3</v>
      </c>
      <c r="F1492" t="s">
        <v>51</v>
      </c>
      <c r="G1492">
        <v>144000</v>
      </c>
      <c r="H1492">
        <v>90000</v>
      </c>
      <c r="I1492">
        <v>200000</v>
      </c>
      <c r="J1492" t="s">
        <v>113</v>
      </c>
      <c r="K1492" t="s">
        <v>114</v>
      </c>
      <c r="L1492" t="s">
        <v>32</v>
      </c>
      <c r="M1492" t="s">
        <v>54</v>
      </c>
      <c r="N1492" t="s">
        <v>71</v>
      </c>
      <c r="O1492" t="s">
        <v>3112</v>
      </c>
      <c r="P1492">
        <v>4.5</v>
      </c>
      <c r="Q1492">
        <v>82</v>
      </c>
      <c r="R1492">
        <v>16</v>
      </c>
      <c r="S1492">
        <v>8.6</v>
      </c>
      <c r="T1492">
        <v>2026</v>
      </c>
      <c r="U1492">
        <v>3</v>
      </c>
      <c r="V1492">
        <v>1</v>
      </c>
      <c r="W1492" t="s">
        <v>36</v>
      </c>
      <c r="X1492" t="s">
        <v>37</v>
      </c>
      <c r="Y1492" t="s">
        <v>95</v>
      </c>
    </row>
    <row r="1493" spans="1:25" x14ac:dyDescent="0.35">
      <c r="A1493" t="s">
        <v>3113</v>
      </c>
      <c r="B1493" t="s">
        <v>185</v>
      </c>
      <c r="C1493" t="s">
        <v>186</v>
      </c>
      <c r="D1493" t="s">
        <v>68</v>
      </c>
      <c r="E1493">
        <v>6</v>
      </c>
      <c r="F1493" t="s">
        <v>29</v>
      </c>
      <c r="G1493">
        <v>250000</v>
      </c>
      <c r="H1493">
        <v>140000</v>
      </c>
      <c r="I1493">
        <v>270000</v>
      </c>
      <c r="J1493" t="s">
        <v>47</v>
      </c>
      <c r="K1493" t="s">
        <v>87</v>
      </c>
      <c r="L1493" t="s">
        <v>44</v>
      </c>
      <c r="M1493" t="s">
        <v>33</v>
      </c>
      <c r="N1493" t="s">
        <v>88</v>
      </c>
      <c r="O1493" t="s">
        <v>3114</v>
      </c>
      <c r="P1493">
        <v>9.9</v>
      </c>
      <c r="Q1493">
        <v>85</v>
      </c>
      <c r="R1493">
        <v>27.6</v>
      </c>
      <c r="S1493">
        <v>8.1</v>
      </c>
      <c r="T1493">
        <v>2026</v>
      </c>
      <c r="U1493">
        <v>2</v>
      </c>
      <c r="V1493">
        <v>1</v>
      </c>
      <c r="W1493" t="s">
        <v>47</v>
      </c>
      <c r="X1493" t="s">
        <v>64</v>
      </c>
      <c r="Y1493" t="s">
        <v>38</v>
      </c>
    </row>
    <row r="1494" spans="1:25" x14ac:dyDescent="0.35">
      <c r="A1494" t="s">
        <v>3115</v>
      </c>
      <c r="B1494" t="s">
        <v>40</v>
      </c>
      <c r="C1494" t="s">
        <v>27</v>
      </c>
      <c r="D1494" t="s">
        <v>28</v>
      </c>
      <c r="E1494">
        <v>5</v>
      </c>
      <c r="F1494" t="s">
        <v>128</v>
      </c>
      <c r="G1494">
        <v>233000</v>
      </c>
      <c r="H1494">
        <v>90000</v>
      </c>
      <c r="I1494">
        <v>200000</v>
      </c>
      <c r="J1494" t="s">
        <v>52</v>
      </c>
      <c r="K1494" t="s">
        <v>31</v>
      </c>
      <c r="L1494" t="s">
        <v>44</v>
      </c>
      <c r="M1494" t="s">
        <v>82</v>
      </c>
      <c r="N1494" t="s">
        <v>34</v>
      </c>
      <c r="O1494" t="s">
        <v>3116</v>
      </c>
      <c r="P1494">
        <v>3.2</v>
      </c>
      <c r="Q1494">
        <v>82</v>
      </c>
      <c r="R1494">
        <v>20.7</v>
      </c>
      <c r="S1494">
        <v>8.1</v>
      </c>
      <c r="T1494">
        <v>2026</v>
      </c>
      <c r="U1494">
        <v>2</v>
      </c>
      <c r="V1494">
        <v>1</v>
      </c>
      <c r="W1494" t="s">
        <v>47</v>
      </c>
      <c r="X1494" t="s">
        <v>37</v>
      </c>
      <c r="Y1494" t="s">
        <v>38</v>
      </c>
    </row>
    <row r="1495" spans="1:25" x14ac:dyDescent="0.35">
      <c r="A1495" t="s">
        <v>3117</v>
      </c>
      <c r="B1495" t="s">
        <v>168</v>
      </c>
      <c r="C1495" t="s">
        <v>169</v>
      </c>
      <c r="D1495" t="s">
        <v>68</v>
      </c>
      <c r="E1495">
        <v>10</v>
      </c>
      <c r="F1495" t="s">
        <v>69</v>
      </c>
      <c r="G1495">
        <v>253000</v>
      </c>
      <c r="H1495">
        <v>157000</v>
      </c>
      <c r="I1495">
        <v>218000</v>
      </c>
      <c r="J1495" t="s">
        <v>52</v>
      </c>
      <c r="K1495" t="s">
        <v>31</v>
      </c>
      <c r="L1495" t="s">
        <v>44</v>
      </c>
      <c r="M1495" t="s">
        <v>61</v>
      </c>
      <c r="N1495" t="s">
        <v>62</v>
      </c>
      <c r="O1495" t="s">
        <v>3118</v>
      </c>
      <c r="P1495">
        <v>3.3</v>
      </c>
      <c r="Q1495">
        <v>90</v>
      </c>
      <c r="R1495">
        <v>7</v>
      </c>
      <c r="S1495">
        <v>6.8</v>
      </c>
      <c r="T1495">
        <v>2026</v>
      </c>
      <c r="U1495">
        <v>3</v>
      </c>
      <c r="V1495">
        <v>1</v>
      </c>
      <c r="W1495" t="s">
        <v>47</v>
      </c>
      <c r="X1495" t="s">
        <v>64</v>
      </c>
      <c r="Y1495" t="s">
        <v>38</v>
      </c>
    </row>
    <row r="1496" spans="1:25" x14ac:dyDescent="0.35">
      <c r="A1496" t="s">
        <v>3119</v>
      </c>
      <c r="B1496" t="s">
        <v>163</v>
      </c>
      <c r="C1496" t="s">
        <v>164</v>
      </c>
      <c r="D1496" t="s">
        <v>74</v>
      </c>
      <c r="E1496">
        <v>5</v>
      </c>
      <c r="F1496" t="s">
        <v>29</v>
      </c>
      <c r="G1496">
        <v>125000</v>
      </c>
      <c r="H1496">
        <v>125000</v>
      </c>
      <c r="I1496">
        <v>240000</v>
      </c>
      <c r="J1496" t="s">
        <v>102</v>
      </c>
      <c r="K1496" t="s">
        <v>103</v>
      </c>
      <c r="L1496" t="s">
        <v>53</v>
      </c>
      <c r="M1496" t="s">
        <v>45</v>
      </c>
      <c r="N1496" t="s">
        <v>88</v>
      </c>
      <c r="O1496" t="s">
        <v>3120</v>
      </c>
      <c r="P1496">
        <v>15.5</v>
      </c>
      <c r="Q1496">
        <v>76</v>
      </c>
      <c r="R1496">
        <v>18.600000000000001</v>
      </c>
      <c r="S1496">
        <v>6.5</v>
      </c>
      <c r="T1496">
        <v>2026</v>
      </c>
      <c r="U1496">
        <v>3</v>
      </c>
      <c r="V1496">
        <v>0</v>
      </c>
      <c r="W1496" t="s">
        <v>47</v>
      </c>
      <c r="X1496" t="s">
        <v>64</v>
      </c>
      <c r="Y1496" t="s">
        <v>95</v>
      </c>
    </row>
    <row r="1497" spans="1:25" x14ac:dyDescent="0.35">
      <c r="A1497" t="s">
        <v>3121</v>
      </c>
      <c r="B1497" t="s">
        <v>146</v>
      </c>
      <c r="C1497" t="s">
        <v>27</v>
      </c>
      <c r="D1497" t="s">
        <v>68</v>
      </c>
      <c r="E1497">
        <v>8</v>
      </c>
      <c r="F1497" t="s">
        <v>29</v>
      </c>
      <c r="G1497">
        <v>262000</v>
      </c>
      <c r="H1497">
        <v>160000</v>
      </c>
      <c r="I1497">
        <v>300000</v>
      </c>
      <c r="J1497" t="s">
        <v>113</v>
      </c>
      <c r="K1497" t="s">
        <v>114</v>
      </c>
      <c r="L1497" t="s">
        <v>44</v>
      </c>
      <c r="M1497" t="s">
        <v>61</v>
      </c>
      <c r="N1497" t="s">
        <v>110</v>
      </c>
      <c r="O1497" t="s">
        <v>3122</v>
      </c>
      <c r="P1497">
        <v>8.8000000000000007</v>
      </c>
      <c r="Q1497">
        <v>90</v>
      </c>
      <c r="R1497">
        <v>23.6</v>
      </c>
      <c r="S1497">
        <v>7.5</v>
      </c>
      <c r="T1497">
        <v>2026</v>
      </c>
      <c r="U1497">
        <v>1</v>
      </c>
      <c r="V1497">
        <v>1</v>
      </c>
      <c r="W1497" t="s">
        <v>47</v>
      </c>
      <c r="X1497" t="s">
        <v>64</v>
      </c>
      <c r="Y1497" t="s">
        <v>38</v>
      </c>
    </row>
    <row r="1498" spans="1:25" x14ac:dyDescent="0.35">
      <c r="A1498" t="s">
        <v>3123</v>
      </c>
      <c r="B1498" t="s">
        <v>91</v>
      </c>
      <c r="C1498" t="s">
        <v>27</v>
      </c>
      <c r="D1498" t="s">
        <v>28</v>
      </c>
      <c r="E1498">
        <v>9</v>
      </c>
      <c r="F1498" t="s">
        <v>69</v>
      </c>
      <c r="G1498">
        <v>163000</v>
      </c>
      <c r="H1498">
        <v>145000</v>
      </c>
      <c r="I1498">
        <v>290000</v>
      </c>
      <c r="J1498" t="s">
        <v>142</v>
      </c>
      <c r="K1498" t="s">
        <v>143</v>
      </c>
      <c r="L1498" t="s">
        <v>32</v>
      </c>
      <c r="M1498" t="s">
        <v>82</v>
      </c>
      <c r="N1498" t="s">
        <v>83</v>
      </c>
      <c r="O1498" t="s">
        <v>3124</v>
      </c>
      <c r="P1498">
        <v>6.7</v>
      </c>
      <c r="Q1498">
        <v>91</v>
      </c>
      <c r="R1498">
        <v>66.5</v>
      </c>
      <c r="S1498">
        <v>7.8</v>
      </c>
      <c r="T1498">
        <v>2025</v>
      </c>
      <c r="U1498">
        <v>3</v>
      </c>
      <c r="V1498">
        <v>1</v>
      </c>
      <c r="W1498" t="s">
        <v>36</v>
      </c>
      <c r="X1498" t="s">
        <v>64</v>
      </c>
      <c r="Y1498" t="s">
        <v>48</v>
      </c>
    </row>
    <row r="1499" spans="1:25" x14ac:dyDescent="0.35">
      <c r="A1499" t="s">
        <v>3125</v>
      </c>
      <c r="B1499" t="s">
        <v>233</v>
      </c>
      <c r="C1499" t="s">
        <v>180</v>
      </c>
      <c r="D1499" t="s">
        <v>81</v>
      </c>
      <c r="E1499">
        <v>10</v>
      </c>
      <c r="F1499" t="s">
        <v>29</v>
      </c>
      <c r="G1499">
        <v>127000</v>
      </c>
      <c r="H1499">
        <v>100000</v>
      </c>
      <c r="I1499">
        <v>200000</v>
      </c>
      <c r="J1499" t="s">
        <v>170</v>
      </c>
      <c r="K1499" t="s">
        <v>171</v>
      </c>
      <c r="L1499" t="s">
        <v>44</v>
      </c>
      <c r="M1499" t="s">
        <v>61</v>
      </c>
      <c r="N1499" t="s">
        <v>83</v>
      </c>
      <c r="O1499" t="s">
        <v>3126</v>
      </c>
      <c r="P1499">
        <v>10.9</v>
      </c>
      <c r="Q1499">
        <v>68</v>
      </c>
      <c r="R1499">
        <v>15.3</v>
      </c>
      <c r="S1499">
        <v>8.3000000000000007</v>
      </c>
      <c r="T1499">
        <v>2026</v>
      </c>
      <c r="U1499">
        <v>3</v>
      </c>
      <c r="V1499">
        <v>0</v>
      </c>
      <c r="W1499" t="s">
        <v>47</v>
      </c>
      <c r="X1499" t="s">
        <v>64</v>
      </c>
      <c r="Y1499" t="s">
        <v>95</v>
      </c>
    </row>
    <row r="1500" spans="1:25" x14ac:dyDescent="0.35">
      <c r="A1500" t="s">
        <v>3127</v>
      </c>
      <c r="B1500" t="s">
        <v>91</v>
      </c>
      <c r="C1500" t="s">
        <v>27</v>
      </c>
      <c r="D1500" t="s">
        <v>68</v>
      </c>
      <c r="E1500">
        <v>4</v>
      </c>
      <c r="F1500" t="s">
        <v>41</v>
      </c>
      <c r="G1500">
        <v>145000</v>
      </c>
      <c r="H1500">
        <v>145000</v>
      </c>
      <c r="I1500">
        <v>290000</v>
      </c>
      <c r="J1500" t="s">
        <v>92</v>
      </c>
      <c r="K1500" t="s">
        <v>93</v>
      </c>
      <c r="L1500" t="s">
        <v>44</v>
      </c>
      <c r="M1500" t="s">
        <v>45</v>
      </c>
      <c r="N1500" t="s">
        <v>155</v>
      </c>
      <c r="O1500" t="s">
        <v>3128</v>
      </c>
      <c r="P1500">
        <v>8.5</v>
      </c>
      <c r="Q1500">
        <v>91</v>
      </c>
      <c r="R1500">
        <v>78.8</v>
      </c>
      <c r="S1500">
        <v>7.4</v>
      </c>
      <c r="T1500">
        <v>2025</v>
      </c>
      <c r="U1500">
        <v>5</v>
      </c>
      <c r="V1500">
        <v>1</v>
      </c>
      <c r="W1500" t="s">
        <v>47</v>
      </c>
      <c r="X1500" t="s">
        <v>64</v>
      </c>
      <c r="Y1500" t="s">
        <v>95</v>
      </c>
    </row>
    <row r="1501" spans="1:25" x14ac:dyDescent="0.35">
      <c r="A1501" t="s">
        <v>3129</v>
      </c>
      <c r="B1501" t="s">
        <v>79</v>
      </c>
      <c r="C1501" t="s">
        <v>80</v>
      </c>
      <c r="D1501" t="s">
        <v>68</v>
      </c>
      <c r="E1501">
        <v>5</v>
      </c>
      <c r="F1501" t="s">
        <v>29</v>
      </c>
      <c r="G1501">
        <v>229000</v>
      </c>
      <c r="H1501">
        <v>140000</v>
      </c>
      <c r="I1501">
        <v>260000</v>
      </c>
      <c r="J1501" t="s">
        <v>142</v>
      </c>
      <c r="K1501" t="s">
        <v>143</v>
      </c>
      <c r="L1501" t="s">
        <v>44</v>
      </c>
      <c r="M1501" t="s">
        <v>45</v>
      </c>
      <c r="N1501" t="s">
        <v>62</v>
      </c>
      <c r="O1501" t="s">
        <v>3130</v>
      </c>
      <c r="P1501">
        <v>12.2</v>
      </c>
      <c r="Q1501">
        <v>80</v>
      </c>
      <c r="R1501">
        <v>9</v>
      </c>
      <c r="S1501">
        <v>8.6</v>
      </c>
      <c r="T1501">
        <v>2025</v>
      </c>
      <c r="U1501">
        <v>6</v>
      </c>
      <c r="V1501">
        <v>1</v>
      </c>
      <c r="W1501" t="s">
        <v>47</v>
      </c>
      <c r="X1501" t="s">
        <v>64</v>
      </c>
      <c r="Y150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B9418-23EB-4928-80F7-CAC0108AF592}">
  <dimension ref="A1"/>
  <sheetViews>
    <sheetView showGridLines="0" tabSelected="1" zoomScale="76" zoomScaleNormal="76" workbookViewId="0">
      <selection activeCell="X6" sqref="X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9C79-8F76-40C6-B933-1A7BA82F25BA}">
  <dimension ref="A2:K13"/>
  <sheetViews>
    <sheetView workbookViewId="0">
      <selection activeCell="I18" sqref="I18"/>
    </sheetView>
  </sheetViews>
  <sheetFormatPr defaultRowHeight="14.5" x14ac:dyDescent="0.35"/>
  <cols>
    <col min="1" max="2" width="13.54296875" bestFit="1" customWidth="1"/>
    <col min="4" max="4" width="26.08984375" bestFit="1" customWidth="1"/>
    <col min="7" max="7" width="12.453125" bestFit="1" customWidth="1"/>
    <col min="8" max="8" width="22.6328125" bestFit="1" customWidth="1"/>
    <col min="10" max="10" width="11" bestFit="1" customWidth="1"/>
    <col min="11" max="11" width="6.90625" bestFit="1" customWidth="1"/>
  </cols>
  <sheetData>
    <row r="2" spans="1:11" x14ac:dyDescent="0.35">
      <c r="A2" s="5" t="s">
        <v>3134</v>
      </c>
      <c r="D2" s="5" t="s">
        <v>3136</v>
      </c>
      <c r="G2" s="5" t="s">
        <v>3137</v>
      </c>
      <c r="H2" s="5"/>
    </row>
    <row r="3" spans="1:11" x14ac:dyDescent="0.35">
      <c r="A3" t="s">
        <v>3133</v>
      </c>
      <c r="D3" t="s">
        <v>3135</v>
      </c>
      <c r="G3" s="2" t="s">
        <v>3131</v>
      </c>
      <c r="H3" t="s">
        <v>3133</v>
      </c>
      <c r="J3" s="5" t="s">
        <v>3138</v>
      </c>
      <c r="K3" s="5" t="s">
        <v>3139</v>
      </c>
    </row>
    <row r="4" spans="1:11" x14ac:dyDescent="0.35">
      <c r="A4">
        <v>1500</v>
      </c>
      <c r="D4" s="8">
        <v>194892</v>
      </c>
      <c r="G4" s="3" t="s">
        <v>36</v>
      </c>
      <c r="H4">
        <v>369</v>
      </c>
      <c r="J4" t="str">
        <f>G4</f>
        <v>Non-Remote</v>
      </c>
      <c r="K4" s="4">
        <f>H4/$H$6</f>
        <v>0.246</v>
      </c>
    </row>
    <row r="5" spans="1:11" x14ac:dyDescent="0.35">
      <c r="G5" s="3" t="s">
        <v>47</v>
      </c>
      <c r="H5">
        <v>1131</v>
      </c>
      <c r="J5" t="str">
        <f>G5</f>
        <v>Remote</v>
      </c>
      <c r="K5" s="4">
        <f>H5/$H$6</f>
        <v>0.754</v>
      </c>
    </row>
    <row r="6" spans="1:11" x14ac:dyDescent="0.35">
      <c r="D6" s="8"/>
      <c r="G6" s="3" t="s">
        <v>3132</v>
      </c>
      <c r="H6">
        <v>1500</v>
      </c>
      <c r="J6" t="str">
        <f>G6</f>
        <v>Grand Total</v>
      </c>
    </row>
    <row r="9" spans="1:11" x14ac:dyDescent="0.35">
      <c r="A9" s="5" t="s">
        <v>3140</v>
      </c>
      <c r="B9" s="5"/>
    </row>
    <row r="10" spans="1:11" x14ac:dyDescent="0.35">
      <c r="A10" s="2" t="s">
        <v>3131</v>
      </c>
      <c r="B10" t="s">
        <v>3133</v>
      </c>
      <c r="D10" s="5" t="s">
        <v>3141</v>
      </c>
      <c r="E10" s="5" t="s">
        <v>3139</v>
      </c>
      <c r="H10" t="s">
        <v>3142</v>
      </c>
      <c r="J10" s="5" t="s">
        <v>3143</v>
      </c>
      <c r="K10" s="5"/>
    </row>
    <row r="11" spans="1:11" x14ac:dyDescent="0.35">
      <c r="A11" s="3" t="s">
        <v>37</v>
      </c>
      <c r="B11">
        <v>327</v>
      </c>
      <c r="D11" t="str">
        <f>A11</f>
        <v>AI /LLM Role</v>
      </c>
      <c r="E11" s="4">
        <f>B11/$B$13</f>
        <v>0.218</v>
      </c>
      <c r="H11" s="6">
        <v>87.523333333333326</v>
      </c>
      <c r="J11" s="6">
        <f>ROUND(H11/10,1)</f>
        <v>8.8000000000000007</v>
      </c>
    </row>
    <row r="12" spans="1:11" x14ac:dyDescent="0.35">
      <c r="A12" s="3" t="s">
        <v>64</v>
      </c>
      <c r="B12">
        <v>1173</v>
      </c>
      <c r="D12" t="str">
        <f t="shared" ref="D12:D13" si="0">A12</f>
        <v>Non-Ai Role</v>
      </c>
      <c r="E12" s="4">
        <f>B12/$B$13</f>
        <v>0.78200000000000003</v>
      </c>
    </row>
    <row r="13" spans="1:11" x14ac:dyDescent="0.35">
      <c r="A13" s="3" t="s">
        <v>3132</v>
      </c>
      <c r="B13">
        <v>1500</v>
      </c>
      <c r="D13" t="str">
        <f t="shared" si="0"/>
        <v>Grand Total</v>
      </c>
      <c r="E13" s="4">
        <f>B13/$B$13</f>
        <v>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806F4-1DFD-450D-9CD5-CE5E59806025}">
  <dimension ref="A2:L70"/>
  <sheetViews>
    <sheetView topLeftCell="A13" workbookViewId="0">
      <selection activeCell="F29" sqref="F29"/>
    </sheetView>
  </sheetViews>
  <sheetFormatPr defaultRowHeight="14.5" x14ac:dyDescent="0.35"/>
  <cols>
    <col min="1" max="1" width="14.54296875" bestFit="1" customWidth="1"/>
    <col min="2" max="2" width="13.54296875" bestFit="1" customWidth="1"/>
    <col min="3" max="3" width="31.453125" bestFit="1" customWidth="1"/>
    <col min="4" max="4" width="17.90625" bestFit="1" customWidth="1"/>
    <col min="5" max="5" width="12.453125" bestFit="1" customWidth="1"/>
    <col min="6" max="6" width="13.90625" bestFit="1" customWidth="1"/>
    <col min="7" max="7" width="12.453125" bestFit="1" customWidth="1"/>
    <col min="8" max="8" width="13" bestFit="1" customWidth="1"/>
    <col min="9" max="9" width="13.54296875" bestFit="1" customWidth="1"/>
    <col min="11" max="11" width="14.54296875" bestFit="1" customWidth="1"/>
    <col min="12" max="12" width="26.08984375" bestFit="1" customWidth="1"/>
  </cols>
  <sheetData>
    <row r="2" spans="1:12" x14ac:dyDescent="0.35">
      <c r="A2" s="5" t="s">
        <v>3144</v>
      </c>
      <c r="B2" s="5"/>
      <c r="H2" s="5" t="s">
        <v>3145</v>
      </c>
      <c r="I2" s="5"/>
      <c r="K2" s="5" t="s">
        <v>3146</v>
      </c>
      <c r="L2" s="5"/>
    </row>
    <row r="3" spans="1:12" x14ac:dyDescent="0.35">
      <c r="A3" s="2" t="s">
        <v>3131</v>
      </c>
      <c r="B3" t="s">
        <v>3133</v>
      </c>
      <c r="H3" s="2" t="s">
        <v>3131</v>
      </c>
      <c r="I3" t="s">
        <v>3133</v>
      </c>
      <c r="K3" s="2" t="s">
        <v>3131</v>
      </c>
      <c r="L3" t="s">
        <v>3135</v>
      </c>
    </row>
    <row r="4" spans="1:12" x14ac:dyDescent="0.35">
      <c r="A4" s="3" t="s">
        <v>80</v>
      </c>
      <c r="B4">
        <v>50</v>
      </c>
      <c r="H4" s="3" t="s">
        <v>74</v>
      </c>
      <c r="I4">
        <v>385</v>
      </c>
      <c r="K4" s="3" t="s">
        <v>27</v>
      </c>
      <c r="L4" s="7">
        <v>207982.33695652173</v>
      </c>
    </row>
    <row r="5" spans="1:12" x14ac:dyDescent="0.35">
      <c r="A5" s="3" t="s">
        <v>124</v>
      </c>
      <c r="B5">
        <v>50</v>
      </c>
      <c r="H5" s="3" t="s">
        <v>68</v>
      </c>
      <c r="I5">
        <v>381</v>
      </c>
      <c r="K5" s="3" t="s">
        <v>101</v>
      </c>
      <c r="L5" s="7">
        <v>251576.92307692306</v>
      </c>
    </row>
    <row r="6" spans="1:12" x14ac:dyDescent="0.35">
      <c r="A6" s="3" t="s">
        <v>59</v>
      </c>
      <c r="B6">
        <v>51</v>
      </c>
      <c r="H6" s="3" t="s">
        <v>81</v>
      </c>
      <c r="I6">
        <v>370</v>
      </c>
      <c r="K6" s="3" t="s">
        <v>154</v>
      </c>
      <c r="L6" s="7">
        <v>134145.16129032258</v>
      </c>
    </row>
    <row r="7" spans="1:12" x14ac:dyDescent="0.35">
      <c r="A7" s="3" t="s">
        <v>150</v>
      </c>
      <c r="B7">
        <v>51</v>
      </c>
      <c r="H7" s="3" t="s">
        <v>28</v>
      </c>
      <c r="I7">
        <v>364</v>
      </c>
      <c r="K7" s="3" t="s">
        <v>59</v>
      </c>
      <c r="L7" s="7">
        <v>176156.86274509804</v>
      </c>
    </row>
    <row r="8" spans="1:12" x14ac:dyDescent="0.35">
      <c r="A8" s="3" t="s">
        <v>101</v>
      </c>
      <c r="B8">
        <v>52</v>
      </c>
      <c r="H8" s="3" t="s">
        <v>3132</v>
      </c>
      <c r="I8">
        <v>1500</v>
      </c>
      <c r="K8" s="3" t="s">
        <v>169</v>
      </c>
      <c r="L8" s="7">
        <v>181275.59055118111</v>
      </c>
    </row>
    <row r="9" spans="1:12" x14ac:dyDescent="0.35">
      <c r="A9" s="3" t="s">
        <v>186</v>
      </c>
      <c r="B9">
        <v>55</v>
      </c>
      <c r="K9" s="3" t="s">
        <v>180</v>
      </c>
      <c r="L9" s="7">
        <v>152516.39344262294</v>
      </c>
    </row>
    <row r="10" spans="1:12" x14ac:dyDescent="0.35">
      <c r="A10" s="3" t="s">
        <v>154</v>
      </c>
      <c r="B10">
        <v>62</v>
      </c>
      <c r="K10" s="3" t="s">
        <v>186</v>
      </c>
      <c r="L10" s="7">
        <v>203527.27272727274</v>
      </c>
    </row>
    <row r="11" spans="1:12" x14ac:dyDescent="0.35">
      <c r="A11" s="3" t="s">
        <v>67</v>
      </c>
      <c r="B11">
        <v>70</v>
      </c>
      <c r="K11" s="3" t="s">
        <v>150</v>
      </c>
      <c r="L11" s="7">
        <v>199215.68627450979</v>
      </c>
    </row>
    <row r="12" spans="1:12" x14ac:dyDescent="0.35">
      <c r="A12" s="3" t="s">
        <v>164</v>
      </c>
      <c r="B12">
        <v>74</v>
      </c>
      <c r="K12" s="3" t="s">
        <v>67</v>
      </c>
      <c r="L12" s="7">
        <v>194571.42857142858</v>
      </c>
    </row>
    <row r="13" spans="1:12" x14ac:dyDescent="0.35">
      <c r="A13" s="3" t="s">
        <v>180</v>
      </c>
      <c r="B13">
        <v>122</v>
      </c>
      <c r="K13" s="3" t="s">
        <v>124</v>
      </c>
      <c r="L13" s="7">
        <v>192280</v>
      </c>
    </row>
    <row r="14" spans="1:12" x14ac:dyDescent="0.35">
      <c r="A14" s="3" t="s">
        <v>169</v>
      </c>
      <c r="B14">
        <v>127</v>
      </c>
      <c r="K14" s="3" t="s">
        <v>164</v>
      </c>
      <c r="L14" s="7">
        <v>170851.35135135136</v>
      </c>
    </row>
    <row r="15" spans="1:12" x14ac:dyDescent="0.35">
      <c r="A15" s="3" t="s">
        <v>27</v>
      </c>
      <c r="B15">
        <v>736</v>
      </c>
      <c r="K15" s="3" t="s">
        <v>80</v>
      </c>
      <c r="L15" s="7">
        <v>200400</v>
      </c>
    </row>
    <row r="16" spans="1:12" x14ac:dyDescent="0.35">
      <c r="A16" s="3" t="s">
        <v>3132</v>
      </c>
      <c r="B16">
        <v>1500</v>
      </c>
      <c r="K16" s="3" t="s">
        <v>3132</v>
      </c>
      <c r="L16" s="7">
        <v>194892</v>
      </c>
    </row>
    <row r="20" spans="1:12" x14ac:dyDescent="0.35">
      <c r="A20" s="5" t="s">
        <v>3147</v>
      </c>
      <c r="B20" s="5"/>
      <c r="H20" s="5" t="s">
        <v>3148</v>
      </c>
      <c r="I20" s="5"/>
    </row>
    <row r="21" spans="1:12" x14ac:dyDescent="0.35">
      <c r="A21" s="2" t="s">
        <v>3131</v>
      </c>
      <c r="B21" t="s">
        <v>3133</v>
      </c>
      <c r="D21" s="5" t="s">
        <v>3141</v>
      </c>
      <c r="E21" s="5" t="s">
        <v>3139</v>
      </c>
      <c r="H21" s="2" t="s">
        <v>3131</v>
      </c>
      <c r="I21" t="s">
        <v>3133</v>
      </c>
      <c r="K21" s="5" t="s">
        <v>3141</v>
      </c>
      <c r="L21" s="5" t="s">
        <v>3139</v>
      </c>
    </row>
    <row r="22" spans="1:12" x14ac:dyDescent="0.35">
      <c r="A22" s="3" t="s">
        <v>37</v>
      </c>
      <c r="B22">
        <v>327</v>
      </c>
      <c r="D22" t="str">
        <f>A22</f>
        <v>AI /LLM Role</v>
      </c>
      <c r="E22" s="4">
        <f>B22/$B$24</f>
        <v>0.218</v>
      </c>
      <c r="H22" s="3" t="s">
        <v>36</v>
      </c>
      <c r="I22">
        <v>369</v>
      </c>
      <c r="K22" t="str">
        <f>H22</f>
        <v>Non-Remote</v>
      </c>
      <c r="L22" s="4">
        <f>I22/$I$24</f>
        <v>0.246</v>
      </c>
    </row>
    <row r="23" spans="1:12" x14ac:dyDescent="0.35">
      <c r="A23" s="3" t="s">
        <v>64</v>
      </c>
      <c r="B23">
        <v>1173</v>
      </c>
      <c r="D23" t="str">
        <f t="shared" ref="D23:D24" si="0">A23</f>
        <v>Non-Ai Role</v>
      </c>
      <c r="E23" s="4">
        <f t="shared" ref="E23:E24" si="1">B23/$B$24</f>
        <v>0.78200000000000003</v>
      </c>
      <c r="H23" s="3" t="s">
        <v>47</v>
      </c>
      <c r="I23">
        <v>1131</v>
      </c>
      <c r="K23" t="str">
        <f t="shared" ref="K23:K24" si="2">H23</f>
        <v>Remote</v>
      </c>
      <c r="L23" s="4">
        <f t="shared" ref="L23:L24" si="3">I23/$I$24</f>
        <v>0.754</v>
      </c>
    </row>
    <row r="24" spans="1:12" x14ac:dyDescent="0.35">
      <c r="A24" s="3" t="s">
        <v>3132</v>
      </c>
      <c r="B24">
        <v>1500</v>
      </c>
      <c r="D24" t="str">
        <f t="shared" si="0"/>
        <v>Grand Total</v>
      </c>
      <c r="E24" s="4">
        <f t="shared" si="1"/>
        <v>1</v>
      </c>
      <c r="H24" s="3" t="s">
        <v>3132</v>
      </c>
      <c r="I24">
        <v>1500</v>
      </c>
      <c r="K24" t="str">
        <f t="shared" si="2"/>
        <v>Grand Total</v>
      </c>
      <c r="L24" s="4">
        <f t="shared" si="3"/>
        <v>1</v>
      </c>
    </row>
    <row r="37" spans="2:10" x14ac:dyDescent="0.35">
      <c r="B37" s="5" t="s">
        <v>3150</v>
      </c>
      <c r="C37" s="5"/>
    </row>
    <row r="38" spans="2:10" x14ac:dyDescent="0.35">
      <c r="B38" s="2" t="s">
        <v>3149</v>
      </c>
      <c r="C38" s="2" t="s">
        <v>3151</v>
      </c>
    </row>
    <row r="39" spans="2:10" x14ac:dyDescent="0.35">
      <c r="B39" s="2" t="s">
        <v>3131</v>
      </c>
      <c r="C39">
        <v>2025</v>
      </c>
      <c r="D39">
        <v>2026</v>
      </c>
      <c r="E39" t="s">
        <v>3132</v>
      </c>
      <c r="G39" s="5" t="s">
        <v>13</v>
      </c>
      <c r="H39" s="5">
        <v>2025</v>
      </c>
      <c r="I39" s="5">
        <v>2026</v>
      </c>
      <c r="J39" s="5" t="s">
        <v>3152</v>
      </c>
    </row>
    <row r="40" spans="2:10" x14ac:dyDescent="0.35">
      <c r="B40" s="3" t="s">
        <v>71</v>
      </c>
      <c r="C40" s="6">
        <v>32.013559322033906</v>
      </c>
      <c r="D40" s="6">
        <v>30.940506329113919</v>
      </c>
      <c r="E40" s="6">
        <v>31.399275362318857</v>
      </c>
      <c r="G40" t="str">
        <f>B40</f>
        <v>Automotive</v>
      </c>
      <c r="H40" s="4">
        <f>C40/100</f>
        <v>0.32013559322033908</v>
      </c>
      <c r="I40" s="4">
        <f>D40/100</f>
        <v>0.3094050632911392</v>
      </c>
      <c r="J40" s="4">
        <f>E40/100</f>
        <v>0.31399275362318857</v>
      </c>
    </row>
    <row r="41" spans="2:10" x14ac:dyDescent="0.35">
      <c r="B41" s="3" t="s">
        <v>119</v>
      </c>
      <c r="C41" s="6">
        <v>25.862500000000001</v>
      </c>
      <c r="D41" s="6">
        <v>26.170967741935488</v>
      </c>
      <c r="E41" s="6">
        <v>26.01428571428572</v>
      </c>
      <c r="G41" t="str">
        <f t="shared" ref="G41:G52" si="4">B41</f>
        <v>Consulting</v>
      </c>
      <c r="H41" s="4">
        <f t="shared" ref="H41:H52" si="5">C41/100</f>
        <v>0.25862499999999999</v>
      </c>
      <c r="I41" s="4">
        <f t="shared" ref="I41:I52" si="6">D41/100</f>
        <v>0.26170967741935486</v>
      </c>
      <c r="J41" s="4">
        <f t="shared" ref="J41:J52" si="7">E41/100</f>
        <v>0.26014285714285718</v>
      </c>
    </row>
    <row r="42" spans="2:10" x14ac:dyDescent="0.35">
      <c r="B42" s="3" t="s">
        <v>88</v>
      </c>
      <c r="C42" s="6">
        <v>33.73888888888888</v>
      </c>
      <c r="D42" s="6">
        <v>31.601515151515141</v>
      </c>
      <c r="E42" s="6">
        <v>32.56333333333334</v>
      </c>
      <c r="G42" t="str">
        <f t="shared" si="4"/>
        <v>Education</v>
      </c>
      <c r="H42" s="4">
        <f t="shared" si="5"/>
        <v>0.33738888888888879</v>
      </c>
      <c r="I42" s="4">
        <f t="shared" si="6"/>
        <v>0.31601515151515142</v>
      </c>
      <c r="J42" s="4">
        <f t="shared" si="7"/>
        <v>0.32563333333333339</v>
      </c>
    </row>
    <row r="43" spans="2:10" x14ac:dyDescent="0.35">
      <c r="B43" s="3" t="s">
        <v>165</v>
      </c>
      <c r="C43" s="6">
        <v>31.895555555555543</v>
      </c>
      <c r="D43" s="6">
        <v>34.468235294117648</v>
      </c>
      <c r="E43" s="6">
        <v>33.577692307692296</v>
      </c>
      <c r="G43" t="str">
        <f t="shared" si="4"/>
        <v>Energy</v>
      </c>
      <c r="H43" s="4">
        <f t="shared" si="5"/>
        <v>0.31895555555555544</v>
      </c>
      <c r="I43" s="4">
        <f t="shared" si="6"/>
        <v>0.3446823529411765</v>
      </c>
      <c r="J43" s="4">
        <f t="shared" si="7"/>
        <v>0.33577692307692297</v>
      </c>
    </row>
    <row r="44" spans="2:10" x14ac:dyDescent="0.35">
      <c r="B44" s="3" t="s">
        <v>34</v>
      </c>
      <c r="C44" s="6">
        <v>29.486538461538462</v>
      </c>
      <c r="D44" s="6">
        <v>34.524050632911411</v>
      </c>
      <c r="E44" s="6">
        <v>32.524427480916046</v>
      </c>
      <c r="G44" t="str">
        <f t="shared" si="4"/>
        <v>Finance</v>
      </c>
      <c r="H44" s="4">
        <f t="shared" si="5"/>
        <v>0.29486538461538464</v>
      </c>
      <c r="I44" s="4">
        <f t="shared" si="6"/>
        <v>0.34524050632911413</v>
      </c>
      <c r="J44" s="4">
        <f t="shared" si="7"/>
        <v>0.32524427480916046</v>
      </c>
    </row>
    <row r="45" spans="2:10" x14ac:dyDescent="0.35">
      <c r="B45" s="3" t="s">
        <v>76</v>
      </c>
      <c r="C45" s="6">
        <v>31.677358490566043</v>
      </c>
      <c r="D45" s="6">
        <v>36.391566265060234</v>
      </c>
      <c r="E45" s="6">
        <v>34.554411764705883</v>
      </c>
      <c r="G45" t="str">
        <f t="shared" si="4"/>
        <v>Government</v>
      </c>
      <c r="H45" s="4">
        <f t="shared" si="5"/>
        <v>0.31677358490566043</v>
      </c>
      <c r="I45" s="4">
        <f t="shared" si="6"/>
        <v>0.36391566265060232</v>
      </c>
      <c r="J45" s="4">
        <f t="shared" si="7"/>
        <v>0.34554411764705883</v>
      </c>
    </row>
    <row r="46" spans="2:10" x14ac:dyDescent="0.35">
      <c r="B46" s="3" t="s">
        <v>131</v>
      </c>
      <c r="C46" s="6">
        <v>24.856140350877187</v>
      </c>
      <c r="D46" s="6">
        <v>29.172839506172838</v>
      </c>
      <c r="E46" s="6">
        <v>27.389855072463767</v>
      </c>
      <c r="G46" t="str">
        <f t="shared" si="4"/>
        <v>Healthcare</v>
      </c>
      <c r="H46" s="4">
        <f t="shared" si="5"/>
        <v>0.24856140350877187</v>
      </c>
      <c r="I46" s="4">
        <f t="shared" si="6"/>
        <v>0.29172839506172837</v>
      </c>
      <c r="J46" s="4">
        <f t="shared" si="7"/>
        <v>0.27389855072463765</v>
      </c>
    </row>
    <row r="47" spans="2:10" x14ac:dyDescent="0.35">
      <c r="B47" s="3" t="s">
        <v>83</v>
      </c>
      <c r="C47" s="6">
        <v>33.58958333333333</v>
      </c>
      <c r="D47" s="6">
        <v>29.309090909090912</v>
      </c>
      <c r="E47" s="6">
        <v>31.111403508771932</v>
      </c>
      <c r="G47" t="str">
        <f t="shared" si="4"/>
        <v>Manufacturing</v>
      </c>
      <c r="H47" s="4">
        <f t="shared" si="5"/>
        <v>0.33589583333333328</v>
      </c>
      <c r="I47" s="4">
        <f t="shared" si="6"/>
        <v>0.29309090909090912</v>
      </c>
      <c r="J47" s="4">
        <f t="shared" si="7"/>
        <v>0.31111403508771934</v>
      </c>
    </row>
    <row r="48" spans="2:10" x14ac:dyDescent="0.35">
      <c r="B48" s="3" t="s">
        <v>155</v>
      </c>
      <c r="C48" s="6">
        <v>27.595348837209301</v>
      </c>
      <c r="D48" s="6">
        <v>33.027272727272702</v>
      </c>
      <c r="E48" s="6">
        <v>31.080833333333324</v>
      </c>
      <c r="G48" t="str">
        <f t="shared" si="4"/>
        <v>Media</v>
      </c>
      <c r="H48" s="4">
        <f t="shared" si="5"/>
        <v>0.27595348837209299</v>
      </c>
      <c r="I48" s="4">
        <f t="shared" si="6"/>
        <v>0.33027272727272705</v>
      </c>
      <c r="J48" s="4">
        <f t="shared" si="7"/>
        <v>0.31080833333333324</v>
      </c>
    </row>
    <row r="49" spans="1:10" x14ac:dyDescent="0.35">
      <c r="B49" s="3" t="s">
        <v>124</v>
      </c>
      <c r="C49" s="6">
        <v>27.848148148148145</v>
      </c>
      <c r="D49" s="6">
        <v>36.125000000000007</v>
      </c>
      <c r="E49" s="6">
        <v>32.061818181818182</v>
      </c>
      <c r="G49" t="str">
        <f t="shared" si="4"/>
        <v>Research</v>
      </c>
      <c r="H49" s="4">
        <f t="shared" si="5"/>
        <v>0.27848148148148144</v>
      </c>
      <c r="I49" s="4">
        <f t="shared" si="6"/>
        <v>0.36125000000000007</v>
      </c>
      <c r="J49" s="4">
        <f t="shared" si="7"/>
        <v>0.3206181818181818</v>
      </c>
    </row>
    <row r="50" spans="1:10" x14ac:dyDescent="0.35">
      <c r="B50" s="3" t="s">
        <v>110</v>
      </c>
      <c r="C50" s="6">
        <v>28.494339622641512</v>
      </c>
      <c r="D50" s="6">
        <v>30.478205128205119</v>
      </c>
      <c r="E50" s="6">
        <v>29.675572519083964</v>
      </c>
      <c r="G50" t="str">
        <f t="shared" si="4"/>
        <v>Retail</v>
      </c>
      <c r="H50" s="4">
        <f t="shared" si="5"/>
        <v>0.28494339622641512</v>
      </c>
      <c r="I50" s="4">
        <f t="shared" si="6"/>
        <v>0.30478205128205116</v>
      </c>
      <c r="J50" s="4">
        <f t="shared" si="7"/>
        <v>0.29675572519083965</v>
      </c>
    </row>
    <row r="51" spans="1:10" x14ac:dyDescent="0.35">
      <c r="B51" s="3" t="s">
        <v>62</v>
      </c>
      <c r="C51" s="6">
        <v>28.297619047619047</v>
      </c>
      <c r="D51" s="6">
        <v>33.934375000000003</v>
      </c>
      <c r="E51" s="6">
        <v>31.700943396226428</v>
      </c>
      <c r="G51" t="str">
        <f t="shared" si="4"/>
        <v>Technology</v>
      </c>
      <c r="H51" s="4">
        <f t="shared" si="5"/>
        <v>0.28297619047619049</v>
      </c>
      <c r="I51" s="4">
        <f t="shared" si="6"/>
        <v>0.33934375000000006</v>
      </c>
      <c r="J51" s="4">
        <f t="shared" si="7"/>
        <v>0.31700943396226428</v>
      </c>
    </row>
    <row r="52" spans="1:10" x14ac:dyDescent="0.35">
      <c r="B52" s="3" t="s">
        <v>3132</v>
      </c>
      <c r="C52" s="6">
        <v>29.53782051282051</v>
      </c>
      <c r="D52" s="6">
        <v>32.240753424657527</v>
      </c>
      <c r="E52" s="6">
        <v>31.116333333333337</v>
      </c>
      <c r="G52" t="str">
        <f t="shared" si="4"/>
        <v>Grand Total</v>
      </c>
      <c r="H52" s="4">
        <f t="shared" si="5"/>
        <v>0.29537820512820512</v>
      </c>
      <c r="I52" s="4">
        <f t="shared" si="6"/>
        <v>0.32240753424657526</v>
      </c>
      <c r="J52" s="4">
        <f t="shared" si="7"/>
        <v>0.31116333333333335</v>
      </c>
    </row>
    <row r="53" spans="1:10" x14ac:dyDescent="0.35">
      <c r="H53" s="4"/>
    </row>
    <row r="56" spans="1:10" x14ac:dyDescent="0.35">
      <c r="A56" s="5" t="s">
        <v>3153</v>
      </c>
      <c r="B56" s="5"/>
    </row>
    <row r="57" spans="1:10" x14ac:dyDescent="0.35">
      <c r="A57" s="2" t="s">
        <v>3131</v>
      </c>
      <c r="B57" t="s">
        <v>3133</v>
      </c>
    </row>
    <row r="58" spans="1:10" x14ac:dyDescent="0.35">
      <c r="A58" s="3" t="s">
        <v>71</v>
      </c>
      <c r="B58">
        <v>138</v>
      </c>
    </row>
    <row r="59" spans="1:10" x14ac:dyDescent="0.35">
      <c r="A59" s="3" t="s">
        <v>119</v>
      </c>
      <c r="B59">
        <v>126</v>
      </c>
    </row>
    <row r="60" spans="1:10" x14ac:dyDescent="0.35">
      <c r="A60" s="3" t="s">
        <v>88</v>
      </c>
      <c r="B60">
        <v>120</v>
      </c>
    </row>
    <row r="61" spans="1:10" x14ac:dyDescent="0.35">
      <c r="A61" s="3" t="s">
        <v>165</v>
      </c>
      <c r="B61">
        <v>130</v>
      </c>
    </row>
    <row r="62" spans="1:10" x14ac:dyDescent="0.35">
      <c r="A62" s="3" t="s">
        <v>34</v>
      </c>
      <c r="B62">
        <v>131</v>
      </c>
    </row>
    <row r="63" spans="1:10" x14ac:dyDescent="0.35">
      <c r="A63" s="3" t="s">
        <v>76</v>
      </c>
      <c r="B63">
        <v>136</v>
      </c>
    </row>
    <row r="64" spans="1:10" x14ac:dyDescent="0.35">
      <c r="A64" s="3" t="s">
        <v>131</v>
      </c>
      <c r="B64">
        <v>138</v>
      </c>
    </row>
    <row r="65" spans="1:2" x14ac:dyDescent="0.35">
      <c r="A65" s="3" t="s">
        <v>83</v>
      </c>
      <c r="B65">
        <v>114</v>
      </c>
    </row>
    <row r="66" spans="1:2" x14ac:dyDescent="0.35">
      <c r="A66" s="3" t="s">
        <v>155</v>
      </c>
      <c r="B66">
        <v>120</v>
      </c>
    </row>
    <row r="67" spans="1:2" x14ac:dyDescent="0.35">
      <c r="A67" s="3" t="s">
        <v>124</v>
      </c>
      <c r="B67">
        <v>110</v>
      </c>
    </row>
    <row r="68" spans="1:2" x14ac:dyDescent="0.35">
      <c r="A68" s="3" t="s">
        <v>110</v>
      </c>
      <c r="B68">
        <v>131</v>
      </c>
    </row>
    <row r="69" spans="1:2" x14ac:dyDescent="0.35">
      <c r="A69" s="3" t="s">
        <v>62</v>
      </c>
      <c r="B69">
        <v>106</v>
      </c>
    </row>
    <row r="70" spans="1:2" x14ac:dyDescent="0.35">
      <c r="A70" s="3" t="s">
        <v>3132</v>
      </c>
      <c r="B70">
        <v>1500</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Kpis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 Raj</dc:creator>
  <cp:lastModifiedBy>Dharm Raj</cp:lastModifiedBy>
  <dcterms:created xsi:type="dcterms:W3CDTF">2026-04-18T03:11:16Z</dcterms:created>
  <dcterms:modified xsi:type="dcterms:W3CDTF">2026-04-18T05:30:53Z</dcterms:modified>
</cp:coreProperties>
</file>